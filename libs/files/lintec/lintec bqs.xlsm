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20.xml" ContentType="application/vnd.openxmlformats-officedocument.drawing+xml"/>
  <Override PartName="/xl/ctrlProps/ctrlProp145.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146.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29.xml" ContentType="application/vnd.openxmlformats-officedocument.drawing+xml"/>
  <Override PartName="/xl/ctrlProps/ctrlProp214.xml" ContentType="application/vnd.ms-excel.controlproperties+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ehme\Desktop\programlama\atölye\pthon excel yazdırma\file\"/>
    </mc:Choice>
  </mc:AlternateContent>
  <xr:revisionPtr revIDLastSave="0" documentId="13_ncr:1_{7C757B6E-655B-43B9-A1E1-9A2CEA4EF334}" xr6:coauthVersionLast="47" xr6:coauthVersionMax="47" xr10:uidLastSave="{00000000-0000-0000-0000-000000000000}"/>
  <bookViews>
    <workbookView xWindow="-120" yWindow="480" windowWidth="20730" windowHeight="11160" tabRatio="956" activeTab="1" xr2:uid="{00000000-000D-0000-FFFF-FFFF00000000}"/>
  </bookViews>
  <sheets>
    <sheet name="Instructions" sheetId="25" r:id="rId1"/>
    <sheet name="Data Entry" sheetId="7" r:id="rId2"/>
    <sheet name="(SG) Pre-Survey Ack." sheetId="33" state="veryHidden" r:id="rId3"/>
    <sheet name="Summary Report" sheetId="24" r:id="rId4"/>
    <sheet name="Bunker Certificate 1" sheetId="6" r:id="rId5"/>
    <sheet name="(SG) NonCargo Tank Declaration1" sheetId="34" state="veryHidden" r:id="rId6"/>
    <sheet name="Vessel Survey 1" sheetId="4" r:id="rId7"/>
    <sheet name="Vessel Survey(additional tanks)" sheetId="23" state="hidden" r:id="rId8"/>
    <sheet name="Barge Survey 1" sheetId="2" r:id="rId9"/>
    <sheet name="Barge Survey(additional tanks)" sheetId="32" state="hidden" r:id="rId10"/>
    <sheet name="Time Log 1" sheetId="8" r:id="rId11"/>
    <sheet name="Checklist 1" sheetId="27" r:id="rId12"/>
    <sheet name="Sample Distibution 1" sheetId="39" r:id="rId13"/>
    <sheet name="Statement of Facts 1" sheetId="37" r:id="rId14"/>
    <sheet name="Letter of Protest 1" sheetId="11" r:id="rId15"/>
    <sheet name="Bunker Certificate 2" sheetId="15" state="hidden" r:id="rId16"/>
    <sheet name="Vessel Survey 2" sheetId="16" state="hidden" r:id="rId17"/>
    <sheet name="Barge Survey 2" sheetId="17" state="hidden" r:id="rId18"/>
    <sheet name="Checklist 2" sheetId="30" state="hidden" r:id="rId19"/>
    <sheet name="Time Log 2" sheetId="9" state="hidden" r:id="rId20"/>
    <sheet name="Sample Distibution 2" sheetId="40" state="hidden" r:id="rId21"/>
    <sheet name="Time Log 1 (2)" sheetId="42" state="hidden" r:id="rId22"/>
    <sheet name="Statement of Facts 2" sheetId="38" state="hidden" r:id="rId23"/>
    <sheet name="Letter of Protest 2" sheetId="12" state="hidden" r:id="rId24"/>
    <sheet name="Bunker Certificate 3" sheetId="18" state="hidden" r:id="rId25"/>
    <sheet name="Vessel Survey 3" sheetId="19" state="hidden" r:id="rId26"/>
    <sheet name="Barge Survey 3" sheetId="20" state="hidden" r:id="rId27"/>
    <sheet name="Checklist 3" sheetId="31" state="hidden" r:id="rId28"/>
    <sheet name="Time Log 3" sheetId="10" state="hidden" r:id="rId29"/>
    <sheet name="Sample Distibution 3" sheetId="41" state="hidden" r:id="rId30"/>
    <sheet name="Statement of Facts 3" sheetId="35" state="hidden" r:id="rId31"/>
    <sheet name="Letter of Protest 3" sheetId="13" state="hidden" r:id="rId32"/>
    <sheet name="Letter of Protest 4" sheetId="14" state="hidden" r:id="rId33"/>
  </sheets>
  <definedNames>
    <definedName name="_xlnm._FilterDatabase" localSheetId="14" hidden="1">'Letter of Protest 1'!$BD$10:$BD$11</definedName>
    <definedName name="_xlnm._FilterDatabase" localSheetId="23" hidden="1">'Letter of Protest 2'!$BD$10:$BD$11</definedName>
    <definedName name="_xlnm._FilterDatabase" localSheetId="31" hidden="1">'Letter of Protest 3'!$BD$10:$BD$11</definedName>
    <definedName name="_xlnm._FilterDatabase" localSheetId="32" hidden="1">'Letter of Protest 4'!$BD$10:$BD$11</definedName>
    <definedName name="_xlnm._FilterDatabase" localSheetId="13" hidden="1">'Statement of Facts 1'!$BD$10:$BD$11</definedName>
    <definedName name="_xlnm._FilterDatabase" localSheetId="22" hidden="1">'Statement of Facts 2'!$BD$10:$BD$11</definedName>
    <definedName name="_xlnm._FilterDatabase" localSheetId="30" hidden="1">'Statement of Facts 3'!$BD$10:$BD$11</definedName>
    <definedName name="_xlnm._FilterDatabase" localSheetId="3" hidden="1">'Summary Report'!$BD$10:$BD$11</definedName>
    <definedName name="_xlnm._FilterDatabase" localSheetId="10" hidden="1">'Time Log 1'!$BA$12:$BA$101</definedName>
    <definedName name="_xlnm._FilterDatabase" localSheetId="21" hidden="1">'Time Log 1 (2)'!$BA$12:$BA$101</definedName>
    <definedName name="_xlnm.Print_Area" localSheetId="5">'(SG) NonCargo Tank Declaration1'!$A$1:$AZ$63</definedName>
    <definedName name="_xlnm.Print_Area" localSheetId="2">'(SG) Pre-Survey Ack.'!$A$1:$AZ$61</definedName>
    <definedName name="_xlnm.Print_Area" localSheetId="8">'Barge Survey 1'!$A$1:$CG$63</definedName>
    <definedName name="_xlnm.Print_Area" localSheetId="17">'Barge Survey 2'!$A$1:$CG$63</definedName>
    <definedName name="_xlnm.Print_Area" localSheetId="26">'Barge Survey 3'!$A$1:$CG$63</definedName>
    <definedName name="_xlnm.Print_Area" localSheetId="9">'Barge Survey(additional tanks)'!$A$1:$CG$63</definedName>
    <definedName name="_xlnm.Print_Area" localSheetId="4">'Bunker Certificate 1'!$A$1:$AZ$44</definedName>
    <definedName name="_xlnm.Print_Area" localSheetId="15">'Bunker Certificate 2'!$A$1:$AZ$44</definedName>
    <definedName name="_xlnm.Print_Area" localSheetId="24">'Bunker Certificate 3'!$A$1:$AZ$44</definedName>
    <definedName name="_xlnm.Print_Area" localSheetId="11">'Checklist 1'!$A$1:$Q$69</definedName>
    <definedName name="_xlnm.Print_Area" localSheetId="18">'Checklist 2'!$A$1:$Q$69</definedName>
    <definedName name="_xlnm.Print_Area" localSheetId="27">'Checklist 3'!$A$1:$Q$69</definedName>
    <definedName name="_xlnm.Print_Area" localSheetId="1">'Data Entry'!$A$1:$AZ$123</definedName>
    <definedName name="_xlnm.Print_Area" localSheetId="14">'Letter of Protest 1'!$A$1:$AZ$61</definedName>
    <definedName name="_xlnm.Print_Area" localSheetId="23">'Letter of Protest 2'!$A$1:$AZ$61</definedName>
    <definedName name="_xlnm.Print_Area" localSheetId="31">'Letter of Protest 3'!$A$1:$AZ$61</definedName>
    <definedName name="_xlnm.Print_Area" localSheetId="32">'Letter of Protest 4'!$A$1:$AZ$61</definedName>
    <definedName name="_xlnm.Print_Area" localSheetId="12">'Sample Distibution 1'!$A$1:$CG$42</definedName>
    <definedName name="_xlnm.Print_Area" localSheetId="20">'Sample Distibution 2'!$A$1:$CG$42</definedName>
    <definedName name="_xlnm.Print_Area" localSheetId="29">'Sample Distibution 3'!$A$1:$CG$42</definedName>
    <definedName name="_xlnm.Print_Area" localSheetId="13">'Statement of Facts 1'!$A$1:$AZ$61</definedName>
    <definedName name="_xlnm.Print_Area" localSheetId="22">'Statement of Facts 2'!$A$1:$AZ$61</definedName>
    <definedName name="_xlnm.Print_Area" localSheetId="30">'Statement of Facts 3'!$A$1:$AZ$61</definedName>
    <definedName name="_xlnm.Print_Area" localSheetId="3">'Summary Report'!$A$1:$AZ$62</definedName>
    <definedName name="_xlnm.Print_Area" localSheetId="10">'Time Log 1'!$A$1:$BB$61</definedName>
    <definedName name="_xlnm.Print_Area" localSheetId="21">'Time Log 1 (2)'!$A$1:$BB$61</definedName>
    <definedName name="_xlnm.Print_Area" localSheetId="19">'Time Log 2'!$A$1:$AZ$61</definedName>
    <definedName name="_xlnm.Print_Area" localSheetId="6">'Vessel Survey 1'!$A$1:$CG$60</definedName>
    <definedName name="_xlnm.Print_Area" localSheetId="16">'Vessel Survey 2'!$A$1:$CG$60</definedName>
    <definedName name="_xlnm.Print_Area" localSheetId="25">'Vessel Survey 3'!$A$1:$CG$60</definedName>
    <definedName name="_xlnm.Print_Area" localSheetId="7">'Vessel Survey(additional tanks)'!$A$1:$CG$60</definedName>
    <definedName name="_xlnm.Print_Titles" localSheetId="11">'Checklist 1'!$2:$8</definedName>
    <definedName name="_xlnm.Print_Titles" localSheetId="18">'Checklist 2'!$2:$8</definedName>
    <definedName name="_xlnm.Print_Titles" localSheetId="27">'Checklist 3'!$2:$8</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B13" i="2" l="1"/>
  <c r="BB32" i="2"/>
  <c r="K21" i="27"/>
  <c r="G21" i="27"/>
  <c r="BB32" i="4"/>
  <c r="AP32" i="4"/>
  <c r="BB13" i="4"/>
  <c r="AP13" i="4"/>
  <c r="K20" i="27"/>
  <c r="G20" i="27"/>
  <c r="G24" i="27"/>
  <c r="G48" i="27" s="1"/>
  <c r="BX5" i="2"/>
  <c r="BX4" i="2"/>
  <c r="AC25" i="6"/>
  <c r="AO61" i="42"/>
  <c r="AT57" i="42"/>
  <c r="AK57" i="42"/>
  <c r="E57" i="42"/>
  <c r="AU7" i="42"/>
  <c r="O7" i="42"/>
  <c r="AU6" i="42"/>
  <c r="O6" i="42"/>
  <c r="AR3" i="42"/>
  <c r="AU2" i="42"/>
  <c r="AU1" i="42"/>
  <c r="AP13" i="19" l="1"/>
  <c r="CK50" i="19" l="1"/>
  <c r="CK50" i="16"/>
  <c r="CK50" i="23"/>
  <c r="CK50" i="4"/>
  <c r="A52" i="19" l="1"/>
  <c r="AQ52" i="19" s="1"/>
  <c r="BI18" i="19"/>
  <c r="BD18" i="19"/>
  <c r="BI19" i="19"/>
  <c r="BX19" i="19" s="1"/>
  <c r="BD19" i="19"/>
  <c r="BI20" i="19"/>
  <c r="BD20" i="19"/>
  <c r="BI21" i="19"/>
  <c r="BD21" i="19"/>
  <c r="BI22" i="19"/>
  <c r="BD22" i="19"/>
  <c r="BI23" i="19"/>
  <c r="BX23" i="19" s="1"/>
  <c r="BD23" i="19"/>
  <c r="BI24" i="19"/>
  <c r="BD24" i="19"/>
  <c r="BI25" i="19"/>
  <c r="BN25" i="19" s="1"/>
  <c r="BD25" i="19"/>
  <c r="BI26" i="19"/>
  <c r="BD26" i="19"/>
  <c r="BI27" i="19"/>
  <c r="BD27" i="19"/>
  <c r="BI28" i="19"/>
  <c r="BD28" i="19"/>
  <c r="BI29" i="19"/>
  <c r="BN29" i="19" s="1"/>
  <c r="BD29" i="19"/>
  <c r="BI37" i="19"/>
  <c r="BD37" i="19"/>
  <c r="BI38" i="19"/>
  <c r="BN38" i="19" s="1"/>
  <c r="BD38" i="19"/>
  <c r="BI39" i="19"/>
  <c r="BD39" i="19"/>
  <c r="BI40" i="19"/>
  <c r="BD40" i="19"/>
  <c r="BI41" i="19"/>
  <c r="BD41" i="19"/>
  <c r="BI42" i="19"/>
  <c r="BN42" i="19" s="1"/>
  <c r="BD42" i="19"/>
  <c r="BI43" i="19"/>
  <c r="BD43" i="19"/>
  <c r="BI44" i="19"/>
  <c r="BN44" i="19" s="1"/>
  <c r="BD44" i="19"/>
  <c r="BI45" i="19"/>
  <c r="BD45" i="19"/>
  <c r="BI46" i="19"/>
  <c r="BD46" i="19"/>
  <c r="BI47" i="19"/>
  <c r="BD47" i="19"/>
  <c r="BI48" i="19"/>
  <c r="BN48" i="19" s="1"/>
  <c r="BD48" i="19"/>
  <c r="AT59" i="19"/>
  <c r="A52" i="16"/>
  <c r="AQ52" i="16" s="1"/>
  <c r="BD18" i="16"/>
  <c r="BD19" i="16"/>
  <c r="BD20" i="16"/>
  <c r="BD21" i="16"/>
  <c r="CP21" i="16" s="1"/>
  <c r="BD22" i="16"/>
  <c r="CP22" i="16" s="1"/>
  <c r="BD23" i="16"/>
  <c r="BD24" i="16"/>
  <c r="BD25" i="16"/>
  <c r="CP25" i="16" s="1"/>
  <c r="BD26" i="16"/>
  <c r="BI27" i="16"/>
  <c r="BD27" i="16"/>
  <c r="CP27" i="16" s="1"/>
  <c r="BI28" i="16"/>
  <c r="BD28" i="16"/>
  <c r="BI29" i="16"/>
  <c r="BD29" i="16"/>
  <c r="BD37" i="16"/>
  <c r="BD38" i="16"/>
  <c r="CP38" i="16" s="1"/>
  <c r="BD39" i="16"/>
  <c r="BD40" i="16"/>
  <c r="BD41" i="16"/>
  <c r="BD42" i="16"/>
  <c r="BD43" i="16"/>
  <c r="BD44" i="16"/>
  <c r="BD45" i="16"/>
  <c r="BI46" i="16"/>
  <c r="BD46" i="16"/>
  <c r="CP46" i="16" s="1"/>
  <c r="BI47" i="16"/>
  <c r="BD47" i="16"/>
  <c r="BI48" i="16"/>
  <c r="BD48" i="16"/>
  <c r="CP48" i="16" s="1"/>
  <c r="AT59" i="16"/>
  <c r="AK38" i="41"/>
  <c r="BO4" i="41"/>
  <c r="AQ4" i="41"/>
  <c r="I5" i="41"/>
  <c r="AO42" i="39"/>
  <c r="AO42" i="40"/>
  <c r="AO42" i="41"/>
  <c r="BR38" i="41"/>
  <c r="C38" i="41"/>
  <c r="AU5" i="41"/>
  <c r="I4" i="41"/>
  <c r="G86" i="7"/>
  <c r="Y4" i="6" s="1"/>
  <c r="AE3" i="37" s="1"/>
  <c r="BR2" i="41"/>
  <c r="BR1" i="41"/>
  <c r="AK38" i="40"/>
  <c r="BO4" i="40"/>
  <c r="AQ4" i="40"/>
  <c r="I5" i="40"/>
  <c r="BR38" i="40"/>
  <c r="C38" i="40"/>
  <c r="AU5" i="40"/>
  <c r="I4" i="40"/>
  <c r="BR2" i="40"/>
  <c r="BR1" i="40"/>
  <c r="BR38" i="39"/>
  <c r="AK38" i="39"/>
  <c r="C38" i="39"/>
  <c r="BR2" i="39"/>
  <c r="BR1" i="39"/>
  <c r="AU5" i="39"/>
  <c r="BO4" i="39"/>
  <c r="I5" i="39"/>
  <c r="AQ4" i="39"/>
  <c r="I4" i="39"/>
  <c r="P48" i="32"/>
  <c r="DQ48" i="32" s="1"/>
  <c r="P47" i="32"/>
  <c r="DQ47" i="32" s="1"/>
  <c r="P46" i="32"/>
  <c r="P45" i="32"/>
  <c r="DQ45" i="32" s="1"/>
  <c r="P44" i="32"/>
  <c r="P43" i="32"/>
  <c r="DQ43" i="32" s="1"/>
  <c r="DR43" i="32" s="1"/>
  <c r="P42" i="32"/>
  <c r="P41" i="32"/>
  <c r="P40" i="32"/>
  <c r="DQ40" i="32" s="1"/>
  <c r="P39" i="32"/>
  <c r="DQ39" i="32" s="1"/>
  <c r="P38" i="32"/>
  <c r="P37" i="32"/>
  <c r="DQ37" i="32" s="1"/>
  <c r="P48" i="20"/>
  <c r="DQ48" i="20" s="1"/>
  <c r="P47" i="20"/>
  <c r="DQ47" i="20" s="1"/>
  <c r="P46" i="20"/>
  <c r="P45" i="20"/>
  <c r="DQ45" i="20" s="1"/>
  <c r="DK45" i="20" s="1"/>
  <c r="P44" i="20"/>
  <c r="DQ44" i="20" s="1"/>
  <c r="DR44" i="20" s="1"/>
  <c r="P43" i="20"/>
  <c r="DQ43" i="20" s="1"/>
  <c r="P42" i="20"/>
  <c r="P41" i="20"/>
  <c r="P40" i="20"/>
  <c r="DQ40" i="20" s="1"/>
  <c r="P39" i="20"/>
  <c r="DQ39" i="20" s="1"/>
  <c r="P38" i="20"/>
  <c r="DQ38" i="20" s="1"/>
  <c r="P37" i="20"/>
  <c r="DQ37" i="20" s="1"/>
  <c r="DK37" i="20" s="1"/>
  <c r="P40" i="17"/>
  <c r="P39" i="17"/>
  <c r="DQ39" i="17" s="1"/>
  <c r="DR39" i="17" s="1"/>
  <c r="P38" i="17"/>
  <c r="P37" i="17"/>
  <c r="DQ37" i="17" s="1"/>
  <c r="DK37" i="17" s="1"/>
  <c r="DM37" i="17" s="1"/>
  <c r="DN37" i="17" s="1"/>
  <c r="DO37" i="17" s="1"/>
  <c r="P48" i="17"/>
  <c r="DQ48" i="17" s="1"/>
  <c r="P47" i="17"/>
  <c r="DQ47" i="17" s="1"/>
  <c r="DK47" i="17" s="1"/>
  <c r="P46" i="17"/>
  <c r="P45" i="17"/>
  <c r="DQ45" i="17" s="1"/>
  <c r="DK45" i="17" s="1"/>
  <c r="DL45" i="17" s="1"/>
  <c r="P44" i="17"/>
  <c r="P43" i="17"/>
  <c r="DQ43" i="17" s="1"/>
  <c r="DS43" i="17" s="1"/>
  <c r="DT43" i="17" s="1"/>
  <c r="DU43" i="17" s="1"/>
  <c r="P42" i="17"/>
  <c r="DQ42" i="17" s="1"/>
  <c r="DS42" i="17" s="1"/>
  <c r="DT42" i="17" s="1"/>
  <c r="DU42" i="17" s="1"/>
  <c r="P41" i="17"/>
  <c r="P38" i="2"/>
  <c r="P39" i="2"/>
  <c r="DQ39" i="2" s="1"/>
  <c r="DK39" i="2" s="1"/>
  <c r="DE39" i="2" s="1"/>
  <c r="P40" i="2"/>
  <c r="P41" i="2"/>
  <c r="P42" i="2"/>
  <c r="P43" i="2"/>
  <c r="DQ43" i="2" s="1"/>
  <c r="DK43" i="2" s="1"/>
  <c r="DE43" i="2" s="1"/>
  <c r="P44" i="2"/>
  <c r="P45" i="2"/>
  <c r="P46" i="2"/>
  <c r="P47" i="2"/>
  <c r="DQ47" i="2" s="1"/>
  <c r="DK47" i="2" s="1"/>
  <c r="DE47" i="2" s="1"/>
  <c r="P48" i="2"/>
  <c r="P37" i="2"/>
  <c r="DQ37" i="2" s="1"/>
  <c r="AK57" i="10"/>
  <c r="AU7" i="10"/>
  <c r="AU6" i="10"/>
  <c r="AO61" i="10"/>
  <c r="AT57" i="10"/>
  <c r="E57" i="10"/>
  <c r="O7" i="10"/>
  <c r="O6" i="10"/>
  <c r="AU2" i="10"/>
  <c r="AU1" i="10"/>
  <c r="AK57" i="9"/>
  <c r="AU7" i="9"/>
  <c r="AU6" i="9"/>
  <c r="AO61" i="9"/>
  <c r="AT57" i="9"/>
  <c r="E57" i="9"/>
  <c r="O7" i="9"/>
  <c r="O6" i="9"/>
  <c r="AU2" i="9"/>
  <c r="AU1" i="9"/>
  <c r="AT57" i="8"/>
  <c r="AK57" i="8"/>
  <c r="E57" i="8"/>
  <c r="O7" i="8"/>
  <c r="AU7" i="8"/>
  <c r="AU6" i="8"/>
  <c r="O6" i="8"/>
  <c r="AU2" i="8"/>
  <c r="AU1" i="8"/>
  <c r="AO61" i="8"/>
  <c r="AK6" i="35"/>
  <c r="AK6" i="38"/>
  <c r="AK6" i="37"/>
  <c r="G65" i="31"/>
  <c r="M65" i="31"/>
  <c r="C65" i="31"/>
  <c r="G65" i="30"/>
  <c r="M65" i="30"/>
  <c r="C65" i="30"/>
  <c r="M65" i="27"/>
  <c r="G65" i="27"/>
  <c r="C65" i="27"/>
  <c r="AK57" i="37"/>
  <c r="T57" i="37"/>
  <c r="C57" i="37"/>
  <c r="AK57" i="38"/>
  <c r="T57" i="38"/>
  <c r="C57" i="38"/>
  <c r="AK57" i="35"/>
  <c r="T57" i="35"/>
  <c r="C57" i="35"/>
  <c r="AA61" i="38"/>
  <c r="D10" i="38"/>
  <c r="I7" i="38"/>
  <c r="I6" i="38"/>
  <c r="AK2" i="38"/>
  <c r="AK1" i="38"/>
  <c r="AA61" i="37"/>
  <c r="D10" i="37"/>
  <c r="I7" i="37"/>
  <c r="I6" i="37"/>
  <c r="AK2" i="37"/>
  <c r="AK1" i="37"/>
  <c r="T57" i="13"/>
  <c r="AK57" i="13"/>
  <c r="C57" i="13"/>
  <c r="T57" i="11"/>
  <c r="AK57" i="11"/>
  <c r="C57" i="11"/>
  <c r="AK57" i="12"/>
  <c r="T57" i="12"/>
  <c r="C57" i="12"/>
  <c r="AK59" i="20"/>
  <c r="AK54" i="19"/>
  <c r="AK59" i="17"/>
  <c r="AK54" i="16"/>
  <c r="AK59" i="32"/>
  <c r="AK59" i="2"/>
  <c r="AK54" i="23"/>
  <c r="AK54" i="4"/>
  <c r="AM17" i="34"/>
  <c r="G43" i="7"/>
  <c r="A23" i="7" s="1"/>
  <c r="C57" i="14"/>
  <c r="C59" i="20"/>
  <c r="C54" i="19"/>
  <c r="AH40" i="18"/>
  <c r="C59" i="17"/>
  <c r="C54" i="16"/>
  <c r="AH40" i="15"/>
  <c r="C58" i="24"/>
  <c r="AH40" i="6"/>
  <c r="D10" i="35"/>
  <c r="U37" i="23"/>
  <c r="U38" i="23"/>
  <c r="U39" i="23"/>
  <c r="U40" i="23"/>
  <c r="U41" i="23"/>
  <c r="U42" i="23"/>
  <c r="U43" i="23"/>
  <c r="U44" i="23"/>
  <c r="U45" i="23"/>
  <c r="U46" i="23"/>
  <c r="U47" i="23"/>
  <c r="P17" i="19"/>
  <c r="P17" i="16"/>
  <c r="P17" i="23"/>
  <c r="P17" i="2"/>
  <c r="P17" i="17"/>
  <c r="P17" i="20"/>
  <c r="G50" i="7"/>
  <c r="BI17" i="20" s="1"/>
  <c r="CN53" i="20" s="1"/>
  <c r="CZ48" i="20"/>
  <c r="DK48" i="20"/>
  <c r="CU48" i="20"/>
  <c r="BD17" i="20"/>
  <c r="BD48" i="20"/>
  <c r="CP48" i="20"/>
  <c r="CZ47" i="20"/>
  <c r="DB47" i="20" s="1"/>
  <c r="DC47" i="20" s="1"/>
  <c r="CU47" i="20"/>
  <c r="BD47" i="20"/>
  <c r="DQ46" i="20"/>
  <c r="DS46" i="20" s="1"/>
  <c r="DT46" i="20" s="1"/>
  <c r="DU46" i="20" s="1"/>
  <c r="CZ46" i="20"/>
  <c r="CU46" i="20"/>
  <c r="CW46" i="20" s="1"/>
  <c r="CX46" i="20" s="1"/>
  <c r="BD46" i="20"/>
  <c r="CP46" i="20" s="1"/>
  <c r="CZ45" i="20"/>
  <c r="DB45" i="20" s="1"/>
  <c r="DC45" i="20" s="1"/>
  <c r="CU45" i="20"/>
  <c r="CW45" i="20" s="1"/>
  <c r="CX45" i="20" s="1"/>
  <c r="BD45" i="20"/>
  <c r="CZ44" i="20"/>
  <c r="CU44" i="20"/>
  <c r="BD44" i="20"/>
  <c r="CZ43" i="20"/>
  <c r="DB43" i="20" s="1"/>
  <c r="DC43" i="20" s="1"/>
  <c r="CU43" i="20"/>
  <c r="BD43" i="20"/>
  <c r="CP43" i="20" s="1"/>
  <c r="DQ42" i="20"/>
  <c r="CZ42" i="20"/>
  <c r="CU42" i="20"/>
  <c r="CV42" i="20" s="1"/>
  <c r="BD42" i="20"/>
  <c r="BD37" i="20"/>
  <c r="CP37" i="20" s="1"/>
  <c r="BD38" i="20"/>
  <c r="CP38" i="20" s="1"/>
  <c r="BD39" i="20"/>
  <c r="CP39" i="20" s="1"/>
  <c r="BD40" i="20"/>
  <c r="CP40" i="20" s="1"/>
  <c r="BD41" i="20"/>
  <c r="CP41" i="20" s="1"/>
  <c r="DQ41" i="20"/>
  <c r="DK41" i="20" s="1"/>
  <c r="CZ41" i="20"/>
  <c r="DB41" i="20" s="1"/>
  <c r="DC41" i="20" s="1"/>
  <c r="CU41" i="20"/>
  <c r="CK41" i="20"/>
  <c r="CZ40" i="20"/>
  <c r="DA40" i="20" s="1"/>
  <c r="CU40" i="20"/>
  <c r="CW40" i="20" s="1"/>
  <c r="CX40" i="20" s="1"/>
  <c r="CZ39" i="20"/>
  <c r="CU39" i="20"/>
  <c r="CV39" i="20" s="1"/>
  <c r="DS38" i="20"/>
  <c r="DT38" i="20" s="1"/>
  <c r="DU38" i="20" s="1"/>
  <c r="CZ38" i="20"/>
  <c r="DB38" i="20" s="1"/>
  <c r="DC38" i="20" s="1"/>
  <c r="CU38" i="20"/>
  <c r="CZ37" i="20"/>
  <c r="CU37" i="20"/>
  <c r="CW37" i="20" s="1"/>
  <c r="CX37" i="20" s="1"/>
  <c r="CK34" i="20"/>
  <c r="CL33" i="20"/>
  <c r="CJ33" i="20"/>
  <c r="CK32" i="20"/>
  <c r="DQ29" i="20"/>
  <c r="CZ29" i="20"/>
  <c r="CU29" i="20"/>
  <c r="BD29" i="20"/>
  <c r="CP29" i="20" s="1"/>
  <c r="DQ28" i="20"/>
  <c r="DS28" i="20" s="1"/>
  <c r="DT28" i="20" s="1"/>
  <c r="DU28" i="20" s="1"/>
  <c r="CZ28" i="20"/>
  <c r="DB28" i="20" s="1"/>
  <c r="DC28" i="20" s="1"/>
  <c r="CU28" i="20"/>
  <c r="BD28" i="20"/>
  <c r="CP28" i="20" s="1"/>
  <c r="DQ27" i="20"/>
  <c r="CZ27" i="20"/>
  <c r="DB27" i="20" s="1"/>
  <c r="DC27" i="20" s="1"/>
  <c r="CU27" i="20"/>
  <c r="CW27" i="20" s="1"/>
  <c r="CX27" i="20" s="1"/>
  <c r="BD27" i="20"/>
  <c r="DQ26" i="20"/>
  <c r="CZ26" i="20"/>
  <c r="CU26" i="20"/>
  <c r="CW26" i="20" s="1"/>
  <c r="CX26" i="20" s="1"/>
  <c r="BD26" i="20"/>
  <c r="DQ25" i="20"/>
  <c r="CZ25" i="20"/>
  <c r="CU25" i="20"/>
  <c r="BD25" i="20"/>
  <c r="DQ24" i="20"/>
  <c r="CZ24" i="20"/>
  <c r="DB24" i="20" s="1"/>
  <c r="DC24" i="20" s="1"/>
  <c r="DR24" i="20"/>
  <c r="CU24" i="20"/>
  <c r="BD24" i="20"/>
  <c r="BD18" i="20"/>
  <c r="CP18" i="20" s="1"/>
  <c r="BD19" i="20"/>
  <c r="CP19" i="20" s="1"/>
  <c r="BD20" i="20"/>
  <c r="CP20" i="20" s="1"/>
  <c r="BD21" i="20"/>
  <c r="BD22" i="20"/>
  <c r="BD23" i="20"/>
  <c r="CP23" i="20" s="1"/>
  <c r="DQ23" i="20"/>
  <c r="DS23" i="20" s="1"/>
  <c r="DT23" i="20" s="1"/>
  <c r="DU23" i="20" s="1"/>
  <c r="CZ23" i="20"/>
  <c r="DK23" i="20"/>
  <c r="DL23" i="20" s="1"/>
  <c r="CU23" i="20"/>
  <c r="CK23" i="20"/>
  <c r="DQ22" i="20"/>
  <c r="DK22" i="20" s="1"/>
  <c r="CZ22" i="20"/>
  <c r="CU22" i="20"/>
  <c r="CW22" i="20" s="1"/>
  <c r="CX22" i="20" s="1"/>
  <c r="DL22" i="20"/>
  <c r="DQ21" i="20"/>
  <c r="CZ21" i="20"/>
  <c r="DB21" i="20" s="1"/>
  <c r="DC21" i="20" s="1"/>
  <c r="CU21" i="20"/>
  <c r="DQ20" i="20"/>
  <c r="CZ20" i="20"/>
  <c r="DB20" i="20" s="1"/>
  <c r="DC20" i="20" s="1"/>
  <c r="CU20" i="20"/>
  <c r="DQ19" i="20"/>
  <c r="DR19" i="20" s="1"/>
  <c r="CZ19" i="20"/>
  <c r="CU19" i="20"/>
  <c r="DQ18" i="20"/>
  <c r="DK18" i="20" s="1"/>
  <c r="CZ18" i="20"/>
  <c r="CU18" i="20"/>
  <c r="CW18" i="20" s="1"/>
  <c r="CX18" i="20" s="1"/>
  <c r="BD24" i="17"/>
  <c r="CZ48" i="17"/>
  <c r="CU48" i="17"/>
  <c r="BD17" i="17"/>
  <c r="BD48" i="17"/>
  <c r="CP48" i="17" s="1"/>
  <c r="CZ47" i="17"/>
  <c r="DB47" i="17" s="1"/>
  <c r="DC47" i="17" s="1"/>
  <c r="CU47" i="17"/>
  <c r="BD47" i="17"/>
  <c r="DQ46" i="17"/>
  <c r="DS46" i="17" s="1"/>
  <c r="DT46" i="17" s="1"/>
  <c r="DU46" i="17" s="1"/>
  <c r="CZ46" i="17"/>
  <c r="CU46" i="17"/>
  <c r="BD46" i="17"/>
  <c r="CP46" i="17" s="1"/>
  <c r="CZ45" i="17"/>
  <c r="CU45" i="17"/>
  <c r="CW45" i="17" s="1"/>
  <c r="CX45" i="17" s="1"/>
  <c r="CP45" i="17"/>
  <c r="DQ44" i="17"/>
  <c r="DS44" i="17" s="1"/>
  <c r="DT44" i="17" s="1"/>
  <c r="DU44" i="17" s="1"/>
  <c r="CZ44" i="17"/>
  <c r="CU44" i="17"/>
  <c r="CW44" i="17" s="1"/>
  <c r="CX44" i="17" s="1"/>
  <c r="CP44" i="17"/>
  <c r="CZ43" i="17"/>
  <c r="DA43" i="17" s="1"/>
  <c r="CU43" i="17"/>
  <c r="CP43" i="17"/>
  <c r="CZ42" i="17"/>
  <c r="CU42" i="17"/>
  <c r="CW42" i="17" s="1"/>
  <c r="CX42" i="17" s="1"/>
  <c r="CV42" i="17"/>
  <c r="CP38" i="17"/>
  <c r="CP40" i="17"/>
  <c r="CZ41" i="17"/>
  <c r="DA41" i="17" s="1"/>
  <c r="CU41" i="17"/>
  <c r="CV41" i="17" s="1"/>
  <c r="CK41" i="17"/>
  <c r="DQ40" i="17"/>
  <c r="CZ40" i="17"/>
  <c r="DB40" i="17" s="1"/>
  <c r="DC40" i="17" s="1"/>
  <c r="CU40" i="17"/>
  <c r="CZ39" i="17"/>
  <c r="DB39" i="17" s="1"/>
  <c r="DC39" i="17" s="1"/>
  <c r="CU39" i="17"/>
  <c r="CW39" i="17" s="1"/>
  <c r="CX39" i="17" s="1"/>
  <c r="DQ38" i="17"/>
  <c r="DK38" i="17" s="1"/>
  <c r="DL38" i="17" s="1"/>
  <c r="CZ38" i="17"/>
  <c r="DB38" i="17" s="1"/>
  <c r="DC38" i="17" s="1"/>
  <c r="CU38" i="17"/>
  <c r="CR38" i="17"/>
  <c r="CZ37" i="17"/>
  <c r="CU37" i="17"/>
  <c r="CK34" i="17"/>
  <c r="CL33" i="17"/>
  <c r="CJ33" i="17"/>
  <c r="CK32" i="17"/>
  <c r="DQ29" i="17"/>
  <c r="CZ29" i="17"/>
  <c r="CU29" i="17"/>
  <c r="BD29" i="17"/>
  <c r="CP29" i="17" s="1"/>
  <c r="DQ28" i="17"/>
  <c r="DS28" i="17" s="1"/>
  <c r="DT28" i="17" s="1"/>
  <c r="DU28" i="17" s="1"/>
  <c r="CZ28" i="17"/>
  <c r="DB28" i="17" s="1"/>
  <c r="DC28" i="17" s="1"/>
  <c r="CU28" i="17"/>
  <c r="CV28" i="17" s="1"/>
  <c r="BD28" i="17"/>
  <c r="DQ27" i="17"/>
  <c r="CZ27" i="17"/>
  <c r="CU27" i="17"/>
  <c r="BD27" i="17"/>
  <c r="CP27" i="17" s="1"/>
  <c r="DQ26" i="17"/>
  <c r="CZ26" i="17"/>
  <c r="CU26" i="17"/>
  <c r="CV26" i="17" s="1"/>
  <c r="BD26" i="17"/>
  <c r="CP26" i="17" s="1"/>
  <c r="DQ25" i="17"/>
  <c r="DS25" i="17" s="1"/>
  <c r="DT25" i="17" s="1"/>
  <c r="DU25" i="17" s="1"/>
  <c r="CZ25" i="17"/>
  <c r="CU25" i="17"/>
  <c r="BD25" i="17"/>
  <c r="CP25" i="17" s="1"/>
  <c r="DQ24" i="17"/>
  <c r="DS24" i="17" s="1"/>
  <c r="DT24" i="17" s="1"/>
  <c r="DU24" i="17" s="1"/>
  <c r="CZ24" i="17"/>
  <c r="DB24" i="17" s="1"/>
  <c r="DC24" i="17" s="1"/>
  <c r="CU24" i="17"/>
  <c r="CW24" i="17" s="1"/>
  <c r="CX24" i="17" s="1"/>
  <c r="BD18" i="17"/>
  <c r="BD19" i="17"/>
  <c r="BD20" i="17"/>
  <c r="CP20" i="17" s="1"/>
  <c r="BD21" i="17"/>
  <c r="BD22" i="17"/>
  <c r="BD23" i="17"/>
  <c r="DQ23" i="17"/>
  <c r="CZ23" i="17"/>
  <c r="CU23" i="17"/>
  <c r="CW23" i="17" s="1"/>
  <c r="CX23" i="17" s="1"/>
  <c r="CK23" i="17"/>
  <c r="DQ22" i="17"/>
  <c r="DK22" i="17" s="1"/>
  <c r="CZ22" i="17"/>
  <c r="CU22" i="17"/>
  <c r="DQ21" i="17"/>
  <c r="DK21" i="17" s="1"/>
  <c r="DM21" i="17" s="1"/>
  <c r="DN21" i="17" s="1"/>
  <c r="DO21" i="17" s="1"/>
  <c r="CZ21" i="17"/>
  <c r="CU21" i="17"/>
  <c r="DQ20" i="17"/>
  <c r="CZ20" i="17"/>
  <c r="CU20" i="17"/>
  <c r="DQ19" i="17"/>
  <c r="CZ19" i="17"/>
  <c r="DA19" i="17" s="1"/>
  <c r="CU19" i="17"/>
  <c r="DQ18" i="17"/>
  <c r="DK18" i="17" s="1"/>
  <c r="CZ18" i="17"/>
  <c r="CU18" i="17"/>
  <c r="CW18" i="17" s="1"/>
  <c r="CX18" i="17" s="1"/>
  <c r="CZ48" i="32"/>
  <c r="DR48" i="32"/>
  <c r="CU48" i="32"/>
  <c r="BD17" i="32"/>
  <c r="CS39" i="32" s="1"/>
  <c r="BD48" i="32"/>
  <c r="CP48" i="32" s="1"/>
  <c r="CZ47" i="32"/>
  <c r="DB47" i="32" s="1"/>
  <c r="DC47" i="32" s="1"/>
  <c r="CU47" i="32"/>
  <c r="CW47" i="32" s="1"/>
  <c r="CX47" i="32" s="1"/>
  <c r="BD47" i="32"/>
  <c r="DQ46" i="32"/>
  <c r="DS46" i="32" s="1"/>
  <c r="DT46" i="32" s="1"/>
  <c r="DU46" i="32" s="1"/>
  <c r="CZ46" i="32"/>
  <c r="CU46" i="32"/>
  <c r="BD46" i="32"/>
  <c r="CZ45" i="32"/>
  <c r="DR45" i="32"/>
  <c r="CU45" i="32"/>
  <c r="BD45" i="32"/>
  <c r="BN45" i="32" s="1"/>
  <c r="DQ44" i="32"/>
  <c r="DK44" i="32" s="1"/>
  <c r="CZ44" i="32"/>
  <c r="DA44" i="32" s="1"/>
  <c r="CU44" i="32"/>
  <c r="CW44" i="32" s="1"/>
  <c r="CX44" i="32" s="1"/>
  <c r="CV44" i="32"/>
  <c r="BD44" i="32"/>
  <c r="CP44" i="32" s="1"/>
  <c r="CZ43" i="32"/>
  <c r="DB43" i="32" s="1"/>
  <c r="DC43" i="32" s="1"/>
  <c r="CU43" i="32"/>
  <c r="BD43" i="32"/>
  <c r="DQ42" i="32"/>
  <c r="CZ42" i="32"/>
  <c r="CU42" i="32"/>
  <c r="BD42" i="32"/>
  <c r="CP42" i="32" s="1"/>
  <c r="BD37" i="32"/>
  <c r="CP37" i="32" s="1"/>
  <c r="BD38" i="32"/>
  <c r="CP38" i="32" s="1"/>
  <c r="BD39" i="32"/>
  <c r="CP39" i="32" s="1"/>
  <c r="BD40" i="32"/>
  <c r="CP40" i="32" s="1"/>
  <c r="BD41" i="32"/>
  <c r="CP41" i="32" s="1"/>
  <c r="DQ41" i="32"/>
  <c r="DK41" i="32" s="1"/>
  <c r="DE41" i="32" s="1"/>
  <c r="CZ41" i="32"/>
  <c r="DB41" i="32" s="1"/>
  <c r="DC41" i="32" s="1"/>
  <c r="CU41" i="32"/>
  <c r="CK41" i="32"/>
  <c r="CZ40" i="32"/>
  <c r="DA40" i="32" s="1"/>
  <c r="CU40" i="32"/>
  <c r="CZ39" i="32"/>
  <c r="CU39" i="32"/>
  <c r="CW39" i="32" s="1"/>
  <c r="CX39" i="32" s="1"/>
  <c r="DQ38" i="32"/>
  <c r="CZ38" i="32"/>
  <c r="CU38" i="32"/>
  <c r="CW38" i="32" s="1"/>
  <c r="CX38" i="32" s="1"/>
  <c r="CZ37" i="32"/>
  <c r="CU37" i="32"/>
  <c r="CK34" i="32"/>
  <c r="CL33" i="32"/>
  <c r="CJ33" i="32"/>
  <c r="CK32" i="32"/>
  <c r="DQ29" i="32"/>
  <c r="DK29" i="32" s="1"/>
  <c r="DE29" i="32" s="1"/>
  <c r="CZ29" i="32"/>
  <c r="DB29" i="32" s="1"/>
  <c r="DC29" i="32" s="1"/>
  <c r="CU29" i="32"/>
  <c r="CV29" i="32" s="1"/>
  <c r="BD29" i="32"/>
  <c r="DQ28" i="32"/>
  <c r="CZ28" i="32"/>
  <c r="DA28" i="32" s="1"/>
  <c r="CU28" i="32"/>
  <c r="BD28" i="32"/>
  <c r="DQ27" i="32"/>
  <c r="DS27" i="32" s="1"/>
  <c r="DT27" i="32" s="1"/>
  <c r="DU27" i="32" s="1"/>
  <c r="CZ27" i="32"/>
  <c r="CU27" i="32"/>
  <c r="CW27" i="32" s="1"/>
  <c r="CX27" i="32" s="1"/>
  <c r="BD27" i="32"/>
  <c r="DQ26" i="32"/>
  <c r="CZ26" i="32"/>
  <c r="DA26" i="32" s="1"/>
  <c r="DK26" i="32"/>
  <c r="CU26" i="32"/>
  <c r="BD26" i="32"/>
  <c r="CP26" i="32" s="1"/>
  <c r="DQ25" i="32"/>
  <c r="CZ25" i="32"/>
  <c r="DA25" i="32" s="1"/>
  <c r="CU25" i="32"/>
  <c r="BD25" i="32"/>
  <c r="DQ24" i="32"/>
  <c r="CZ24" i="32"/>
  <c r="CU24" i="32"/>
  <c r="BD24" i="32"/>
  <c r="CP24" i="32" s="1"/>
  <c r="BD18" i="32"/>
  <c r="BD19" i="32"/>
  <c r="BD20" i="32"/>
  <c r="BD21" i="32"/>
  <c r="CP21" i="32" s="1"/>
  <c r="BD22" i="32"/>
  <c r="CP22" i="32" s="1"/>
  <c r="BD23" i="32"/>
  <c r="DQ23" i="32"/>
  <c r="CZ23" i="32"/>
  <c r="DA23" i="32" s="1"/>
  <c r="CU23" i="32"/>
  <c r="CV23" i="32" s="1"/>
  <c r="CK23" i="32"/>
  <c r="DQ22" i="32"/>
  <c r="CZ22" i="32"/>
  <c r="DB22" i="32" s="1"/>
  <c r="DC22" i="32" s="1"/>
  <c r="CU22" i="32"/>
  <c r="DQ21" i="32"/>
  <c r="CZ21" i="32"/>
  <c r="CU21" i="32"/>
  <c r="DQ20" i="32"/>
  <c r="DK20" i="32" s="1"/>
  <c r="CZ20" i="32"/>
  <c r="CU20" i="32"/>
  <c r="DQ19" i="32"/>
  <c r="DR19" i="32" s="1"/>
  <c r="CZ19" i="32"/>
  <c r="DA19" i="32" s="1"/>
  <c r="CU19" i="32"/>
  <c r="CV19" i="32" s="1"/>
  <c r="CW19" i="32"/>
  <c r="CX19" i="32" s="1"/>
  <c r="DQ18" i="32"/>
  <c r="CZ18" i="32"/>
  <c r="DB18" i="32" s="1"/>
  <c r="DC18" i="32" s="1"/>
  <c r="CU18" i="32"/>
  <c r="CW18" i="32" s="1"/>
  <c r="CX18" i="32" s="1"/>
  <c r="DQ48" i="2"/>
  <c r="DS48" i="2" s="1"/>
  <c r="DT48" i="2" s="1"/>
  <c r="DU48" i="2" s="1"/>
  <c r="DQ46" i="2"/>
  <c r="DK46" i="2" s="1"/>
  <c r="DQ45" i="2"/>
  <c r="DK45" i="2" s="1"/>
  <c r="DQ44" i="2"/>
  <c r="DS44" i="2" s="1"/>
  <c r="DT44" i="2" s="1"/>
  <c r="DU44" i="2" s="1"/>
  <c r="DQ42" i="2"/>
  <c r="DK42" i="2" s="1"/>
  <c r="DQ40" i="2"/>
  <c r="DR40" i="2" s="1"/>
  <c r="DQ38" i="2"/>
  <c r="DK38" i="2" s="1"/>
  <c r="DL38" i="2" s="1"/>
  <c r="DQ29" i="2"/>
  <c r="DQ28" i="2"/>
  <c r="DQ27" i="2"/>
  <c r="DK27" i="2" s="1"/>
  <c r="DE27" i="2" s="1"/>
  <c r="DQ26" i="2"/>
  <c r="DQ25" i="2"/>
  <c r="DS25" i="2" s="1"/>
  <c r="DT25" i="2" s="1"/>
  <c r="DU25" i="2" s="1"/>
  <c r="DQ24" i="2"/>
  <c r="DK24" i="2" s="1"/>
  <c r="DQ23" i="2"/>
  <c r="DK23" i="2" s="1"/>
  <c r="DE23" i="2" s="1"/>
  <c r="DG23" i="2" s="1"/>
  <c r="DH23" i="2" s="1"/>
  <c r="DI23" i="2" s="1"/>
  <c r="DQ22" i="2"/>
  <c r="DS22" i="2" s="1"/>
  <c r="DT22" i="2" s="1"/>
  <c r="DU22" i="2" s="1"/>
  <c r="DQ21" i="2"/>
  <c r="DK21" i="2" s="1"/>
  <c r="DE21" i="2" s="1"/>
  <c r="DQ20" i="2"/>
  <c r="DR20" i="2" s="1"/>
  <c r="DQ19" i="2"/>
  <c r="DK19" i="2" s="1"/>
  <c r="DE19" i="2" s="1"/>
  <c r="DF19" i="2" s="1"/>
  <c r="DQ18" i="2"/>
  <c r="DK18" i="2" s="1"/>
  <c r="DK48" i="2"/>
  <c r="DL48" i="2" s="1"/>
  <c r="DK29" i="2"/>
  <c r="DE29" i="2" s="1"/>
  <c r="DK28" i="2"/>
  <c r="DE28" i="2" s="1"/>
  <c r="DK26" i="2"/>
  <c r="DM26" i="2" s="1"/>
  <c r="DN26" i="2" s="1"/>
  <c r="DO26" i="2" s="1"/>
  <c r="DZ26" i="2" s="1"/>
  <c r="DE26" i="2"/>
  <c r="BD17" i="2"/>
  <c r="BD48" i="2"/>
  <c r="CP48" i="2" s="1"/>
  <c r="BD47" i="2"/>
  <c r="CP47" i="2" s="1"/>
  <c r="BD46" i="2"/>
  <c r="CP46" i="2" s="1"/>
  <c r="BD45" i="2"/>
  <c r="BD44" i="2"/>
  <c r="CP44" i="2" s="1"/>
  <c r="BD43" i="2"/>
  <c r="CP43" i="2" s="1"/>
  <c r="BD42" i="2"/>
  <c r="CP42" i="2" s="1"/>
  <c r="BD41" i="2"/>
  <c r="BD40" i="2"/>
  <c r="CP40" i="2" s="1"/>
  <c r="BD39" i="2"/>
  <c r="CP39" i="2" s="1"/>
  <c r="BD38" i="2"/>
  <c r="CP38" i="2" s="1"/>
  <c r="BD37" i="2"/>
  <c r="BD29" i="2"/>
  <c r="BD28" i="2"/>
  <c r="BD27" i="2"/>
  <c r="BD26" i="2"/>
  <c r="BD25" i="2"/>
  <c r="BD24" i="2"/>
  <c r="BD23" i="2"/>
  <c r="CP23" i="2" s="1"/>
  <c r="BD22" i="2"/>
  <c r="CP22" i="2" s="1"/>
  <c r="BD21" i="2"/>
  <c r="BD20" i="2"/>
  <c r="CP20" i="2" s="1"/>
  <c r="BD19" i="2"/>
  <c r="CP19" i="2" s="1"/>
  <c r="BD18" i="2"/>
  <c r="CU48" i="2"/>
  <c r="CU47" i="2"/>
  <c r="CU46" i="2"/>
  <c r="CU45" i="2"/>
  <c r="CU44" i="2"/>
  <c r="CW44" i="2" s="1"/>
  <c r="CX44" i="2" s="1"/>
  <c r="CU43" i="2"/>
  <c r="CU42" i="2"/>
  <c r="CW42" i="2" s="1"/>
  <c r="CX42" i="2" s="1"/>
  <c r="CU41" i="2"/>
  <c r="CU40" i="2"/>
  <c r="CW40" i="2" s="1"/>
  <c r="CX40" i="2" s="1"/>
  <c r="CU39" i="2"/>
  <c r="CV39" i="2" s="1"/>
  <c r="CU38" i="2"/>
  <c r="CW38" i="2" s="1"/>
  <c r="CX38" i="2" s="1"/>
  <c r="CU37" i="2"/>
  <c r="CU29" i="2"/>
  <c r="CU28" i="2"/>
  <c r="CU27" i="2"/>
  <c r="CU26" i="2"/>
  <c r="CU25" i="2"/>
  <c r="CU24" i="2"/>
  <c r="CU23" i="2"/>
  <c r="CW23" i="2" s="1"/>
  <c r="CX23" i="2" s="1"/>
  <c r="CU22" i="2"/>
  <c r="CU21" i="2"/>
  <c r="CU20" i="2"/>
  <c r="CV20" i="2" s="1"/>
  <c r="CU19" i="2"/>
  <c r="CV19" i="2" s="1"/>
  <c r="CU18" i="2"/>
  <c r="CZ48" i="2"/>
  <c r="CZ47" i="2"/>
  <c r="CZ46" i="2"/>
  <c r="CZ45" i="2"/>
  <c r="CZ44" i="2"/>
  <c r="DA44" i="2" s="1"/>
  <c r="CZ43" i="2"/>
  <c r="CZ42" i="2"/>
  <c r="DB42" i="2" s="1"/>
  <c r="DC42" i="2" s="1"/>
  <c r="CZ41" i="2"/>
  <c r="CZ40" i="2"/>
  <c r="DB40" i="2" s="1"/>
  <c r="DC40" i="2" s="1"/>
  <c r="CZ39" i="2"/>
  <c r="DA39" i="2" s="1"/>
  <c r="CZ38" i="2"/>
  <c r="DB38" i="2" s="1"/>
  <c r="DC38" i="2" s="1"/>
  <c r="CZ37" i="2"/>
  <c r="CZ29" i="2"/>
  <c r="CZ28" i="2"/>
  <c r="CZ27" i="2"/>
  <c r="CZ26" i="2"/>
  <c r="CZ25" i="2"/>
  <c r="CZ24" i="2"/>
  <c r="CZ23" i="2"/>
  <c r="DB23" i="2" s="1"/>
  <c r="DC23" i="2" s="1"/>
  <c r="CZ22" i="2"/>
  <c r="CZ21" i="2"/>
  <c r="CZ20" i="2"/>
  <c r="DA20" i="2" s="1"/>
  <c r="CZ19" i="2"/>
  <c r="DA19" i="2" s="1"/>
  <c r="CZ18" i="2"/>
  <c r="CP18" i="19"/>
  <c r="CP19" i="19"/>
  <c r="CP20" i="19"/>
  <c r="CP21" i="19"/>
  <c r="CP22" i="19"/>
  <c r="CP23" i="19"/>
  <c r="CP24" i="19"/>
  <c r="CP25" i="19"/>
  <c r="CP26" i="19"/>
  <c r="CP27" i="19"/>
  <c r="CP28" i="19"/>
  <c r="CP29" i="19"/>
  <c r="BD30" i="19"/>
  <c r="DQ48" i="19"/>
  <c r="CZ48" i="19"/>
  <c r="CU48" i="19"/>
  <c r="CV48" i="19" s="1"/>
  <c r="BD17" i="19"/>
  <c r="CR27" i="19" s="1"/>
  <c r="CP48" i="19"/>
  <c r="DQ47" i="19"/>
  <c r="CZ47" i="19"/>
  <c r="DB47" i="19" s="1"/>
  <c r="DC47" i="19" s="1"/>
  <c r="CU47" i="19"/>
  <c r="CP47" i="19"/>
  <c r="DQ46" i="19"/>
  <c r="DK46" i="19" s="1"/>
  <c r="CZ46" i="19"/>
  <c r="DB46" i="19" s="1"/>
  <c r="DC46" i="19" s="1"/>
  <c r="CU46" i="19"/>
  <c r="CP46" i="19"/>
  <c r="DQ45" i="19"/>
  <c r="CZ45" i="19"/>
  <c r="DB45" i="19" s="1"/>
  <c r="DC45" i="19" s="1"/>
  <c r="CU45" i="19"/>
  <c r="CP45" i="19"/>
  <c r="DQ44" i="19"/>
  <c r="DS44" i="19" s="1"/>
  <c r="DT44" i="19" s="1"/>
  <c r="DU44" i="19" s="1"/>
  <c r="CZ44" i="19"/>
  <c r="DA44" i="19" s="1"/>
  <c r="CU44" i="19"/>
  <c r="CP44" i="19"/>
  <c r="DQ43" i="19"/>
  <c r="CZ43" i="19"/>
  <c r="DB43" i="19" s="1"/>
  <c r="DC43" i="19" s="1"/>
  <c r="CU43" i="19"/>
  <c r="CP43" i="19"/>
  <c r="DQ42" i="19"/>
  <c r="DS42" i="19" s="1"/>
  <c r="DT42" i="19" s="1"/>
  <c r="DU42" i="19" s="1"/>
  <c r="CZ42" i="19"/>
  <c r="DA42" i="19" s="1"/>
  <c r="CU42" i="19"/>
  <c r="CP42" i="19"/>
  <c r="CP37" i="19"/>
  <c r="CP38" i="19"/>
  <c r="CP39" i="19"/>
  <c r="CP40" i="19"/>
  <c r="CP41" i="19"/>
  <c r="BD49" i="19"/>
  <c r="DQ41" i="19"/>
  <c r="CZ41" i="19"/>
  <c r="CU41" i="19"/>
  <c r="CK41" i="19"/>
  <c r="DQ40" i="19"/>
  <c r="CZ40" i="19"/>
  <c r="CU40" i="19"/>
  <c r="DQ39" i="19"/>
  <c r="CZ39" i="19"/>
  <c r="CU39" i="19"/>
  <c r="CW39" i="19" s="1"/>
  <c r="CX39" i="19" s="1"/>
  <c r="DQ38" i="19"/>
  <c r="DK38" i="19" s="1"/>
  <c r="CZ38" i="19"/>
  <c r="CU38" i="19"/>
  <c r="DQ37" i="19"/>
  <c r="DS37" i="19" s="1"/>
  <c r="DT37" i="19" s="1"/>
  <c r="DU37" i="19" s="1"/>
  <c r="CZ37" i="19"/>
  <c r="DB37" i="19" s="1"/>
  <c r="DC37" i="19" s="1"/>
  <c r="CU37" i="19"/>
  <c r="CK34" i="19"/>
  <c r="CL33" i="19"/>
  <c r="CJ33" i="19"/>
  <c r="CK32" i="19"/>
  <c r="DQ29" i="19"/>
  <c r="DR29" i="19" s="1"/>
  <c r="CZ29" i="19"/>
  <c r="DB29" i="19" s="1"/>
  <c r="DC29" i="19"/>
  <c r="CU29" i="19"/>
  <c r="DQ28" i="19"/>
  <c r="DS28" i="19" s="1"/>
  <c r="DT28" i="19" s="1"/>
  <c r="DU28" i="19" s="1"/>
  <c r="CZ28" i="19"/>
  <c r="CU28" i="19"/>
  <c r="DQ27" i="19"/>
  <c r="CZ27" i="19"/>
  <c r="DA27" i="19" s="1"/>
  <c r="CU27" i="19"/>
  <c r="CW27" i="19" s="1"/>
  <c r="CX27" i="19" s="1"/>
  <c r="DQ26" i="19"/>
  <c r="DK26" i="19" s="1"/>
  <c r="DE26" i="19" s="1"/>
  <c r="CZ26" i="19"/>
  <c r="DA26" i="19" s="1"/>
  <c r="DR26" i="19"/>
  <c r="CU26" i="19"/>
  <c r="CV26" i="19" s="1"/>
  <c r="DQ25" i="19"/>
  <c r="DS25" i="19" s="1"/>
  <c r="DT25" i="19" s="1"/>
  <c r="DU25" i="19" s="1"/>
  <c r="CZ25" i="19"/>
  <c r="DB25" i="19" s="1"/>
  <c r="DC25" i="19" s="1"/>
  <c r="CU25" i="19"/>
  <c r="DQ24" i="19"/>
  <c r="DS24" i="19" s="1"/>
  <c r="DT24" i="19" s="1"/>
  <c r="DU24" i="19" s="1"/>
  <c r="CZ24" i="19"/>
  <c r="CU24" i="19"/>
  <c r="CV24" i="19" s="1"/>
  <c r="DQ23" i="19"/>
  <c r="CZ23" i="19"/>
  <c r="DA23" i="19" s="1"/>
  <c r="DR23" i="19"/>
  <c r="CU23" i="19"/>
  <c r="CW23" i="19" s="1"/>
  <c r="CX23" i="19" s="1"/>
  <c r="CS23" i="19"/>
  <c r="CK23" i="19"/>
  <c r="DQ22" i="19"/>
  <c r="DK22" i="19" s="1"/>
  <c r="CZ22" i="19"/>
  <c r="DA22" i="19" s="1"/>
  <c r="CU22" i="19"/>
  <c r="CV22" i="19" s="1"/>
  <c r="DQ21" i="19"/>
  <c r="CZ21" i="19"/>
  <c r="DK21" i="19"/>
  <c r="DE21" i="19" s="1"/>
  <c r="DG21" i="19" s="1"/>
  <c r="DH21" i="19" s="1"/>
  <c r="DI21" i="19" s="1"/>
  <c r="CU21" i="19"/>
  <c r="CV21" i="19" s="1"/>
  <c r="DQ20" i="19"/>
  <c r="DK20" i="19" s="1"/>
  <c r="CZ20" i="19"/>
  <c r="CU20" i="19"/>
  <c r="DQ19" i="19"/>
  <c r="CZ19" i="19"/>
  <c r="DB19" i="19" s="1"/>
  <c r="DC19" i="19" s="1"/>
  <c r="CU19" i="19"/>
  <c r="CV19" i="19" s="1"/>
  <c r="CW19" i="19"/>
  <c r="CX19" i="19" s="1"/>
  <c r="DQ18" i="19"/>
  <c r="DS18" i="19" s="1"/>
  <c r="DT18" i="19" s="1"/>
  <c r="DU18" i="19" s="1"/>
  <c r="CZ18" i="19"/>
  <c r="CU18" i="19"/>
  <c r="CK10" i="19"/>
  <c r="CK9" i="19"/>
  <c r="AP13" i="16"/>
  <c r="BI17" i="16"/>
  <c r="CN53" i="16" s="1"/>
  <c r="DQ48" i="16"/>
  <c r="DS48" i="16" s="1"/>
  <c r="DT48" i="16" s="1"/>
  <c r="DU48" i="16" s="1"/>
  <c r="CZ48" i="16"/>
  <c r="DB48" i="16" s="1"/>
  <c r="DC48" i="16" s="1"/>
  <c r="CU48" i="16"/>
  <c r="BD17" i="16"/>
  <c r="BN17" i="16" s="1"/>
  <c r="DQ47" i="16"/>
  <c r="DS47" i="16" s="1"/>
  <c r="DT47" i="16" s="1"/>
  <c r="DU47" i="16" s="1"/>
  <c r="CZ47" i="16"/>
  <c r="DB47" i="16" s="1"/>
  <c r="DC47" i="16" s="1"/>
  <c r="CU47" i="16"/>
  <c r="CW47" i="16" s="1"/>
  <c r="CX47" i="16" s="1"/>
  <c r="CP47" i="16"/>
  <c r="DQ46" i="16"/>
  <c r="CZ46" i="16"/>
  <c r="DB46" i="16" s="1"/>
  <c r="DC46" i="16" s="1"/>
  <c r="CU46" i="16"/>
  <c r="CW46" i="16" s="1"/>
  <c r="CX46" i="16" s="1"/>
  <c r="DQ45" i="16"/>
  <c r="CZ45" i="16"/>
  <c r="DB45" i="16" s="1"/>
  <c r="DC45" i="16" s="1"/>
  <c r="CU45" i="16"/>
  <c r="CW45" i="16" s="1"/>
  <c r="CX45" i="16" s="1"/>
  <c r="CP45" i="16"/>
  <c r="DQ44" i="16"/>
  <c r="DS44" i="16" s="1"/>
  <c r="DT44" i="16" s="1"/>
  <c r="DU44" i="16" s="1"/>
  <c r="CZ44" i="16"/>
  <c r="DB44" i="16" s="1"/>
  <c r="DC44" i="16" s="1"/>
  <c r="CU44" i="16"/>
  <c r="CW44" i="16" s="1"/>
  <c r="CX44" i="16" s="1"/>
  <c r="DQ43" i="16"/>
  <c r="DR43" i="16" s="1"/>
  <c r="CZ43" i="16"/>
  <c r="DB43" i="16" s="1"/>
  <c r="DC43" i="16" s="1"/>
  <c r="CU43" i="16"/>
  <c r="CW43" i="16" s="1"/>
  <c r="CX43" i="16" s="1"/>
  <c r="CP43" i="16"/>
  <c r="DQ42" i="16"/>
  <c r="DS42" i="16" s="1"/>
  <c r="DT42" i="16"/>
  <c r="DU42" i="16" s="1"/>
  <c r="CZ42" i="16"/>
  <c r="DB42" i="16" s="1"/>
  <c r="DC42" i="16" s="1"/>
  <c r="CU42" i="16"/>
  <c r="CW42" i="16" s="1"/>
  <c r="CX42" i="16" s="1"/>
  <c r="CP37" i="16"/>
  <c r="CP39" i="16"/>
  <c r="CP41" i="16"/>
  <c r="DQ41" i="16"/>
  <c r="DR41" i="16" s="1"/>
  <c r="CZ41" i="16"/>
  <c r="CU41" i="16"/>
  <c r="CV41" i="16" s="1"/>
  <c r="CK41" i="16"/>
  <c r="DQ40" i="16"/>
  <c r="DS40" i="16" s="1"/>
  <c r="DT40" i="16" s="1"/>
  <c r="DU40" i="16" s="1"/>
  <c r="CZ40" i="16"/>
  <c r="CU40" i="16"/>
  <c r="DQ39" i="16"/>
  <c r="CZ39" i="16"/>
  <c r="DB39" i="16" s="1"/>
  <c r="DC39" i="16" s="1"/>
  <c r="CU39" i="16"/>
  <c r="CW39" i="16" s="1"/>
  <c r="CX39" i="16" s="1"/>
  <c r="DQ38" i="16"/>
  <c r="CZ38" i="16"/>
  <c r="DB38" i="16" s="1"/>
  <c r="DC38" i="16" s="1"/>
  <c r="CU38" i="16"/>
  <c r="CW38" i="16" s="1"/>
  <c r="CX38" i="16" s="1"/>
  <c r="DQ37" i="16"/>
  <c r="DS37" i="16" s="1"/>
  <c r="DT37" i="16" s="1"/>
  <c r="DU37" i="16" s="1"/>
  <c r="CZ37" i="16"/>
  <c r="DB37" i="16" s="1"/>
  <c r="DC37" i="16" s="1"/>
  <c r="CU37" i="16"/>
  <c r="CK34" i="16"/>
  <c r="CL33" i="16"/>
  <c r="CJ33" i="16"/>
  <c r="CK33" i="16" s="1"/>
  <c r="CK32" i="16"/>
  <c r="DQ29" i="16"/>
  <c r="DS29" i="16" s="1"/>
  <c r="DT29" i="16" s="1"/>
  <c r="DU29" i="16" s="1"/>
  <c r="CZ29" i="16"/>
  <c r="DB29" i="16" s="1"/>
  <c r="DC29" i="16" s="1"/>
  <c r="CU29" i="16"/>
  <c r="DQ28" i="16"/>
  <c r="CZ28" i="16"/>
  <c r="CU28" i="16"/>
  <c r="CW28" i="16" s="1"/>
  <c r="CX28" i="16" s="1"/>
  <c r="CP28" i="16"/>
  <c r="DQ27" i="16"/>
  <c r="DS27" i="16" s="1"/>
  <c r="DT27" i="16" s="1"/>
  <c r="DU27" i="16" s="1"/>
  <c r="CZ27" i="16"/>
  <c r="CU27" i="16"/>
  <c r="CW27" i="16" s="1"/>
  <c r="CX27" i="16" s="1"/>
  <c r="DQ26" i="16"/>
  <c r="DK26" i="16" s="1"/>
  <c r="DE26" i="16" s="1"/>
  <c r="CZ26" i="16"/>
  <c r="DB26" i="16" s="1"/>
  <c r="DC26" i="16" s="1"/>
  <c r="CU26" i="16"/>
  <c r="CP26" i="16"/>
  <c r="DQ25" i="16"/>
  <c r="DK25" i="16" s="1"/>
  <c r="DE25" i="16" s="1"/>
  <c r="CZ25" i="16"/>
  <c r="DB25" i="16" s="1"/>
  <c r="DC25" i="16" s="1"/>
  <c r="CU25" i="16"/>
  <c r="CW25" i="16" s="1"/>
  <c r="CX25" i="16" s="1"/>
  <c r="DQ24" i="16"/>
  <c r="DK24" i="16" s="1"/>
  <c r="DE24" i="16" s="1"/>
  <c r="CZ24" i="16"/>
  <c r="DB24" i="16" s="1"/>
  <c r="DC24" i="16" s="1"/>
  <c r="CU24" i="16"/>
  <c r="CP24" i="16"/>
  <c r="CP18" i="16"/>
  <c r="CP20" i="16"/>
  <c r="DQ23" i="16"/>
  <c r="CZ23" i="16"/>
  <c r="DB23" i="16" s="1"/>
  <c r="DC23" i="16" s="1"/>
  <c r="CU23" i="16"/>
  <c r="CW23" i="16" s="1"/>
  <c r="CX23" i="16" s="1"/>
  <c r="CK23" i="16"/>
  <c r="DQ22" i="16"/>
  <c r="DK22" i="16" s="1"/>
  <c r="DE22" i="16" s="1"/>
  <c r="CZ22" i="16"/>
  <c r="DB22" i="16" s="1"/>
  <c r="DC22" i="16" s="1"/>
  <c r="CU22" i="16"/>
  <c r="CV22" i="16" s="1"/>
  <c r="CW22" i="16"/>
  <c r="CX22" i="16" s="1"/>
  <c r="DQ21" i="16"/>
  <c r="CZ21" i="16"/>
  <c r="DA21" i="16" s="1"/>
  <c r="CU21" i="16"/>
  <c r="DQ20" i="16"/>
  <c r="DR20" i="16" s="1"/>
  <c r="CZ20" i="16"/>
  <c r="CU20" i="16"/>
  <c r="CW20" i="16" s="1"/>
  <c r="CX20" i="16" s="1"/>
  <c r="DQ19" i="16"/>
  <c r="CZ19" i="16"/>
  <c r="CU19" i="16"/>
  <c r="CW19" i="16" s="1"/>
  <c r="CX19" i="16" s="1"/>
  <c r="DQ18" i="16"/>
  <c r="DK18" i="16" s="1"/>
  <c r="DE18" i="16" s="1"/>
  <c r="CZ18" i="16"/>
  <c r="DB18" i="16" s="1"/>
  <c r="DC18" i="16" s="1"/>
  <c r="CU18" i="16"/>
  <c r="CV18" i="16" s="1"/>
  <c r="CK10" i="16"/>
  <c r="DQ48" i="23"/>
  <c r="CZ48" i="23"/>
  <c r="DB48" i="23" s="1"/>
  <c r="DC48" i="23" s="1"/>
  <c r="CU48" i="23"/>
  <c r="BD17" i="23"/>
  <c r="CS21" i="23" s="1"/>
  <c r="BD48" i="23"/>
  <c r="CP48" i="23" s="1"/>
  <c r="DQ47" i="23"/>
  <c r="DR47" i="23" s="1"/>
  <c r="CZ47" i="23"/>
  <c r="DB47" i="23"/>
  <c r="DC47" i="23" s="1"/>
  <c r="DA47" i="23"/>
  <c r="CU47" i="23"/>
  <c r="CW47" i="23" s="1"/>
  <c r="CX47" i="23" s="1"/>
  <c r="BD47" i="23"/>
  <c r="DQ46" i="23"/>
  <c r="DR46" i="23" s="1"/>
  <c r="CZ46" i="23"/>
  <c r="CU46" i="23"/>
  <c r="CW46" i="23" s="1"/>
  <c r="CX46" i="23" s="1"/>
  <c r="BD46" i="23"/>
  <c r="CP46" i="23" s="1"/>
  <c r="DQ45" i="23"/>
  <c r="CZ45" i="23"/>
  <c r="CU45" i="23"/>
  <c r="BD45" i="23"/>
  <c r="BN45" i="23" s="1"/>
  <c r="DQ44" i="23"/>
  <c r="DK44" i="23" s="1"/>
  <c r="DE44" i="23" s="1"/>
  <c r="CZ44" i="23"/>
  <c r="DB44" i="23" s="1"/>
  <c r="DC44" i="23" s="1"/>
  <c r="CU44" i="23"/>
  <c r="BD44" i="23"/>
  <c r="CP44" i="23" s="1"/>
  <c r="DQ43" i="23"/>
  <c r="CZ43" i="23"/>
  <c r="DB43" i="23" s="1"/>
  <c r="DC43" i="23" s="1"/>
  <c r="CU43" i="23"/>
  <c r="CW43" i="23" s="1"/>
  <c r="CX43" i="23" s="1"/>
  <c r="BD43" i="23"/>
  <c r="DQ42" i="23"/>
  <c r="CZ42" i="23"/>
  <c r="CU42" i="23"/>
  <c r="BD42" i="23"/>
  <c r="BD37" i="23"/>
  <c r="BD38" i="23"/>
  <c r="CP38" i="23" s="1"/>
  <c r="BD39" i="23"/>
  <c r="BD40" i="23"/>
  <c r="CP40" i="23" s="1"/>
  <c r="BD41" i="23"/>
  <c r="CP41" i="23" s="1"/>
  <c r="DQ41" i="23"/>
  <c r="CZ41" i="23"/>
  <c r="CU41" i="23"/>
  <c r="CK41" i="23"/>
  <c r="DQ40" i="23"/>
  <c r="DS40" i="23" s="1"/>
  <c r="DT40" i="23" s="1"/>
  <c r="DU40" i="23" s="1"/>
  <c r="CZ40" i="23"/>
  <c r="DA40" i="23" s="1"/>
  <c r="CU40" i="23"/>
  <c r="DQ39" i="23"/>
  <c r="DR39" i="23" s="1"/>
  <c r="CZ39" i="23"/>
  <c r="CU39" i="23"/>
  <c r="CW39" i="23" s="1"/>
  <c r="CX39" i="23" s="1"/>
  <c r="DQ38" i="23"/>
  <c r="DK38" i="23" s="1"/>
  <c r="CZ38" i="23"/>
  <c r="DA38" i="23" s="1"/>
  <c r="CU38" i="23"/>
  <c r="CW38" i="23" s="1"/>
  <c r="CX38" i="23" s="1"/>
  <c r="DQ37" i="23"/>
  <c r="CZ37" i="23"/>
  <c r="DB37" i="23" s="1"/>
  <c r="DC37" i="23" s="1"/>
  <c r="CU37" i="23"/>
  <c r="CV37" i="23" s="1"/>
  <c r="CW37" i="23"/>
  <c r="CX37" i="23" s="1"/>
  <c r="CK34" i="23"/>
  <c r="CL33" i="23"/>
  <c r="CJ33" i="23"/>
  <c r="CK32" i="23"/>
  <c r="DQ29" i="23"/>
  <c r="CZ29" i="23"/>
  <c r="DB29" i="23" s="1"/>
  <c r="DC29" i="23" s="1"/>
  <c r="CU29" i="23"/>
  <c r="CV29" i="23" s="1"/>
  <c r="CW29" i="23"/>
  <c r="CX29" i="23" s="1"/>
  <c r="BD29" i="23"/>
  <c r="DQ28" i="23"/>
  <c r="DS28" i="23" s="1"/>
  <c r="DT28" i="23" s="1"/>
  <c r="DU28" i="23" s="1"/>
  <c r="CZ28" i="23"/>
  <c r="DB28" i="23" s="1"/>
  <c r="DC28" i="23" s="1"/>
  <c r="DA28" i="23"/>
  <c r="CU28" i="23"/>
  <c r="CW28" i="23" s="1"/>
  <c r="CX28" i="23" s="1"/>
  <c r="BD28" i="23"/>
  <c r="DQ27" i="23"/>
  <c r="DR27" i="23" s="1"/>
  <c r="CZ27" i="23"/>
  <c r="CU27" i="23"/>
  <c r="CW27" i="23" s="1"/>
  <c r="CX27" i="23" s="1"/>
  <c r="CV27" i="23"/>
  <c r="BD27" i="23"/>
  <c r="DQ26" i="23"/>
  <c r="DR26" i="23" s="1"/>
  <c r="CZ26" i="23"/>
  <c r="DB26" i="23" s="1"/>
  <c r="DC26" i="23" s="1"/>
  <c r="CU26" i="23"/>
  <c r="BD26" i="23"/>
  <c r="CP26" i="23" s="1"/>
  <c r="DQ25" i="23"/>
  <c r="DK25" i="23" s="1"/>
  <c r="DE25" i="23" s="1"/>
  <c r="CZ25" i="23"/>
  <c r="DB25" i="23" s="1"/>
  <c r="DC25" i="23"/>
  <c r="CU25" i="23"/>
  <c r="BD25" i="23"/>
  <c r="CP25" i="23" s="1"/>
  <c r="DQ24" i="23"/>
  <c r="DK24" i="23" s="1"/>
  <c r="CZ24" i="23"/>
  <c r="DA24" i="23" s="1"/>
  <c r="CU24" i="23"/>
  <c r="CW24" i="23" s="1"/>
  <c r="CX24" i="23" s="1"/>
  <c r="BD24" i="23"/>
  <c r="BD18" i="23"/>
  <c r="CR18" i="23" s="1"/>
  <c r="BD19" i="23"/>
  <c r="BD20" i="23"/>
  <c r="BD21" i="23"/>
  <c r="CP21" i="23" s="1"/>
  <c r="BD22" i="23"/>
  <c r="BD23" i="23"/>
  <c r="CP23" i="23" s="1"/>
  <c r="DQ23" i="23"/>
  <c r="DK23" i="23" s="1"/>
  <c r="DE23" i="23" s="1"/>
  <c r="CZ23" i="23"/>
  <c r="DB23" i="23" s="1"/>
  <c r="DC23" i="23" s="1"/>
  <c r="CU23" i="23"/>
  <c r="CV23" i="23" s="1"/>
  <c r="CK23" i="23"/>
  <c r="DQ22" i="23"/>
  <c r="DK22" i="23" s="1"/>
  <c r="DE22" i="23" s="1"/>
  <c r="CZ22" i="23"/>
  <c r="DB22" i="23" s="1"/>
  <c r="DC22" i="23" s="1"/>
  <c r="CU22" i="23"/>
  <c r="DQ21" i="23"/>
  <c r="DR21" i="23" s="1"/>
  <c r="CZ21" i="23"/>
  <c r="CU21" i="23"/>
  <c r="DQ20" i="23"/>
  <c r="DR20" i="23" s="1"/>
  <c r="CZ20" i="23"/>
  <c r="CU20" i="23"/>
  <c r="CV20" i="23" s="1"/>
  <c r="DQ19" i="23"/>
  <c r="DS19" i="23" s="1"/>
  <c r="DT19" i="23" s="1"/>
  <c r="DU19" i="23" s="1"/>
  <c r="CZ19" i="23"/>
  <c r="DA19" i="23" s="1"/>
  <c r="CU19" i="23"/>
  <c r="CW19" i="23" s="1"/>
  <c r="CX19" i="23" s="1"/>
  <c r="DQ18" i="23"/>
  <c r="CZ18" i="23"/>
  <c r="DB18" i="23" s="1"/>
  <c r="DC18" i="23" s="1"/>
  <c r="CU18" i="23"/>
  <c r="CK10" i="23"/>
  <c r="AP13" i="23"/>
  <c r="CK9" i="23" s="1"/>
  <c r="CZ48" i="4"/>
  <c r="DA48" i="4" s="1"/>
  <c r="CZ47" i="4"/>
  <c r="DA47" i="4" s="1"/>
  <c r="CZ46" i="4"/>
  <c r="DB46" i="4" s="1"/>
  <c r="DC46" i="4" s="1"/>
  <c r="CZ45" i="4"/>
  <c r="DA45" i="4" s="1"/>
  <c r="CZ44" i="4"/>
  <c r="DB44" i="4" s="1"/>
  <c r="DC44" i="4" s="1"/>
  <c r="CZ43" i="4"/>
  <c r="DA43" i="4" s="1"/>
  <c r="CZ42" i="4"/>
  <c r="DA42" i="4" s="1"/>
  <c r="CZ41" i="4"/>
  <c r="CZ40" i="4"/>
  <c r="DA40" i="4" s="1"/>
  <c r="CZ39" i="4"/>
  <c r="DA39" i="4" s="1"/>
  <c r="CZ38" i="4"/>
  <c r="DA38" i="4" s="1"/>
  <c r="CZ37" i="4"/>
  <c r="CZ29" i="4"/>
  <c r="DA29" i="4" s="1"/>
  <c r="CZ28" i="4"/>
  <c r="DA28" i="4" s="1"/>
  <c r="CZ27" i="4"/>
  <c r="DB27" i="4" s="1"/>
  <c r="DC27" i="4" s="1"/>
  <c r="CZ26" i="4"/>
  <c r="CZ25" i="4"/>
  <c r="DB25" i="4" s="1"/>
  <c r="DC25" i="4" s="1"/>
  <c r="CZ24" i="4"/>
  <c r="DA24" i="4" s="1"/>
  <c r="CZ23" i="4"/>
  <c r="DA23" i="4" s="1"/>
  <c r="CZ22" i="4"/>
  <c r="DA22" i="4" s="1"/>
  <c r="CZ21" i="4"/>
  <c r="DA21" i="4" s="1"/>
  <c r="CZ20" i="4"/>
  <c r="DA20" i="4" s="1"/>
  <c r="CZ19" i="4"/>
  <c r="CZ18" i="4"/>
  <c r="CU48" i="4"/>
  <c r="CV48" i="4" s="1"/>
  <c r="CU47" i="4"/>
  <c r="CV47" i="4" s="1"/>
  <c r="CU46" i="4"/>
  <c r="CV46" i="4" s="1"/>
  <c r="CU45" i="4"/>
  <c r="CW45" i="4" s="1"/>
  <c r="CX45" i="4" s="1"/>
  <c r="CU44" i="4"/>
  <c r="CV44" i="4" s="1"/>
  <c r="CU43" i="4"/>
  <c r="CW43" i="4" s="1"/>
  <c r="CX43" i="4" s="1"/>
  <c r="CU42" i="4"/>
  <c r="CW42" i="4" s="1"/>
  <c r="CX42" i="4" s="1"/>
  <c r="CU41" i="4"/>
  <c r="CW41" i="4" s="1"/>
  <c r="CX41" i="4" s="1"/>
  <c r="CU40" i="4"/>
  <c r="CV40" i="4" s="1"/>
  <c r="CU39" i="4"/>
  <c r="CW39" i="4" s="1"/>
  <c r="CX39" i="4" s="1"/>
  <c r="CU38" i="4"/>
  <c r="CW38" i="4" s="1"/>
  <c r="CX38" i="4" s="1"/>
  <c r="CU37" i="4"/>
  <c r="CV37" i="4" s="1"/>
  <c r="CU29" i="4"/>
  <c r="CW29" i="4" s="1"/>
  <c r="CU28" i="4"/>
  <c r="CW28" i="4" s="1"/>
  <c r="CX28" i="4" s="1"/>
  <c r="CU27" i="4"/>
  <c r="CU26" i="4"/>
  <c r="CV26" i="4" s="1"/>
  <c r="CU25" i="4"/>
  <c r="CW25" i="4" s="1"/>
  <c r="CU24" i="4"/>
  <c r="CV24" i="4" s="1"/>
  <c r="CU23" i="4"/>
  <c r="CU22" i="4"/>
  <c r="CU21" i="4"/>
  <c r="CV21" i="4" s="1"/>
  <c r="CU20" i="4"/>
  <c r="CW20" i="4" s="1"/>
  <c r="CX20" i="4" s="1"/>
  <c r="CU19" i="4"/>
  <c r="CV19" i="4" s="1"/>
  <c r="CU18" i="4"/>
  <c r="CW18" i="4" s="1"/>
  <c r="CX18" i="4" s="1"/>
  <c r="BD17" i="4"/>
  <c r="BD48" i="4"/>
  <c r="CP48" i="4" s="1"/>
  <c r="BD47" i="4"/>
  <c r="BD46" i="4"/>
  <c r="BD45" i="4"/>
  <c r="CR45" i="4" s="1"/>
  <c r="BD44" i="4"/>
  <c r="BD43" i="4"/>
  <c r="CP43" i="4" s="1"/>
  <c r="BD42" i="4"/>
  <c r="CP42" i="4" s="1"/>
  <c r="BD41" i="4"/>
  <c r="CR41" i="4" s="1"/>
  <c r="BD40" i="4"/>
  <c r="CP40" i="4" s="1"/>
  <c r="BD39" i="4"/>
  <c r="CP39" i="4" s="1"/>
  <c r="BD38" i="4"/>
  <c r="BD37" i="4"/>
  <c r="CR37" i="4" s="1"/>
  <c r="BD29" i="4"/>
  <c r="BD28" i="4"/>
  <c r="BD27" i="4"/>
  <c r="CP27" i="4" s="1"/>
  <c r="BD26" i="4"/>
  <c r="CR26" i="4" s="1"/>
  <c r="BD25" i="4"/>
  <c r="BD24" i="4"/>
  <c r="BD23" i="4"/>
  <c r="CP23" i="4" s="1"/>
  <c r="BD22" i="4"/>
  <c r="CR22" i="4" s="1"/>
  <c r="BD21" i="4"/>
  <c r="BD20" i="4"/>
  <c r="CP20" i="4" s="1"/>
  <c r="BD19" i="4"/>
  <c r="BD18" i="4"/>
  <c r="CR18" i="4" s="1"/>
  <c r="DQ48" i="4"/>
  <c r="DR48" i="4" s="1"/>
  <c r="EA48" i="4" s="1"/>
  <c r="DQ47" i="4"/>
  <c r="DK47" i="4" s="1"/>
  <c r="DQ46" i="4"/>
  <c r="DQ45" i="4"/>
  <c r="DK45" i="4" s="1"/>
  <c r="DE45" i="4" s="1"/>
  <c r="DQ44" i="4"/>
  <c r="DQ43" i="4"/>
  <c r="DK43" i="4" s="1"/>
  <c r="DL43" i="4" s="1"/>
  <c r="DQ42" i="4"/>
  <c r="DK42" i="4" s="1"/>
  <c r="DE42" i="4" s="1"/>
  <c r="DG42" i="4" s="1"/>
  <c r="DH42" i="4" s="1"/>
  <c r="DI42" i="4" s="1"/>
  <c r="DQ41" i="4"/>
  <c r="DK41" i="4" s="1"/>
  <c r="DE41" i="4" s="1"/>
  <c r="DG41" i="4" s="1"/>
  <c r="DH41" i="4" s="1"/>
  <c r="DI41" i="4" s="1"/>
  <c r="DQ40" i="4"/>
  <c r="DQ39" i="4"/>
  <c r="DK39" i="4" s="1"/>
  <c r="DM39" i="4" s="1"/>
  <c r="DN39" i="4" s="1"/>
  <c r="DO39" i="4" s="1"/>
  <c r="DQ38" i="4"/>
  <c r="DK38" i="4" s="1"/>
  <c r="DM38" i="4" s="1"/>
  <c r="DN38" i="4" s="1"/>
  <c r="DO38" i="4" s="1"/>
  <c r="DQ37" i="4"/>
  <c r="DK37" i="4" s="1"/>
  <c r="DE37" i="4" s="1"/>
  <c r="DG37" i="4" s="1"/>
  <c r="DH37" i="4" s="1"/>
  <c r="DI37" i="4" s="1"/>
  <c r="DQ29" i="4"/>
  <c r="DQ28" i="4"/>
  <c r="DK28" i="4" s="1"/>
  <c r="DQ27" i="4"/>
  <c r="DK27" i="4" s="1"/>
  <c r="DE27" i="4" s="1"/>
  <c r="DG27" i="4" s="1"/>
  <c r="DH27" i="4" s="1"/>
  <c r="DI27" i="4" s="1"/>
  <c r="DQ26" i="4"/>
  <c r="DK26" i="4" s="1"/>
  <c r="DE26" i="4" s="1"/>
  <c r="DQ25" i="4"/>
  <c r="DK25" i="4" s="1"/>
  <c r="DM25" i="4" s="1"/>
  <c r="DN25" i="4" s="1"/>
  <c r="DO25" i="4" s="1"/>
  <c r="DQ24" i="4"/>
  <c r="DS24" i="4" s="1"/>
  <c r="DT24" i="4" s="1"/>
  <c r="DU24" i="4" s="1"/>
  <c r="DQ23" i="4"/>
  <c r="DK23" i="4" s="1"/>
  <c r="DE23" i="4" s="1"/>
  <c r="DG23" i="4" s="1"/>
  <c r="DH23" i="4" s="1"/>
  <c r="DI23" i="4" s="1"/>
  <c r="DQ22" i="4"/>
  <c r="DK22" i="4" s="1"/>
  <c r="DE22" i="4" s="1"/>
  <c r="DQ21" i="4"/>
  <c r="DQ20" i="4"/>
  <c r="DQ19" i="4"/>
  <c r="DK19" i="4" s="1"/>
  <c r="DE19" i="4" s="1"/>
  <c r="DG19" i="4" s="1"/>
  <c r="DH19" i="4" s="1"/>
  <c r="DI19" i="4" s="1"/>
  <c r="DQ18" i="4"/>
  <c r="DK18" i="4" s="1"/>
  <c r="DE18" i="4" s="1"/>
  <c r="P17" i="4"/>
  <c r="P36" i="4" s="1"/>
  <c r="AO60" i="23"/>
  <c r="AA61" i="35"/>
  <c r="I7" i="35"/>
  <c r="I6" i="35"/>
  <c r="AK2" i="35"/>
  <c r="AK1" i="35"/>
  <c r="AO63" i="32"/>
  <c r="BR59" i="32"/>
  <c r="C59" i="32"/>
  <c r="AX55" i="32"/>
  <c r="BQ55" i="32" s="1"/>
  <c r="AJ36" i="32"/>
  <c r="AQ54" i="32" s="1"/>
  <c r="AT59" i="23"/>
  <c r="BR54" i="23"/>
  <c r="C54" i="23"/>
  <c r="A52" i="23"/>
  <c r="AQ52" i="23" s="1"/>
  <c r="G68" i="7"/>
  <c r="AC5" i="20"/>
  <c r="I5" i="20"/>
  <c r="AI4" i="20"/>
  <c r="Y4" i="20"/>
  <c r="I4" i="20"/>
  <c r="BR2" i="20"/>
  <c r="BR1" i="20"/>
  <c r="I5" i="19"/>
  <c r="AI4" i="19"/>
  <c r="Y4" i="19"/>
  <c r="AC5" i="19"/>
  <c r="I4" i="19"/>
  <c r="BR2" i="19"/>
  <c r="BR1" i="19"/>
  <c r="I5" i="17"/>
  <c r="AI4" i="17"/>
  <c r="Y4" i="17"/>
  <c r="AC5" i="17"/>
  <c r="I4" i="17"/>
  <c r="BR2" i="17"/>
  <c r="BR1" i="17"/>
  <c r="AI4" i="16"/>
  <c r="Y4" i="16"/>
  <c r="I5" i="16"/>
  <c r="AC5" i="16"/>
  <c r="I4" i="16"/>
  <c r="BR2" i="16"/>
  <c r="BR1" i="16"/>
  <c r="AC5" i="32"/>
  <c r="I5" i="32"/>
  <c r="Y4" i="32"/>
  <c r="I4" i="32"/>
  <c r="BR2" i="32"/>
  <c r="BR1" i="32"/>
  <c r="AC5" i="23"/>
  <c r="I5" i="23"/>
  <c r="Y4" i="23"/>
  <c r="I4" i="23"/>
  <c r="I4" i="4"/>
  <c r="BR1" i="23"/>
  <c r="BR2" i="23"/>
  <c r="T34" i="32"/>
  <c r="AM33" i="32"/>
  <c r="AH33" i="32"/>
  <c r="T15" i="32"/>
  <c r="AM14" i="32"/>
  <c r="AH14" i="32"/>
  <c r="AP13" i="32"/>
  <c r="T34" i="23"/>
  <c r="AM33" i="23"/>
  <c r="AH33" i="23"/>
  <c r="T15" i="23"/>
  <c r="AM14" i="23"/>
  <c r="AH14" i="23"/>
  <c r="AX55" i="20"/>
  <c r="BQ55" i="20" s="1"/>
  <c r="AJ36" i="20"/>
  <c r="BN36" i="20" s="1"/>
  <c r="AQ54" i="20"/>
  <c r="T34" i="20"/>
  <c r="AM33" i="20"/>
  <c r="AH33" i="20"/>
  <c r="AP13" i="20"/>
  <c r="T15" i="20"/>
  <c r="AM14" i="20"/>
  <c r="AH14" i="20"/>
  <c r="AX55" i="17"/>
  <c r="BQ55" i="17" s="1"/>
  <c r="T34" i="17"/>
  <c r="AM33" i="17"/>
  <c r="AH33" i="17"/>
  <c r="AP13" i="17"/>
  <c r="AP32" i="17" s="1"/>
  <c r="T15" i="17"/>
  <c r="AM14" i="17"/>
  <c r="AH14" i="17"/>
  <c r="AH33" i="19"/>
  <c r="T34" i="19"/>
  <c r="AM33" i="19"/>
  <c r="T15" i="19"/>
  <c r="AM14" i="19"/>
  <c r="AH14" i="19"/>
  <c r="T34" i="16"/>
  <c r="AM33" i="16"/>
  <c r="AH33" i="16"/>
  <c r="T15" i="16"/>
  <c r="AM14" i="16"/>
  <c r="AH14" i="16"/>
  <c r="AX55" i="2"/>
  <c r="BQ55" i="2" s="1"/>
  <c r="AT59" i="4"/>
  <c r="A52" i="4"/>
  <c r="AQ52" i="4" s="1"/>
  <c r="T34" i="2"/>
  <c r="AM33" i="2"/>
  <c r="AH33" i="2"/>
  <c r="C59" i="2"/>
  <c r="AH14" i="2"/>
  <c r="AP13" i="2"/>
  <c r="AP32" i="2" s="1"/>
  <c r="T15" i="2"/>
  <c r="AM14" i="2"/>
  <c r="AC5" i="2"/>
  <c r="I5" i="2"/>
  <c r="AI4" i="2"/>
  <c r="Y4" i="2"/>
  <c r="I4" i="2"/>
  <c r="BR2" i="2"/>
  <c r="BR1" i="2"/>
  <c r="C54" i="4"/>
  <c r="C56" i="33"/>
  <c r="T34" i="4"/>
  <c r="AM33" i="4"/>
  <c r="AH33" i="4"/>
  <c r="AC5" i="4"/>
  <c r="I5" i="4"/>
  <c r="AI4" i="4"/>
  <c r="Y4" i="4"/>
  <c r="AM14" i="4"/>
  <c r="AH14" i="4"/>
  <c r="T15" i="4"/>
  <c r="BR2" i="4"/>
  <c r="BR1" i="4"/>
  <c r="AS53" i="34"/>
  <c r="AE48" i="34"/>
  <c r="AE22" i="34"/>
  <c r="AE31" i="34"/>
  <c r="X7" i="34"/>
  <c r="D7" i="34"/>
  <c r="AM43" i="34"/>
  <c r="AM26" i="34"/>
  <c r="AS36" i="34"/>
  <c r="K9" i="34"/>
  <c r="M6" i="34"/>
  <c r="AA63" i="34"/>
  <c r="AK2" i="34"/>
  <c r="AK1" i="34"/>
  <c r="R13" i="33"/>
  <c r="X8" i="33"/>
  <c r="D8" i="33"/>
  <c r="M7" i="33"/>
  <c r="AK56" i="33"/>
  <c r="AA61" i="33"/>
  <c r="AK2" i="33"/>
  <c r="AK1" i="33"/>
  <c r="U37" i="32"/>
  <c r="U38" i="32"/>
  <c r="U39" i="32"/>
  <c r="U40" i="32"/>
  <c r="U41" i="32"/>
  <c r="U42" i="32"/>
  <c r="U43" i="32"/>
  <c r="AT49" i="32"/>
  <c r="AJ49" i="32"/>
  <c r="BI48" i="32"/>
  <c r="BN48" i="32" s="1"/>
  <c r="U48" i="32"/>
  <c r="I48" i="32"/>
  <c r="A48" i="32"/>
  <c r="BI47" i="32"/>
  <c r="BS47" i="32" s="1"/>
  <c r="U47" i="32"/>
  <c r="I47" i="32"/>
  <c r="A47" i="32"/>
  <c r="BI46" i="32"/>
  <c r="CC46" i="32" s="1"/>
  <c r="U46" i="32"/>
  <c r="I46" i="32"/>
  <c r="A46" i="32"/>
  <c r="BI45" i="32"/>
  <c r="U45" i="32"/>
  <c r="I45" i="32"/>
  <c r="A45" i="32"/>
  <c r="BI44" i="32"/>
  <c r="BX44" i="32" s="1"/>
  <c r="U44" i="32"/>
  <c r="I44" i="32"/>
  <c r="A44" i="32"/>
  <c r="BI43" i="32"/>
  <c r="CC43" i="32" s="1"/>
  <c r="I43" i="32"/>
  <c r="A43" i="32"/>
  <c r="I42" i="32"/>
  <c r="A42" i="32"/>
  <c r="I41" i="32"/>
  <c r="A41" i="32"/>
  <c r="I40" i="32"/>
  <c r="A40" i="32"/>
  <c r="I39" i="32"/>
  <c r="A39" i="32"/>
  <c r="I38" i="32"/>
  <c r="A38" i="32"/>
  <c r="I37" i="32"/>
  <c r="A37" i="32"/>
  <c r="AY36" i="32"/>
  <c r="AE36" i="32"/>
  <c r="U36" i="32"/>
  <c r="P35" i="32"/>
  <c r="AT30" i="32"/>
  <c r="AJ30" i="32"/>
  <c r="BI29" i="32"/>
  <c r="BS29" i="32" s="1"/>
  <c r="BI28" i="32"/>
  <c r="BN28" i="32" s="1"/>
  <c r="BI27" i="32"/>
  <c r="BS27" i="32" s="1"/>
  <c r="BI26" i="32"/>
  <c r="BS26" i="32" s="1"/>
  <c r="BI25" i="32"/>
  <c r="BN25" i="32" s="1"/>
  <c r="BI24" i="32"/>
  <c r="BN24" i="32" s="1"/>
  <c r="AT17" i="32"/>
  <c r="AE17" i="32"/>
  <c r="P17" i="32"/>
  <c r="P36" i="32" s="1"/>
  <c r="AA72" i="25"/>
  <c r="E6" i="31"/>
  <c r="E7" i="31"/>
  <c r="L4" i="31"/>
  <c r="E7" i="30"/>
  <c r="E6" i="30"/>
  <c r="L4" i="30"/>
  <c r="E7" i="27"/>
  <c r="E6" i="27"/>
  <c r="E20" i="31"/>
  <c r="E20" i="30"/>
  <c r="E20" i="27"/>
  <c r="L4" i="27"/>
  <c r="I69" i="31"/>
  <c r="L6" i="31"/>
  <c r="L5" i="31"/>
  <c r="E5" i="31"/>
  <c r="E4" i="31"/>
  <c r="I69" i="30"/>
  <c r="L6" i="30"/>
  <c r="L5" i="30"/>
  <c r="E5" i="30"/>
  <c r="E4" i="30"/>
  <c r="L6" i="27"/>
  <c r="L5" i="27"/>
  <c r="E5" i="27"/>
  <c r="E4" i="27"/>
  <c r="I69" i="27"/>
  <c r="AH43" i="18"/>
  <c r="AH43" i="15"/>
  <c r="U38" i="20"/>
  <c r="U39" i="20"/>
  <c r="U40" i="20"/>
  <c r="U41" i="20"/>
  <c r="U42" i="20"/>
  <c r="U43" i="20"/>
  <c r="U44" i="20"/>
  <c r="U45" i="20"/>
  <c r="U46" i="20"/>
  <c r="U47" i="20"/>
  <c r="U48" i="20"/>
  <c r="U37" i="20"/>
  <c r="U36" i="20"/>
  <c r="U48" i="19"/>
  <c r="U38" i="19"/>
  <c r="U39" i="19"/>
  <c r="U40" i="19"/>
  <c r="U41" i="19"/>
  <c r="U42" i="19"/>
  <c r="U43" i="19"/>
  <c r="U44" i="19"/>
  <c r="U45" i="19"/>
  <c r="U46" i="19"/>
  <c r="U47" i="19"/>
  <c r="U37" i="19"/>
  <c r="U36" i="19"/>
  <c r="D6" i="18"/>
  <c r="I6" i="12"/>
  <c r="I7" i="12"/>
  <c r="AK2" i="12"/>
  <c r="AK1" i="12"/>
  <c r="U38" i="17"/>
  <c r="U39" i="17"/>
  <c r="U40" i="17"/>
  <c r="U41" i="17"/>
  <c r="U42" i="17"/>
  <c r="U43" i="17"/>
  <c r="U44" i="17"/>
  <c r="U45" i="17"/>
  <c r="U46" i="17"/>
  <c r="U47" i="17"/>
  <c r="U48" i="17"/>
  <c r="U37" i="17"/>
  <c r="U36" i="17"/>
  <c r="I7" i="14"/>
  <c r="I7" i="13"/>
  <c r="U41" i="16"/>
  <c r="U42" i="16"/>
  <c r="U43" i="16"/>
  <c r="U44" i="16"/>
  <c r="U45" i="16"/>
  <c r="U46" i="16"/>
  <c r="U47" i="16"/>
  <c r="U48" i="16"/>
  <c r="U37" i="16"/>
  <c r="U36" i="16"/>
  <c r="I7" i="11"/>
  <c r="CK23" i="2"/>
  <c r="U38" i="2"/>
  <c r="U39" i="2"/>
  <c r="U40" i="2"/>
  <c r="U41" i="2"/>
  <c r="U42" i="2"/>
  <c r="U43" i="2"/>
  <c r="U44" i="2"/>
  <c r="U45" i="2"/>
  <c r="U46" i="2"/>
  <c r="U47" i="2"/>
  <c r="U48" i="2"/>
  <c r="U37" i="2"/>
  <c r="U36" i="2"/>
  <c r="U47" i="4"/>
  <c r="U48" i="4"/>
  <c r="U36" i="4"/>
  <c r="U48" i="23"/>
  <c r="U36" i="23"/>
  <c r="I7" i="24"/>
  <c r="D10" i="24"/>
  <c r="AA62" i="24"/>
  <c r="I6" i="14"/>
  <c r="AG21" i="24"/>
  <c r="AQ21" i="24" s="1"/>
  <c r="AG22" i="24"/>
  <c r="AQ22" i="24" s="1"/>
  <c r="AG23" i="24"/>
  <c r="AQ23" i="24" s="1"/>
  <c r="AG24" i="24"/>
  <c r="AQ24" i="24" s="1"/>
  <c r="AG20" i="24"/>
  <c r="AQ20" i="24" s="1"/>
  <c r="AK58" i="24"/>
  <c r="O29" i="24"/>
  <c r="O28" i="24"/>
  <c r="AK6" i="24"/>
  <c r="AK6" i="13"/>
  <c r="AK6" i="12"/>
  <c r="AK6" i="11"/>
  <c r="I6" i="24"/>
  <c r="I6" i="13"/>
  <c r="I6" i="11"/>
  <c r="AK2" i="24"/>
  <c r="AK1" i="24"/>
  <c r="AT49" i="23"/>
  <c r="AJ49" i="23"/>
  <c r="BI48" i="23"/>
  <c r="BX48" i="23" s="1"/>
  <c r="I48" i="23"/>
  <c r="A48" i="23"/>
  <c r="BI47" i="23"/>
  <c r="I47" i="23"/>
  <c r="A47" i="23"/>
  <c r="I46" i="23"/>
  <c r="A46" i="23"/>
  <c r="I45" i="23"/>
  <c r="A45" i="23"/>
  <c r="I44" i="23"/>
  <c r="A44" i="23"/>
  <c r="I43" i="23"/>
  <c r="A43" i="23"/>
  <c r="I42" i="23"/>
  <c r="A42" i="23"/>
  <c r="I41" i="23"/>
  <c r="A41" i="23"/>
  <c r="I40" i="23"/>
  <c r="A40" i="23"/>
  <c r="I39" i="23"/>
  <c r="A39" i="23"/>
  <c r="I38" i="23"/>
  <c r="A38" i="23"/>
  <c r="I37" i="23"/>
  <c r="A37" i="23"/>
  <c r="AY36" i="23"/>
  <c r="AJ36" i="23"/>
  <c r="BN36" i="23" s="1"/>
  <c r="AE36" i="23"/>
  <c r="P35" i="23"/>
  <c r="AT30" i="23"/>
  <c r="AJ30" i="23"/>
  <c r="BI29" i="23"/>
  <c r="CC29" i="23" s="1"/>
  <c r="BI28" i="23"/>
  <c r="AT17" i="23"/>
  <c r="AE17" i="23"/>
  <c r="P36" i="23"/>
  <c r="BR59" i="20"/>
  <c r="BR54" i="19"/>
  <c r="BR59" i="17"/>
  <c r="BR54" i="16"/>
  <c r="BR59" i="2"/>
  <c r="BR54" i="4"/>
  <c r="Y2" i="18"/>
  <c r="Y3" i="18"/>
  <c r="Y2" i="15"/>
  <c r="Y3" i="15"/>
  <c r="Y3" i="6"/>
  <c r="Y2" i="6"/>
  <c r="AG12" i="18"/>
  <c r="AG7" i="18"/>
  <c r="AG6" i="18"/>
  <c r="A18" i="18" s="1"/>
  <c r="AG8" i="18"/>
  <c r="AG9" i="18"/>
  <c r="AG10" i="18"/>
  <c r="AG12" i="15"/>
  <c r="AG9" i="15"/>
  <c r="AG10" i="15"/>
  <c r="AG7" i="15"/>
  <c r="AG6" i="15"/>
  <c r="A18" i="15" s="1"/>
  <c r="D8" i="6"/>
  <c r="D7" i="6"/>
  <c r="AH43" i="6"/>
  <c r="AG12" i="6"/>
  <c r="AG9" i="6"/>
  <c r="AG7" i="6"/>
  <c r="AG10" i="6"/>
  <c r="AG6" i="6"/>
  <c r="A18" i="6" s="1"/>
  <c r="BI48" i="20"/>
  <c r="CC48" i="20" s="1"/>
  <c r="BI47" i="20"/>
  <c r="BS47" i="20" s="1"/>
  <c r="BI46" i="20"/>
  <c r="BN46" i="20" s="1"/>
  <c r="BI45" i="20"/>
  <c r="BN45" i="20" s="1"/>
  <c r="BI44" i="20"/>
  <c r="BX44" i="20" s="1"/>
  <c r="BI43" i="20"/>
  <c r="BX43" i="20" s="1"/>
  <c r="BI42" i="20"/>
  <c r="BN42" i="20" s="1"/>
  <c r="BI41" i="20"/>
  <c r="CC41" i="20" s="1"/>
  <c r="BI40" i="20"/>
  <c r="BS40" i="20" s="1"/>
  <c r="BI39" i="20"/>
  <c r="BI38" i="20"/>
  <c r="BS38" i="20" s="1"/>
  <c r="BI37" i="20"/>
  <c r="BX37" i="20" s="1"/>
  <c r="BI29" i="20"/>
  <c r="CC29" i="20" s="1"/>
  <c r="BI28" i="20"/>
  <c r="BX28" i="20" s="1"/>
  <c r="BI27" i="20"/>
  <c r="CC27" i="20" s="1"/>
  <c r="BI26" i="20"/>
  <c r="CC26" i="20" s="1"/>
  <c r="BI25" i="20"/>
  <c r="BS25" i="20" s="1"/>
  <c r="BI24" i="20"/>
  <c r="CC24" i="20" s="1"/>
  <c r="BI23" i="20"/>
  <c r="BX23" i="20" s="1"/>
  <c r="BI22" i="20"/>
  <c r="CC22" i="20" s="1"/>
  <c r="BI21" i="20"/>
  <c r="BX21" i="20" s="1"/>
  <c r="BI20" i="20"/>
  <c r="BI19" i="20"/>
  <c r="BS19" i="20" s="1"/>
  <c r="BI18" i="20"/>
  <c r="BS18" i="20" s="1"/>
  <c r="BN47" i="19"/>
  <c r="BS43" i="19"/>
  <c r="CC39" i="19"/>
  <c r="BS39" i="19"/>
  <c r="CC37" i="19"/>
  <c r="BS37" i="19"/>
  <c r="CC28" i="19"/>
  <c r="CC26" i="19"/>
  <c r="BS26" i="19"/>
  <c r="BS24" i="19"/>
  <c r="BN22" i="19"/>
  <c r="CC20" i="19"/>
  <c r="BN18" i="19"/>
  <c r="CC18" i="19"/>
  <c r="BI48" i="17"/>
  <c r="BX48" i="17" s="1"/>
  <c r="BI47" i="17"/>
  <c r="BX47" i="17" s="1"/>
  <c r="BI46" i="17"/>
  <c r="CC46" i="17" s="1"/>
  <c r="BI45" i="17"/>
  <c r="BI29" i="17"/>
  <c r="BS29" i="17" s="1"/>
  <c r="BI28" i="17"/>
  <c r="BN28" i="17" s="1"/>
  <c r="BI27" i="17"/>
  <c r="BX27" i="17" s="1"/>
  <c r="BI26" i="17"/>
  <c r="BI48" i="2"/>
  <c r="BX48" i="2" s="1"/>
  <c r="BI47" i="2"/>
  <c r="BX47" i="2" s="1"/>
  <c r="BI46" i="2"/>
  <c r="BS46" i="2" s="1"/>
  <c r="BI45" i="2"/>
  <c r="BS45" i="2" s="1"/>
  <c r="BI29" i="2"/>
  <c r="BI28" i="2"/>
  <c r="BS28" i="2" s="1"/>
  <c r="BI27" i="2"/>
  <c r="BN27" i="2" s="1"/>
  <c r="BI26" i="2"/>
  <c r="BI28" i="4"/>
  <c r="BN28" i="4" s="1"/>
  <c r="BI29" i="4"/>
  <c r="BI47" i="4"/>
  <c r="BI48" i="4"/>
  <c r="BN48" i="4" s="1"/>
  <c r="CP18" i="2"/>
  <c r="I39" i="20"/>
  <c r="I40" i="20"/>
  <c r="I41" i="20"/>
  <c r="I42" i="20"/>
  <c r="I43" i="20"/>
  <c r="I44" i="20"/>
  <c r="I45" i="20"/>
  <c r="I46" i="20"/>
  <c r="I47" i="20"/>
  <c r="I48" i="20"/>
  <c r="A39" i="20"/>
  <c r="A40" i="20"/>
  <c r="A41" i="20"/>
  <c r="A42" i="20"/>
  <c r="A43" i="20"/>
  <c r="A44" i="20"/>
  <c r="A45" i="20"/>
  <c r="A46" i="20"/>
  <c r="A47" i="20"/>
  <c r="A48" i="20"/>
  <c r="I39" i="19"/>
  <c r="I40" i="19"/>
  <c r="I41" i="19"/>
  <c r="I42" i="19"/>
  <c r="I43" i="19"/>
  <c r="I44" i="19"/>
  <c r="I45" i="19"/>
  <c r="I46" i="19"/>
  <c r="I47" i="19"/>
  <c r="I48" i="19"/>
  <c r="A39" i="19"/>
  <c r="A40" i="19"/>
  <c r="A41" i="19"/>
  <c r="A42" i="19"/>
  <c r="A43" i="19"/>
  <c r="A44" i="19"/>
  <c r="A45" i="19"/>
  <c r="A46" i="19"/>
  <c r="A47" i="19"/>
  <c r="A48" i="19"/>
  <c r="I39" i="17"/>
  <c r="I40" i="17"/>
  <c r="I41" i="17"/>
  <c r="I42" i="17"/>
  <c r="I43" i="17"/>
  <c r="I44" i="17"/>
  <c r="I45" i="17"/>
  <c r="I46" i="17"/>
  <c r="I47" i="17"/>
  <c r="I48" i="17"/>
  <c r="A39" i="17"/>
  <c r="A40" i="17"/>
  <c r="A41" i="17"/>
  <c r="A42" i="17"/>
  <c r="A43" i="17"/>
  <c r="A44" i="17"/>
  <c r="A45" i="17"/>
  <c r="A46" i="17"/>
  <c r="A47" i="17"/>
  <c r="A48" i="17"/>
  <c r="I39" i="16"/>
  <c r="I40" i="16"/>
  <c r="I41" i="16"/>
  <c r="I42" i="16"/>
  <c r="I43" i="16"/>
  <c r="I44" i="16"/>
  <c r="I45" i="16"/>
  <c r="I46" i="16"/>
  <c r="I47" i="16"/>
  <c r="I48" i="16"/>
  <c r="A39" i="16"/>
  <c r="A40" i="16"/>
  <c r="A41" i="16"/>
  <c r="A42" i="16"/>
  <c r="A43" i="16"/>
  <c r="A44" i="16"/>
  <c r="A45" i="16"/>
  <c r="A46" i="16"/>
  <c r="A47" i="16"/>
  <c r="A48" i="16"/>
  <c r="I39" i="2"/>
  <c r="I40" i="2"/>
  <c r="I41" i="2"/>
  <c r="I42" i="2"/>
  <c r="I43" i="2"/>
  <c r="I44" i="2"/>
  <c r="I45" i="2"/>
  <c r="I46" i="2"/>
  <c r="I47" i="2"/>
  <c r="I48" i="2"/>
  <c r="A39" i="2"/>
  <c r="A40" i="2"/>
  <c r="A41" i="2"/>
  <c r="A42" i="2"/>
  <c r="A43" i="2"/>
  <c r="A44" i="2"/>
  <c r="A45" i="2"/>
  <c r="A46" i="2"/>
  <c r="A47" i="2"/>
  <c r="A48" i="2"/>
  <c r="I39" i="4"/>
  <c r="I40" i="4"/>
  <c r="I41" i="4"/>
  <c r="I42" i="4"/>
  <c r="I43" i="4"/>
  <c r="I44" i="4"/>
  <c r="I45" i="4"/>
  <c r="I46" i="4"/>
  <c r="I47" i="4"/>
  <c r="I48" i="4"/>
  <c r="A39" i="4"/>
  <c r="A40" i="4"/>
  <c r="A41" i="4"/>
  <c r="A42" i="4"/>
  <c r="A43" i="4"/>
  <c r="A44" i="4"/>
  <c r="A45" i="4"/>
  <c r="A46" i="4"/>
  <c r="A47" i="4"/>
  <c r="A48" i="4"/>
  <c r="DA19" i="4"/>
  <c r="DA44" i="4"/>
  <c r="AO63" i="20"/>
  <c r="AT49" i="20"/>
  <c r="AJ49" i="20"/>
  <c r="BD36" i="20"/>
  <c r="I38" i="20"/>
  <c r="A38" i="20"/>
  <c r="I37" i="20"/>
  <c r="A37" i="20"/>
  <c r="AY36" i="20"/>
  <c r="AE36" i="20"/>
  <c r="P36" i="20"/>
  <c r="P35" i="20"/>
  <c r="AT30" i="20"/>
  <c r="AJ30" i="20"/>
  <c r="AT17" i="20"/>
  <c r="AE17" i="20"/>
  <c r="AO63" i="17"/>
  <c r="AT49" i="17"/>
  <c r="AJ49" i="17"/>
  <c r="BD36" i="17"/>
  <c r="I38" i="17"/>
  <c r="A38" i="17"/>
  <c r="I37" i="17"/>
  <c r="A37" i="17"/>
  <c r="AJ36" i="17"/>
  <c r="AT36" i="17" s="1"/>
  <c r="AY36" i="17"/>
  <c r="AE36" i="17"/>
  <c r="P36" i="17"/>
  <c r="P35" i="17"/>
  <c r="AT30" i="17"/>
  <c r="AJ30" i="17"/>
  <c r="AT17" i="17"/>
  <c r="AE17" i="17"/>
  <c r="AO60" i="19"/>
  <c r="AT49" i="19"/>
  <c r="AJ49" i="19"/>
  <c r="I38" i="19"/>
  <c r="A38" i="19"/>
  <c r="I37" i="19"/>
  <c r="A37" i="19"/>
  <c r="AJ36" i="19"/>
  <c r="AT36" i="19" s="1"/>
  <c r="AY36" i="19"/>
  <c r="AE36" i="19"/>
  <c r="P36" i="19"/>
  <c r="P35" i="19"/>
  <c r="AT30" i="19"/>
  <c r="AJ30" i="19"/>
  <c r="AT17" i="19"/>
  <c r="AE17" i="19"/>
  <c r="AO60" i="16"/>
  <c r="AT49" i="16"/>
  <c r="AJ49" i="16"/>
  <c r="I38" i="16"/>
  <c r="A38" i="16"/>
  <c r="I37" i="16"/>
  <c r="A37" i="16"/>
  <c r="AJ36" i="16"/>
  <c r="BN36" i="16" s="1"/>
  <c r="AY36" i="16"/>
  <c r="AE36" i="16"/>
  <c r="P36" i="16"/>
  <c r="P35" i="16"/>
  <c r="AT30" i="16"/>
  <c r="AJ30" i="16"/>
  <c r="AT17" i="16"/>
  <c r="AE17" i="16"/>
  <c r="AG11" i="6"/>
  <c r="A21" i="6" s="1"/>
  <c r="AG13" i="6"/>
  <c r="CK10" i="4"/>
  <c r="DR18" i="2"/>
  <c r="DS19" i="2"/>
  <c r="DT19" i="2" s="1"/>
  <c r="DU19" i="2" s="1"/>
  <c r="DR19" i="2"/>
  <c r="DA22" i="2"/>
  <c r="DR24" i="2"/>
  <c r="DB25" i="2"/>
  <c r="DC25" i="2" s="1"/>
  <c r="DB26" i="2"/>
  <c r="DC26" i="2" s="1"/>
  <c r="DB27" i="2"/>
  <c r="DC27" i="2" s="1"/>
  <c r="DB28" i="2"/>
  <c r="DC28" i="2" s="1"/>
  <c r="DA29" i="2"/>
  <c r="DB39" i="2"/>
  <c r="DC39" i="2" s="1"/>
  <c r="DS40" i="2"/>
  <c r="DT40" i="2" s="1"/>
  <c r="DU40" i="2" s="1"/>
  <c r="DR42" i="2"/>
  <c r="DB43" i="2"/>
  <c r="DC43" i="2" s="1"/>
  <c r="DF43" i="2"/>
  <c r="CV43" i="2"/>
  <c r="DA45" i="2"/>
  <c r="DS45" i="2"/>
  <c r="DT45" i="2" s="1"/>
  <c r="DU45" i="2" s="1"/>
  <c r="DR46" i="2"/>
  <c r="DA46" i="2"/>
  <c r="AO63" i="2"/>
  <c r="DA47" i="2"/>
  <c r="AT49" i="2"/>
  <c r="AJ49" i="2"/>
  <c r="CW48" i="2"/>
  <c r="CX48" i="2" s="1"/>
  <c r="CV47" i="2"/>
  <c r="CW43" i="2"/>
  <c r="CX43" i="2"/>
  <c r="CK41" i="2"/>
  <c r="I38" i="2"/>
  <c r="A38" i="2"/>
  <c r="CW37" i="2"/>
  <c r="CX37" i="2" s="1"/>
  <c r="I37" i="2"/>
  <c r="A37" i="2"/>
  <c r="CK34" i="2"/>
  <c r="AJ36" i="2"/>
  <c r="AY36" i="2"/>
  <c r="AE36" i="2"/>
  <c r="P36" i="2"/>
  <c r="CL33" i="2"/>
  <c r="CJ33" i="2"/>
  <c r="P35" i="2"/>
  <c r="CK32" i="2"/>
  <c r="DA26" i="2"/>
  <c r="DA27" i="2"/>
  <c r="AT30" i="2"/>
  <c r="AJ30" i="2"/>
  <c r="CW29" i="2"/>
  <c r="CX29" i="2" s="1"/>
  <c r="CW27" i="2"/>
  <c r="CX27" i="2" s="1"/>
  <c r="CV26" i="2"/>
  <c r="CW24" i="2"/>
  <c r="CX24" i="2" s="1"/>
  <c r="CV23" i="2"/>
  <c r="CW22" i="2"/>
  <c r="CX22" i="2" s="1"/>
  <c r="CV21" i="2"/>
  <c r="CW18" i="2"/>
  <c r="CX18" i="2" s="1"/>
  <c r="AT17" i="2"/>
  <c r="AE17" i="2"/>
  <c r="DB48" i="4"/>
  <c r="DC48" i="4" s="1"/>
  <c r="AT49" i="4"/>
  <c r="AJ49" i="4"/>
  <c r="AT30" i="4"/>
  <c r="AJ30" i="4"/>
  <c r="CV23" i="4"/>
  <c r="I38" i="4"/>
  <c r="I37" i="4"/>
  <c r="A37" i="4"/>
  <c r="CK41" i="4"/>
  <c r="CK23" i="4"/>
  <c r="CW46" i="4"/>
  <c r="CX46" i="4" s="1"/>
  <c r="CV45" i="4"/>
  <c r="A38" i="4"/>
  <c r="AJ36" i="4"/>
  <c r="BN36" i="4" s="1"/>
  <c r="AY36" i="4"/>
  <c r="AE36" i="4"/>
  <c r="AE17" i="4"/>
  <c r="AT17" i="4"/>
  <c r="AX15" i="18"/>
  <c r="AW15" i="18"/>
  <c r="AT15" i="18"/>
  <c r="AS15" i="18"/>
  <c r="AP15" i="18"/>
  <c r="AX14" i="18"/>
  <c r="AW14" i="18"/>
  <c r="AT14" i="18"/>
  <c r="AS14" i="18"/>
  <c r="AP14" i="18"/>
  <c r="AX15" i="15"/>
  <c r="AX14" i="15"/>
  <c r="AT15" i="15"/>
  <c r="AT14" i="15"/>
  <c r="AP15" i="15"/>
  <c r="AP14" i="15"/>
  <c r="D14" i="18"/>
  <c r="D13" i="18"/>
  <c r="D12" i="18"/>
  <c r="D11" i="18"/>
  <c r="D8" i="18"/>
  <c r="D7" i="18"/>
  <c r="D14" i="15"/>
  <c r="D13" i="15"/>
  <c r="D12" i="15"/>
  <c r="D11" i="15"/>
  <c r="D8" i="15"/>
  <c r="D7" i="15"/>
  <c r="AG8" i="15"/>
  <c r="AG8" i="6"/>
  <c r="CK34" i="4"/>
  <c r="CL33" i="4"/>
  <c r="CJ33" i="4"/>
  <c r="CK32" i="4"/>
  <c r="Y4" i="18"/>
  <c r="AG11" i="18"/>
  <c r="A21" i="18" s="1"/>
  <c r="AG11" i="15"/>
  <c r="A21" i="15" s="1"/>
  <c r="U27" i="6"/>
  <c r="AK27" i="6" s="1"/>
  <c r="AK25" i="6"/>
  <c r="AS25" i="6" s="1"/>
  <c r="AG13" i="18"/>
  <c r="AK25" i="18"/>
  <c r="U27" i="18"/>
  <c r="AK27" i="18" s="1"/>
  <c r="U29" i="18"/>
  <c r="AK29" i="18" s="1"/>
  <c r="AA44" i="18"/>
  <c r="D6" i="15"/>
  <c r="AG13" i="15"/>
  <c r="AS14" i="15"/>
  <c r="AW14" i="15"/>
  <c r="AS15" i="15"/>
  <c r="AW15" i="15"/>
  <c r="AK25" i="15"/>
  <c r="U27" i="15"/>
  <c r="AK27" i="15" s="1"/>
  <c r="U29" i="15"/>
  <c r="AK29" i="15" s="1"/>
  <c r="AA44" i="15"/>
  <c r="AA44" i="6"/>
  <c r="AO60" i="4"/>
  <c r="G62" i="7"/>
  <c r="G80" i="7"/>
  <c r="CV20" i="4"/>
  <c r="CV27" i="4"/>
  <c r="AK2" i="11"/>
  <c r="AK2" i="13"/>
  <c r="AK2" i="14"/>
  <c r="D6" i="6"/>
  <c r="D11" i="6"/>
  <c r="D12" i="6"/>
  <c r="D13" i="6"/>
  <c r="D14" i="6"/>
  <c r="AA61" i="14"/>
  <c r="AA61" i="13"/>
  <c r="AA61" i="12"/>
  <c r="AA61" i="11"/>
  <c r="AK1" i="14"/>
  <c r="AK1" i="13"/>
  <c r="AK1" i="11"/>
  <c r="CX29" i="4"/>
  <c r="AS15" i="6"/>
  <c r="AS14" i="6"/>
  <c r="AW15" i="6"/>
  <c r="AW14" i="6"/>
  <c r="U29" i="6"/>
  <c r="AK29" i="6" s="1"/>
  <c r="P35" i="4"/>
  <c r="BN17" i="20"/>
  <c r="DL47" i="2"/>
  <c r="DB22" i="2"/>
  <c r="DC22" i="2" s="1"/>
  <c r="CV24" i="2"/>
  <c r="DS28" i="2"/>
  <c r="DT28" i="2" s="1"/>
  <c r="DU28" i="2" s="1"/>
  <c r="DS24" i="2"/>
  <c r="DT24" i="2" s="1"/>
  <c r="DU24" i="2" s="1"/>
  <c r="BI46" i="23"/>
  <c r="BX46" i="23" s="1"/>
  <c r="BI45" i="23"/>
  <c r="BS45" i="23" s="1"/>
  <c r="BI25" i="23"/>
  <c r="BX25" i="23" s="1"/>
  <c r="BI26" i="23"/>
  <c r="BI44" i="23"/>
  <c r="BN44" i="23" s="1"/>
  <c r="BI27" i="23"/>
  <c r="CC27" i="23" s="1"/>
  <c r="AT36" i="23"/>
  <c r="BI41" i="23"/>
  <c r="CC41" i="23" s="1"/>
  <c r="BI37" i="23"/>
  <c r="BN37" i="23" s="1"/>
  <c r="BI18" i="23"/>
  <c r="CC18" i="23" s="1"/>
  <c r="BI21" i="23"/>
  <c r="BI24" i="23"/>
  <c r="BI19" i="23"/>
  <c r="CC19" i="23" s="1"/>
  <c r="BI43" i="23"/>
  <c r="BS43" i="23" s="1"/>
  <c r="BI22" i="23"/>
  <c r="BI42" i="23"/>
  <c r="BX42" i="23" s="1"/>
  <c r="BI38" i="23"/>
  <c r="BI39" i="23"/>
  <c r="CC39" i="23" s="1"/>
  <c r="BI20" i="23"/>
  <c r="BI23" i="23"/>
  <c r="CC23" i="23" s="1"/>
  <c r="BI40" i="23"/>
  <c r="BN40" i="23" s="1"/>
  <c r="BN17" i="32"/>
  <c r="AT36" i="32"/>
  <c r="BI38" i="32"/>
  <c r="BI41" i="32"/>
  <c r="BX41" i="32" s="1"/>
  <c r="BI42" i="32"/>
  <c r="BS42" i="32" s="1"/>
  <c r="BI20" i="32"/>
  <c r="BN20" i="32" s="1"/>
  <c r="BI23" i="32"/>
  <c r="BN23" i="32" s="1"/>
  <c r="BI18" i="32"/>
  <c r="CC18" i="32" s="1"/>
  <c r="BI21" i="32"/>
  <c r="CC21" i="32" s="1"/>
  <c r="BI19" i="32"/>
  <c r="CC19" i="32" s="1"/>
  <c r="BI22" i="32"/>
  <c r="BX22" i="32" s="1"/>
  <c r="BI37" i="32"/>
  <c r="CC37" i="32" s="1"/>
  <c r="BI39" i="32"/>
  <c r="BN39" i="32" s="1"/>
  <c r="BI40" i="32"/>
  <c r="CC40" i="32" s="1"/>
  <c r="DR43" i="4"/>
  <c r="DS43" i="4"/>
  <c r="DT43" i="4" s="1"/>
  <c r="DU43" i="4" s="1"/>
  <c r="DS39" i="4"/>
  <c r="DT39" i="4" s="1"/>
  <c r="DU39" i="4" s="1"/>
  <c r="CP27" i="2"/>
  <c r="DB44" i="2"/>
  <c r="DC44" i="2" s="1"/>
  <c r="CX25" i="4"/>
  <c r="CV41" i="4"/>
  <c r="CW23" i="4"/>
  <c r="CX23" i="4" s="1"/>
  <c r="DB19" i="4"/>
  <c r="DC19" i="4" s="1"/>
  <c r="CW27" i="4"/>
  <c r="CX27" i="4" s="1"/>
  <c r="DM19" i="2"/>
  <c r="DN19" i="2" s="1"/>
  <c r="DO19" i="2" s="1"/>
  <c r="CV29" i="2"/>
  <c r="DS18" i="2"/>
  <c r="DT18" i="2" s="1"/>
  <c r="DU18" i="2" s="1"/>
  <c r="DB18" i="2"/>
  <c r="DC18" i="2" s="1"/>
  <c r="DR43" i="2"/>
  <c r="CV22" i="2"/>
  <c r="CV37" i="2"/>
  <c r="CV44" i="2"/>
  <c r="DS42" i="2"/>
  <c r="DT42" i="2" s="1"/>
  <c r="DU42" i="2" s="1"/>
  <c r="DR48" i="2"/>
  <c r="DA28" i="2"/>
  <c r="CV48" i="2"/>
  <c r="DB29" i="2"/>
  <c r="DC29" i="2" s="1"/>
  <c r="CV27" i="2"/>
  <c r="CV40" i="2"/>
  <c r="CP29" i="2"/>
  <c r="DS43" i="2"/>
  <c r="DT43" i="2" s="1"/>
  <c r="DU43" i="2" s="1"/>
  <c r="AT36" i="2"/>
  <c r="CW26" i="2"/>
  <c r="CX26" i="2" s="1"/>
  <c r="DA25" i="2"/>
  <c r="DR45" i="2"/>
  <c r="DG43" i="2"/>
  <c r="DH43" i="2" s="1"/>
  <c r="DI43" i="2" s="1"/>
  <c r="BD36" i="2"/>
  <c r="DB46" i="2"/>
  <c r="DC46" i="2" s="1"/>
  <c r="DB41" i="2"/>
  <c r="DC41" i="2" s="1"/>
  <c r="DA41" i="2"/>
  <c r="DL43" i="2"/>
  <c r="DM43" i="2"/>
  <c r="DN43" i="2" s="1"/>
  <c r="DO43" i="2" s="1"/>
  <c r="CW20" i="2"/>
  <c r="CX20" i="2" s="1"/>
  <c r="DR28" i="2"/>
  <c r="DS27" i="2"/>
  <c r="DT27" i="2" s="1"/>
  <c r="DU27" i="2" s="1"/>
  <c r="DL27" i="2"/>
  <c r="DR27" i="2"/>
  <c r="EA27" i="2" s="1"/>
  <c r="CW21" i="2"/>
  <c r="CX21" i="2" s="1"/>
  <c r="DR25" i="2"/>
  <c r="DS23" i="2"/>
  <c r="DT23" i="2" s="1"/>
  <c r="DU23" i="2" s="1"/>
  <c r="DB21" i="2"/>
  <c r="DC21" i="2" s="1"/>
  <c r="DA21" i="2"/>
  <c r="CP24" i="2"/>
  <c r="CV42" i="2"/>
  <c r="DA18" i="2"/>
  <c r="CV38" i="2"/>
  <c r="CW45" i="2"/>
  <c r="CX45" i="2" s="1"/>
  <c r="CV45" i="2"/>
  <c r="DB47" i="2"/>
  <c r="DC47" i="2" s="1"/>
  <c r="DA40" i="2"/>
  <c r="DS26" i="2"/>
  <c r="DT26" i="2" s="1"/>
  <c r="DU26" i="2" s="1"/>
  <c r="EB26" i="2" s="1"/>
  <c r="DR26" i="2"/>
  <c r="DL26" i="2"/>
  <c r="DY26" i="2" s="1"/>
  <c r="DA24" i="2"/>
  <c r="DB24" i="2"/>
  <c r="DC24" i="2" s="1"/>
  <c r="DS40" i="4"/>
  <c r="DT40" i="4" s="1"/>
  <c r="DU40" i="4" s="1"/>
  <c r="CP24" i="4"/>
  <c r="DR39" i="4"/>
  <c r="CW19" i="4"/>
  <c r="CX19" i="4" s="1"/>
  <c r="DA27" i="4"/>
  <c r="DA46" i="4"/>
  <c r="DB23" i="4"/>
  <c r="DC23" i="4" s="1"/>
  <c r="DL28" i="2"/>
  <c r="DF26" i="2"/>
  <c r="BN17" i="17"/>
  <c r="AT36" i="16"/>
  <c r="CP25" i="2"/>
  <c r="DA48" i="2"/>
  <c r="DB48" i="2"/>
  <c r="DC48" i="2" s="1"/>
  <c r="DR47" i="2"/>
  <c r="EA47" i="2" s="1"/>
  <c r="DS47" i="2"/>
  <c r="DT47" i="2" s="1"/>
  <c r="DU47" i="2" s="1"/>
  <c r="DG26" i="2"/>
  <c r="DH26" i="2" s="1"/>
  <c r="DI26" i="2" s="1"/>
  <c r="CV28" i="2"/>
  <c r="DB37" i="2"/>
  <c r="DC37" i="2" s="1"/>
  <c r="CW19" i="2"/>
  <c r="CX19" i="2" s="1"/>
  <c r="CV25" i="2"/>
  <c r="CW25" i="2"/>
  <c r="CX25" i="2" s="1"/>
  <c r="DA37" i="2"/>
  <c r="DR23" i="2"/>
  <c r="DM47" i="2"/>
  <c r="DN47" i="2" s="1"/>
  <c r="DO47" i="2" s="1"/>
  <c r="DS39" i="2"/>
  <c r="DT39" i="2" s="1"/>
  <c r="DU39" i="2" s="1"/>
  <c r="DR39" i="2"/>
  <c r="DB20" i="2"/>
  <c r="DC20" i="2" s="1"/>
  <c r="CW28" i="2"/>
  <c r="CX28" i="2" s="1"/>
  <c r="CV46" i="2"/>
  <c r="CW46" i="2"/>
  <c r="CX46" i="2" s="1"/>
  <c r="CP21" i="2"/>
  <c r="CV41" i="2"/>
  <c r="CW41" i="2"/>
  <c r="CX41" i="2" s="1"/>
  <c r="CW47" i="2"/>
  <c r="CX47" i="2" s="1"/>
  <c r="DA43" i="2"/>
  <c r="DS46" i="2"/>
  <c r="DT46" i="2" s="1"/>
  <c r="DU46" i="2" s="1"/>
  <c r="DM48" i="2"/>
  <c r="DN48" i="2" s="1"/>
  <c r="DO48" i="2" s="1"/>
  <c r="DL19" i="2"/>
  <c r="CV18" i="2"/>
  <c r="DB45" i="2"/>
  <c r="DC45" i="2" s="1"/>
  <c r="DL47" i="4"/>
  <c r="CP28" i="4"/>
  <c r="BD36" i="4"/>
  <c r="CW48" i="4"/>
  <c r="CX48" i="4" s="1"/>
  <c r="CW26" i="4"/>
  <c r="CX26" i="4" s="1"/>
  <c r="DB29" i="4"/>
  <c r="DC29" i="4" s="1"/>
  <c r="Y4" i="15"/>
  <c r="DM28" i="2"/>
  <c r="DN28" i="2" s="1"/>
  <c r="DO28" i="2" s="1"/>
  <c r="DS47" i="4"/>
  <c r="DT47" i="4" s="1"/>
  <c r="DU47" i="4" s="1"/>
  <c r="DR47" i="4"/>
  <c r="DR28" i="4"/>
  <c r="EA28" i="4" s="1"/>
  <c r="DS28" i="4"/>
  <c r="DT28" i="4"/>
  <c r="DU28" i="4" s="1"/>
  <c r="DG27" i="2"/>
  <c r="DH27" i="2" s="1"/>
  <c r="DI27" i="2" s="1"/>
  <c r="DF27" i="2"/>
  <c r="DW27" i="2" s="1"/>
  <c r="DM29" i="2"/>
  <c r="DN29" i="2" s="1"/>
  <c r="DO29" i="2" s="1"/>
  <c r="DL29" i="2"/>
  <c r="DY29" i="2" s="1"/>
  <c r="DM27" i="2"/>
  <c r="DN27" i="2" s="1"/>
  <c r="DO27" i="2" s="1"/>
  <c r="CP28" i="2"/>
  <c r="BD36" i="16"/>
  <c r="CP26" i="2"/>
  <c r="BD36" i="19"/>
  <c r="BN17" i="19"/>
  <c r="CP47" i="4"/>
  <c r="CP25" i="4"/>
  <c r="DG47" i="2"/>
  <c r="DH47" i="2" s="1"/>
  <c r="DI47" i="2" s="1"/>
  <c r="DX47" i="2" s="1"/>
  <c r="DF47" i="2"/>
  <c r="DM39" i="2"/>
  <c r="DN39" i="2" s="1"/>
  <c r="DO39" i="2" s="1"/>
  <c r="DL39" i="2"/>
  <c r="DL23" i="2"/>
  <c r="DM23" i="2"/>
  <c r="DN23" i="2" s="1"/>
  <c r="DO23" i="2" s="1"/>
  <c r="DG19" i="2"/>
  <c r="DH19" i="2" s="1"/>
  <c r="DI19" i="2" s="1"/>
  <c r="DF28" i="2"/>
  <c r="DW28" i="2" s="1"/>
  <c r="DG28" i="2"/>
  <c r="DH28" i="2" s="1"/>
  <c r="DI28" i="2" s="1"/>
  <c r="DM28" i="4"/>
  <c r="DN28" i="4" s="1"/>
  <c r="DO28" i="4" s="1"/>
  <c r="DZ28" i="4" s="1"/>
  <c r="DG39" i="2"/>
  <c r="DH39" i="2" s="1"/>
  <c r="DI39" i="2" s="1"/>
  <c r="DF39" i="2"/>
  <c r="DF23" i="2"/>
  <c r="BN17" i="23"/>
  <c r="BD36" i="23"/>
  <c r="BS23" i="20"/>
  <c r="BX43" i="32"/>
  <c r="BN29" i="20"/>
  <c r="BX29" i="23"/>
  <c r="BN46" i="2"/>
  <c r="BI36" i="16"/>
  <c r="BS19" i="32"/>
  <c r="CC21" i="23"/>
  <c r="CC38" i="32"/>
  <c r="BX40" i="32"/>
  <c r="BX19" i="32"/>
  <c r="BN19" i="32"/>
  <c r="CC47" i="16"/>
  <c r="BX45" i="20"/>
  <c r="BS45" i="32"/>
  <c r="BS37" i="23"/>
  <c r="BX37" i="23"/>
  <c r="BX44" i="23"/>
  <c r="BS46" i="23"/>
  <c r="BN46" i="23"/>
  <c r="BS25" i="23"/>
  <c r="BX27" i="32"/>
  <c r="BX24" i="32"/>
  <c r="CC24" i="32"/>
  <c r="AE3" i="12"/>
  <c r="L7" i="31"/>
  <c r="AE3" i="11"/>
  <c r="AE3" i="14"/>
  <c r="AE3" i="24"/>
  <c r="L7" i="30"/>
  <c r="BR3" i="2"/>
  <c r="L7" i="27"/>
  <c r="BS48" i="32"/>
  <c r="BS28" i="32"/>
  <c r="BX48" i="32"/>
  <c r="BS22" i="32"/>
  <c r="BS40" i="32"/>
  <c r="BN48" i="23"/>
  <c r="BX24" i="23"/>
  <c r="CC40" i="23"/>
  <c r="BS45" i="20"/>
  <c r="CC47" i="2"/>
  <c r="BS21" i="20"/>
  <c r="BX22" i="20"/>
  <c r="BS28" i="19"/>
  <c r="BN20" i="19"/>
  <c r="BN28" i="19"/>
  <c r="BN48" i="20"/>
  <c r="BN26" i="19"/>
  <c r="BS22" i="19"/>
  <c r="CC42" i="20"/>
  <c r="BX47" i="20"/>
  <c r="BX42" i="20"/>
  <c r="BX38" i="20"/>
  <c r="BS47" i="17"/>
  <c r="BN20" i="20"/>
  <c r="CC22" i="19"/>
  <c r="BS42" i="19"/>
  <c r="BN39" i="19"/>
  <c r="BX45" i="2"/>
  <c r="CC45" i="2"/>
  <c r="BX40" i="20"/>
  <c r="CC38" i="20"/>
  <c r="CC21" i="20"/>
  <c r="BN38" i="20"/>
  <c r="BN19" i="20"/>
  <c r="CC19" i="20"/>
  <c r="CC23" i="20"/>
  <c r="BX19" i="20"/>
  <c r="BN37" i="19"/>
  <c r="BS18" i="19"/>
  <c r="BS47" i="2"/>
  <c r="BN29" i="2"/>
  <c r="BN47" i="2"/>
  <c r="BN27" i="32"/>
  <c r="CC44" i="32"/>
  <c r="CC47" i="32"/>
  <c r="BX45" i="32"/>
  <c r="BS44" i="32"/>
  <c r="BX39" i="32"/>
  <c r="BX47" i="32"/>
  <c r="BN47" i="32"/>
  <c r="CC27" i="32"/>
  <c r="BN44" i="32"/>
  <c r="BS44" i="23"/>
  <c r="BS20" i="23"/>
  <c r="BN24" i="20"/>
  <c r="BN37" i="20"/>
  <c r="BN41" i="20"/>
  <c r="BS24" i="20"/>
  <c r="BX26" i="20"/>
  <c r="BN18" i="20"/>
  <c r="CC18" i="20"/>
  <c r="BN22" i="20"/>
  <c r="BX24" i="20"/>
  <c r="BN26" i="20"/>
  <c r="CC37" i="20"/>
  <c r="CC39" i="20"/>
  <c r="BS41" i="20"/>
  <c r="BS26" i="20"/>
  <c r="BX41" i="20"/>
  <c r="BX18" i="20"/>
  <c r="BS37" i="20"/>
  <c r="BS22" i="20"/>
  <c r="BN24" i="19"/>
  <c r="BS20" i="19"/>
  <c r="CC24" i="19"/>
  <c r="BN43" i="19"/>
  <c r="CC47" i="17"/>
  <c r="BX28" i="17"/>
  <c r="CC27" i="2"/>
  <c r="BX27" i="2"/>
  <c r="BS29" i="2"/>
  <c r="BS27" i="2"/>
  <c r="A19" i="6" l="1"/>
  <c r="DX43" i="2"/>
  <c r="DZ43" i="2"/>
  <c r="DA42" i="2"/>
  <c r="EB42" i="2"/>
  <c r="BI42" i="2" s="1"/>
  <c r="DA38" i="2"/>
  <c r="CC42" i="2"/>
  <c r="EA25" i="2"/>
  <c r="DA23" i="2"/>
  <c r="EA23" i="2" s="1"/>
  <c r="EB23" i="2"/>
  <c r="BI23" i="2" s="1"/>
  <c r="DB19" i="2"/>
  <c r="DC19" i="2" s="1"/>
  <c r="DB42" i="4"/>
  <c r="DC42" i="4" s="1"/>
  <c r="EA39" i="4"/>
  <c r="DB38" i="4"/>
  <c r="DC38" i="4" s="1"/>
  <c r="DR44" i="2"/>
  <c r="EA44" i="2" s="1"/>
  <c r="DE24" i="2"/>
  <c r="DM24" i="2"/>
  <c r="DN24" i="2" s="1"/>
  <c r="DO24" i="2" s="1"/>
  <c r="DZ24" i="2" s="1"/>
  <c r="DL24" i="2"/>
  <c r="BN23" i="2"/>
  <c r="BS23" i="2"/>
  <c r="BX23" i="2" s="1"/>
  <c r="DR22" i="2"/>
  <c r="EA22" i="2" s="1"/>
  <c r="DK22" i="2"/>
  <c r="DQ41" i="2"/>
  <c r="DK40" i="2"/>
  <c r="DE40" i="2" s="1"/>
  <c r="DG40" i="2" s="1"/>
  <c r="DH40" i="2" s="1"/>
  <c r="DI40" i="2" s="1"/>
  <c r="DX40" i="2" s="1"/>
  <c r="DR38" i="2"/>
  <c r="DS38" i="2"/>
  <c r="DT38" i="2" s="1"/>
  <c r="DU38" i="2" s="1"/>
  <c r="DK37" i="2"/>
  <c r="DR37" i="2"/>
  <c r="DS37" i="2"/>
  <c r="DT37" i="2" s="1"/>
  <c r="DU37" i="2" s="1"/>
  <c r="DS45" i="4"/>
  <c r="DT45" i="4" s="1"/>
  <c r="DU45" i="4" s="1"/>
  <c r="DB40" i="4"/>
  <c r="DC40" i="4" s="1"/>
  <c r="EB40" i="4" s="1"/>
  <c r="CW40" i="4"/>
  <c r="CX40" i="4" s="1"/>
  <c r="DB45" i="4"/>
  <c r="DC45" i="4" s="1"/>
  <c r="EB45" i="4" s="1"/>
  <c r="BI45" i="4" s="1"/>
  <c r="DS26" i="4"/>
  <c r="DT26" i="4" s="1"/>
  <c r="DU26" i="4" s="1"/>
  <c r="DR26" i="4"/>
  <c r="DA25" i="4"/>
  <c r="CV25" i="4"/>
  <c r="DB21" i="4"/>
  <c r="DC21" i="4" s="1"/>
  <c r="CP26" i="4"/>
  <c r="DL45" i="4"/>
  <c r="DY45" i="4" s="1"/>
  <c r="DM45" i="4"/>
  <c r="DN45" i="4" s="1"/>
  <c r="DO45" i="4" s="1"/>
  <c r="DR45" i="4"/>
  <c r="EA45" i="4" s="1"/>
  <c r="DS42" i="4"/>
  <c r="DT42" i="4" s="1"/>
  <c r="DU42" i="4" s="1"/>
  <c r="EB42" i="4" s="1"/>
  <c r="BI42" i="4" s="1"/>
  <c r="DR42" i="4"/>
  <c r="EA42" i="4" s="1"/>
  <c r="DS41" i="4"/>
  <c r="DT41" i="4" s="1"/>
  <c r="DU41" i="4" s="1"/>
  <c r="DL41" i="4"/>
  <c r="DM41" i="4"/>
  <c r="DN41" i="4" s="1"/>
  <c r="DO41" i="4" s="1"/>
  <c r="DZ41" i="4" s="1"/>
  <c r="DR41" i="4"/>
  <c r="DS37" i="4"/>
  <c r="DT37" i="4" s="1"/>
  <c r="DU37" i="4" s="1"/>
  <c r="DL37" i="4"/>
  <c r="DY37" i="4" s="1"/>
  <c r="CP46" i="4"/>
  <c r="CP41" i="4"/>
  <c r="CP37" i="4"/>
  <c r="DM26" i="4"/>
  <c r="DN26" i="4" s="1"/>
  <c r="DO26" i="4" s="1"/>
  <c r="DZ26" i="4" s="1"/>
  <c r="DL26" i="4"/>
  <c r="DY26" i="4" s="1"/>
  <c r="DF37" i="4"/>
  <c r="DW37" i="4" s="1"/>
  <c r="DM37" i="4"/>
  <c r="DN37" i="4" s="1"/>
  <c r="DO37" i="4" s="1"/>
  <c r="BN26" i="17"/>
  <c r="BS26" i="17"/>
  <c r="CV39" i="4"/>
  <c r="CV38" i="4"/>
  <c r="DR18" i="4"/>
  <c r="DS18" i="4"/>
  <c r="DT18" i="4" s="1"/>
  <c r="DU18" i="4" s="1"/>
  <c r="DL18" i="4"/>
  <c r="DM18" i="4"/>
  <c r="DN18" i="4" s="1"/>
  <c r="DO18" i="4" s="1"/>
  <c r="DZ18" i="4" s="1"/>
  <c r="DE45" i="2"/>
  <c r="DL45" i="2"/>
  <c r="DY45" i="2" s="1"/>
  <c r="DM45" i="2"/>
  <c r="DN45" i="2" s="1"/>
  <c r="DO45" i="2" s="1"/>
  <c r="DM46" i="2"/>
  <c r="DN46" i="2" s="1"/>
  <c r="DO46" i="2" s="1"/>
  <c r="DL46" i="2"/>
  <c r="DY46" i="2" s="1"/>
  <c r="DE46" i="2"/>
  <c r="DG29" i="2"/>
  <c r="DH29" i="2" s="1"/>
  <c r="DI29" i="2" s="1"/>
  <c r="DX29" i="2" s="1"/>
  <c r="DF29" i="2"/>
  <c r="DE18" i="2"/>
  <c r="DG18" i="2" s="1"/>
  <c r="DH18" i="2" s="1"/>
  <c r="DI18" i="2" s="1"/>
  <c r="DX18" i="2" s="1"/>
  <c r="DM18" i="2"/>
  <c r="DN18" i="2" s="1"/>
  <c r="DO18" i="2" s="1"/>
  <c r="DZ18" i="2" s="1"/>
  <c r="DL18" i="2"/>
  <c r="DY18" i="2" s="1"/>
  <c r="DE42" i="2"/>
  <c r="DL42" i="2"/>
  <c r="DM42" i="2"/>
  <c r="DN42" i="2" s="1"/>
  <c r="DO42" i="2" s="1"/>
  <c r="DZ42" i="2" s="1"/>
  <c r="BX20" i="32"/>
  <c r="CR39" i="19"/>
  <c r="DK41" i="2"/>
  <c r="BS43" i="32"/>
  <c r="EA43" i="4"/>
  <c r="CW20" i="23"/>
  <c r="CX20" i="23" s="1"/>
  <c r="DK42" i="16"/>
  <c r="DM42" i="16" s="1"/>
  <c r="DN42" i="16" s="1"/>
  <c r="DO42" i="16" s="1"/>
  <c r="CS19" i="19"/>
  <c r="DA43" i="19"/>
  <c r="DE48" i="2"/>
  <c r="BN43" i="32"/>
  <c r="BN27" i="20"/>
  <c r="BS46" i="32"/>
  <c r="DR42" i="16"/>
  <c r="DK48" i="16"/>
  <c r="CR22" i="19"/>
  <c r="DR46" i="19"/>
  <c r="DY41" i="4"/>
  <c r="CC46" i="20"/>
  <c r="CC25" i="20"/>
  <c r="DS27" i="4"/>
  <c r="DT27" i="4" s="1"/>
  <c r="DU27" i="4" s="1"/>
  <c r="EB27" i="4" s="1"/>
  <c r="BI27" i="4" s="1"/>
  <c r="CC23" i="2"/>
  <c r="BS28" i="17"/>
  <c r="BN45" i="2"/>
  <c r="BS27" i="20"/>
  <c r="BN23" i="20"/>
  <c r="BS42" i="20"/>
  <c r="BX42" i="32"/>
  <c r="CC44" i="23"/>
  <c r="BS24" i="32"/>
  <c r="BS29" i="23"/>
  <c r="CC48" i="32"/>
  <c r="EA28" i="2"/>
  <c r="BD36" i="32"/>
  <c r="BS21" i="23"/>
  <c r="CV42" i="4"/>
  <c r="AT36" i="20"/>
  <c r="BX26" i="2"/>
  <c r="CC26" i="17"/>
  <c r="BX20" i="20"/>
  <c r="BS39" i="20"/>
  <c r="CS22" i="19"/>
  <c r="DK20" i="2"/>
  <c r="DE20" i="2" s="1"/>
  <c r="CC20" i="32"/>
  <c r="CC26" i="32"/>
  <c r="DZ38" i="4"/>
  <c r="CK9" i="4"/>
  <c r="CK11" i="4" s="1"/>
  <c r="CR19" i="32"/>
  <c r="BN46" i="19"/>
  <c r="BS40" i="19"/>
  <c r="BS27" i="19"/>
  <c r="BX21" i="19"/>
  <c r="DZ48" i="2"/>
  <c r="BX46" i="32"/>
  <c r="DB22" i="19"/>
  <c r="DC22" i="19" s="1"/>
  <c r="CR37" i="19"/>
  <c r="CS44" i="2"/>
  <c r="CS19" i="32"/>
  <c r="DB26" i="32"/>
  <c r="DC26" i="32" s="1"/>
  <c r="CV22" i="20"/>
  <c r="CC42" i="23"/>
  <c r="BX27" i="20"/>
  <c r="CC45" i="32"/>
  <c r="CS25" i="23"/>
  <c r="AP32" i="16"/>
  <c r="CK9" i="16" s="1"/>
  <c r="CK11" i="16" s="1"/>
  <c r="BS46" i="20"/>
  <c r="BN46" i="32"/>
  <c r="BS20" i="32"/>
  <c r="EA26" i="2"/>
  <c r="BX20" i="23"/>
  <c r="DK21" i="23"/>
  <c r="DL21" i="23" s="1"/>
  <c r="CS29" i="19"/>
  <c r="DR42" i="19"/>
  <c r="DK25" i="2"/>
  <c r="DS29" i="32"/>
  <c r="DT29" i="32" s="1"/>
  <c r="DU29" i="32" s="1"/>
  <c r="DB44" i="32"/>
  <c r="DC44" i="32" s="1"/>
  <c r="CV26" i="20"/>
  <c r="CC22" i="23"/>
  <c r="CS27" i="32"/>
  <c r="BX46" i="20"/>
  <c r="BN26" i="32"/>
  <c r="DZ45" i="4"/>
  <c r="BX26" i="32"/>
  <c r="DS21" i="23"/>
  <c r="DT21" i="23" s="1"/>
  <c r="DU21" i="23" s="1"/>
  <c r="CS18" i="19"/>
  <c r="CR21" i="19"/>
  <c r="CR23" i="19"/>
  <c r="DA29" i="19"/>
  <c r="DB23" i="32"/>
  <c r="DC23" i="32" s="1"/>
  <c r="EB28" i="17"/>
  <c r="CR19" i="23"/>
  <c r="CW48" i="19"/>
  <c r="CX48" i="19" s="1"/>
  <c r="CS27" i="20"/>
  <c r="DB40" i="20"/>
  <c r="DC40" i="20" s="1"/>
  <c r="DR38" i="17"/>
  <c r="DQ41" i="17"/>
  <c r="DR41" i="17" s="1"/>
  <c r="EA41" i="17" s="1"/>
  <c r="DS38" i="17"/>
  <c r="DT38" i="17" s="1"/>
  <c r="DU38" i="17" s="1"/>
  <c r="DE37" i="17"/>
  <c r="DF37" i="17" s="1"/>
  <c r="DZ39" i="4"/>
  <c r="EA39" i="2"/>
  <c r="CW39" i="2"/>
  <c r="CX39" i="2" s="1"/>
  <c r="DX39" i="2" s="1"/>
  <c r="DY39" i="2"/>
  <c r="EB39" i="2"/>
  <c r="DG21" i="2"/>
  <c r="DH21" i="2" s="1"/>
  <c r="DI21" i="2" s="1"/>
  <c r="DF21" i="2"/>
  <c r="DW21" i="2" s="1"/>
  <c r="DF40" i="2"/>
  <c r="DS20" i="2"/>
  <c r="DT20" i="2" s="1"/>
  <c r="DU20" i="2" s="1"/>
  <c r="EB20" i="2" s="1"/>
  <c r="DL20" i="2"/>
  <c r="DM40" i="2"/>
  <c r="DN40" i="2" s="1"/>
  <c r="DO40" i="2" s="1"/>
  <c r="DZ40" i="2" s="1"/>
  <c r="DM37" i="2"/>
  <c r="DN37" i="2" s="1"/>
  <c r="DO37" i="2" s="1"/>
  <c r="DZ37" i="2" s="1"/>
  <c r="DL37" i="2"/>
  <c r="DE37" i="2"/>
  <c r="EA18" i="2"/>
  <c r="DK37" i="16"/>
  <c r="DM37" i="16" s="1"/>
  <c r="DN37" i="16" s="1"/>
  <c r="DO37" i="16" s="1"/>
  <c r="DR44" i="16"/>
  <c r="CV25" i="16"/>
  <c r="CV20" i="16"/>
  <c r="DR18" i="16"/>
  <c r="CW37" i="4"/>
  <c r="CX37" i="4" s="1"/>
  <c r="DB22" i="4"/>
  <c r="DC22" i="4" s="1"/>
  <c r="CV18" i="4"/>
  <c r="DR19" i="4"/>
  <c r="EA19" i="4" s="1"/>
  <c r="DL22" i="4"/>
  <c r="DR22" i="4"/>
  <c r="EA22" i="4" s="1"/>
  <c r="DS22" i="4"/>
  <c r="DT22" i="4" s="1"/>
  <c r="DU22" i="4" s="1"/>
  <c r="DM22" i="4"/>
  <c r="DN22" i="4" s="1"/>
  <c r="DO22" i="4" s="1"/>
  <c r="BX38" i="32"/>
  <c r="BN38" i="32"/>
  <c r="CC29" i="2"/>
  <c r="BX29" i="2"/>
  <c r="CC48" i="23"/>
  <c r="BS48" i="23"/>
  <c r="DK47" i="23"/>
  <c r="DS47" i="23"/>
  <c r="DT47" i="23" s="1"/>
  <c r="DU47" i="23" s="1"/>
  <c r="DY38" i="2"/>
  <c r="DY19" i="2"/>
  <c r="CV25" i="23"/>
  <c r="CW25" i="23"/>
  <c r="CX25" i="23" s="1"/>
  <c r="DK43" i="23"/>
  <c r="DE43" i="23" s="1"/>
  <c r="DR43" i="23"/>
  <c r="DS43" i="23"/>
  <c r="DT43" i="23" s="1"/>
  <c r="DU43" i="23" s="1"/>
  <c r="DS46" i="16"/>
  <c r="DT46" i="16" s="1"/>
  <c r="DU46" i="16" s="1"/>
  <c r="DR46" i="16"/>
  <c r="DS40" i="19"/>
  <c r="DT40" i="19" s="1"/>
  <c r="DU40" i="19" s="1"/>
  <c r="DK40" i="19"/>
  <c r="DE40" i="19" s="1"/>
  <c r="DG40" i="19" s="1"/>
  <c r="DH40" i="19" s="1"/>
  <c r="DI40" i="19" s="1"/>
  <c r="DW19" i="2"/>
  <c r="DE38" i="2"/>
  <c r="DM38" i="2"/>
  <c r="DN38" i="2" s="1"/>
  <c r="DO38" i="2" s="1"/>
  <c r="DZ38" i="2" s="1"/>
  <c r="BN36" i="17"/>
  <c r="AQ54" i="17"/>
  <c r="DE38" i="4"/>
  <c r="DL38" i="4"/>
  <c r="DK46" i="4"/>
  <c r="DE46" i="4" s="1"/>
  <c r="DS46" i="4"/>
  <c r="DT46" i="4" s="1"/>
  <c r="DU46" i="4" s="1"/>
  <c r="DB18" i="4"/>
  <c r="DC18" i="4" s="1"/>
  <c r="DA18" i="4"/>
  <c r="DB41" i="4"/>
  <c r="DC41" i="4" s="1"/>
  <c r="DA41" i="4"/>
  <c r="DS45" i="19"/>
  <c r="DT45" i="19" s="1"/>
  <c r="DU45" i="19" s="1"/>
  <c r="DR45" i="19"/>
  <c r="CC45" i="17"/>
  <c r="BS45" i="17"/>
  <c r="DK19" i="16"/>
  <c r="DR19" i="16"/>
  <c r="DS28" i="16"/>
  <c r="DT28" i="16" s="1"/>
  <c r="DU28" i="16" s="1"/>
  <c r="DK28" i="16"/>
  <c r="DK29" i="19"/>
  <c r="DL29" i="19" s="1"/>
  <c r="DS29" i="19"/>
  <c r="DT29" i="19" s="1"/>
  <c r="DU29" i="19" s="1"/>
  <c r="EA43" i="2"/>
  <c r="EA20" i="2"/>
  <c r="EB27" i="2"/>
  <c r="DY43" i="2"/>
  <c r="EA42" i="2"/>
  <c r="CC24" i="23"/>
  <c r="BX26" i="23"/>
  <c r="DR37" i="4"/>
  <c r="BS47" i="23"/>
  <c r="EB28" i="23"/>
  <c r="CK33" i="23"/>
  <c r="DB21" i="16"/>
  <c r="DC21" i="16" s="1"/>
  <c r="CW22" i="19"/>
  <c r="CX22" i="19" s="1"/>
  <c r="CV23" i="19"/>
  <c r="CW26" i="19"/>
  <c r="CX26" i="19" s="1"/>
  <c r="DB42" i="19"/>
  <c r="DC42" i="19" s="1"/>
  <c r="DK44" i="2"/>
  <c r="DA22" i="32"/>
  <c r="DB25" i="32"/>
  <c r="DC25" i="32" s="1"/>
  <c r="DR29" i="32"/>
  <c r="DR41" i="32"/>
  <c r="CS41" i="32"/>
  <c r="CV18" i="17"/>
  <c r="CV24" i="17"/>
  <c r="CR25" i="17"/>
  <c r="CV18" i="20"/>
  <c r="DE23" i="20"/>
  <c r="DG23" i="20" s="1"/>
  <c r="DH23" i="20" s="1"/>
  <c r="DI23" i="20" s="1"/>
  <c r="BS22" i="23"/>
  <c r="A19" i="15"/>
  <c r="DK40" i="23"/>
  <c r="DL40" i="23" s="1"/>
  <c r="DR22" i="16"/>
  <c r="DR47" i="16"/>
  <c r="DR25" i="19"/>
  <c r="CW42" i="20"/>
  <c r="CX42" i="20" s="1"/>
  <c r="CR43" i="20"/>
  <c r="CV45" i="20"/>
  <c r="EB25" i="19"/>
  <c r="DR44" i="19"/>
  <c r="EA44" i="19" s="1"/>
  <c r="DA29" i="32"/>
  <c r="DR25" i="17"/>
  <c r="DA38" i="17"/>
  <c r="EA38" i="17" s="1"/>
  <c r="CR44" i="17"/>
  <c r="DA27" i="20"/>
  <c r="CS23" i="20"/>
  <c r="EB24" i="2"/>
  <c r="BI24" i="2" s="1"/>
  <c r="CS27" i="23"/>
  <c r="CR27" i="23"/>
  <c r="CP27" i="23"/>
  <c r="CR39" i="23"/>
  <c r="CP39" i="23"/>
  <c r="DS45" i="23"/>
  <c r="DT45" i="23" s="1"/>
  <c r="DU45" i="23" s="1"/>
  <c r="DK45" i="23"/>
  <c r="DL45" i="23" s="1"/>
  <c r="DS21" i="16"/>
  <c r="DT21" i="16" s="1"/>
  <c r="DU21" i="16" s="1"/>
  <c r="EB21" i="16" s="1"/>
  <c r="BI21" i="16" s="1"/>
  <c r="DR21" i="16"/>
  <c r="EA21" i="16" s="1"/>
  <c r="DK39" i="16"/>
  <c r="DS39" i="16"/>
  <c r="DT39" i="16" s="1"/>
  <c r="DU39" i="16" s="1"/>
  <c r="DR39" i="16"/>
  <c r="CS37" i="16"/>
  <c r="CR20" i="16"/>
  <c r="CR18" i="16"/>
  <c r="DY18" i="4"/>
  <c r="DZ27" i="2"/>
  <c r="DZ47" i="2"/>
  <c r="CK33" i="4"/>
  <c r="DS41" i="23"/>
  <c r="DT41" i="23" s="1"/>
  <c r="DU41" i="23" s="1"/>
  <c r="DK41" i="23"/>
  <c r="DL41" i="23" s="1"/>
  <c r="CP45" i="23"/>
  <c r="CR45" i="23"/>
  <c r="DK48" i="23"/>
  <c r="DS48" i="23"/>
  <c r="DT48" i="23" s="1"/>
  <c r="DU48" i="23" s="1"/>
  <c r="DR48" i="23"/>
  <c r="CW22" i="23"/>
  <c r="CX22" i="23" s="1"/>
  <c r="CV22" i="23"/>
  <c r="DL28" i="16"/>
  <c r="DM28" i="16"/>
  <c r="DN28" i="16" s="1"/>
  <c r="DO28" i="16" s="1"/>
  <c r="DZ28" i="16" s="1"/>
  <c r="DE28" i="16"/>
  <c r="DS45" i="16"/>
  <c r="DT45" i="16" s="1"/>
  <c r="DU45" i="16" s="1"/>
  <c r="EB45" i="16" s="1"/>
  <c r="BI45" i="16" s="1"/>
  <c r="BN45" i="16" s="1"/>
  <c r="DR45" i="16"/>
  <c r="DX27" i="2"/>
  <c r="EA48" i="2"/>
  <c r="DY24" i="2"/>
  <c r="EB40" i="2"/>
  <c r="DS26" i="23"/>
  <c r="DT26" i="23" s="1"/>
  <c r="DU26" i="23" s="1"/>
  <c r="EB26" i="23" s="1"/>
  <c r="DK26" i="23"/>
  <c r="DL26" i="23" s="1"/>
  <c r="DK29" i="23"/>
  <c r="DR29" i="23"/>
  <c r="CP42" i="23"/>
  <c r="CS42" i="23"/>
  <c r="DA19" i="16"/>
  <c r="EA19" i="16" s="1"/>
  <c r="DB19" i="16"/>
  <c r="DC19" i="16" s="1"/>
  <c r="DB19" i="23"/>
  <c r="DC19" i="23" s="1"/>
  <c r="CR23" i="23"/>
  <c r="CS46" i="23"/>
  <c r="DS19" i="16"/>
  <c r="DT19" i="16" s="1"/>
  <c r="DU19" i="16" s="1"/>
  <c r="CW41" i="16"/>
  <c r="CX41" i="16" s="1"/>
  <c r="DK44" i="16"/>
  <c r="DA25" i="19"/>
  <c r="DS26" i="19"/>
  <c r="DT26" i="19" s="1"/>
  <c r="DU26" i="19" s="1"/>
  <c r="CS41" i="19"/>
  <c r="CK42" i="19"/>
  <c r="DK44" i="19"/>
  <c r="DA45" i="19"/>
  <c r="CR47" i="19"/>
  <c r="EA19" i="32"/>
  <c r="CS21" i="32"/>
  <c r="CV27" i="32"/>
  <c r="CW29" i="32"/>
  <c r="CX29" i="32" s="1"/>
  <c r="DA41" i="32"/>
  <c r="EA41" i="32" s="1"/>
  <c r="DS41" i="32"/>
  <c r="DT41" i="32" s="1"/>
  <c r="DU41" i="32" s="1"/>
  <c r="EB41" i="32" s="1"/>
  <c r="DR44" i="32"/>
  <c r="EA44" i="32" s="1"/>
  <c r="DB19" i="17"/>
  <c r="DC19" i="17" s="1"/>
  <c r="DR21" i="17"/>
  <c r="CW26" i="17"/>
  <c r="CX26" i="17" s="1"/>
  <c r="DK19" i="20"/>
  <c r="DE19" i="20" s="1"/>
  <c r="DF19" i="20" s="1"/>
  <c r="DA21" i="20"/>
  <c r="DY22" i="20"/>
  <c r="DK28" i="20"/>
  <c r="DA41" i="20"/>
  <c r="DR18" i="19"/>
  <c r="DF40" i="19"/>
  <c r="CS23" i="32"/>
  <c r="CS37" i="32"/>
  <c r="CS40" i="32"/>
  <c r="CS38" i="32"/>
  <c r="CS42" i="32"/>
  <c r="CV47" i="32"/>
  <c r="DA24" i="17"/>
  <c r="DA40" i="17"/>
  <c r="EA40" i="17" s="1"/>
  <c r="CR29" i="20"/>
  <c r="DA38" i="20"/>
  <c r="CS39" i="20"/>
  <c r="DA47" i="20"/>
  <c r="CR48" i="20"/>
  <c r="DK27" i="16"/>
  <c r="DL27" i="16" s="1"/>
  <c r="DK29" i="16"/>
  <c r="EB37" i="16"/>
  <c r="BI37" i="16" s="1"/>
  <c r="BN37" i="16" s="1"/>
  <c r="EB47" i="16"/>
  <c r="DR48" i="16"/>
  <c r="CR18" i="19"/>
  <c r="CS21" i="19"/>
  <c r="CS24" i="19"/>
  <c r="CR25" i="19"/>
  <c r="DB26" i="19"/>
  <c r="DC26" i="19" s="1"/>
  <c r="DB44" i="19"/>
  <c r="DC44" i="19" s="1"/>
  <c r="CR21" i="2"/>
  <c r="CP19" i="32"/>
  <c r="CR26" i="32"/>
  <c r="CP27" i="32"/>
  <c r="DR27" i="32"/>
  <c r="CK33" i="32"/>
  <c r="DS21" i="17"/>
  <c r="DT21" i="17" s="1"/>
  <c r="DU21" i="17" s="1"/>
  <c r="CV44" i="17"/>
  <c r="DA47" i="17"/>
  <c r="CS18" i="20"/>
  <c r="DS19" i="20"/>
  <c r="DT19" i="20" s="1"/>
  <c r="DU19" i="20" s="1"/>
  <c r="DR23" i="20"/>
  <c r="DA24" i="20"/>
  <c r="CW39" i="20"/>
  <c r="CX39" i="20" s="1"/>
  <c r="DG18" i="4"/>
  <c r="DH18" i="4" s="1"/>
  <c r="DI18" i="4" s="1"/>
  <c r="DX18" i="4" s="1"/>
  <c r="DF18" i="4"/>
  <c r="DW18" i="4" s="1"/>
  <c r="DR43" i="19"/>
  <c r="DS43" i="19"/>
  <c r="DT43" i="19" s="1"/>
  <c r="DU43" i="19" s="1"/>
  <c r="CW22" i="32"/>
  <c r="CX22" i="32" s="1"/>
  <c r="CV22" i="32"/>
  <c r="DK22" i="32"/>
  <c r="DE22" i="32" s="1"/>
  <c r="DR22" i="32"/>
  <c r="EA22" i="32" s="1"/>
  <c r="CW25" i="32"/>
  <c r="CX25" i="32" s="1"/>
  <c r="CV25" i="32"/>
  <c r="DS19" i="17"/>
  <c r="DT19" i="17" s="1"/>
  <c r="DU19" i="17" s="1"/>
  <c r="DK19" i="17"/>
  <c r="DL19" i="17" s="1"/>
  <c r="DK29" i="17"/>
  <c r="DS29" i="17"/>
  <c r="DT29" i="17" s="1"/>
  <c r="DU29" i="17" s="1"/>
  <c r="CS46" i="17"/>
  <c r="CS43" i="17"/>
  <c r="CS26" i="17"/>
  <c r="CS40" i="17"/>
  <c r="CS38" i="17"/>
  <c r="CS29" i="17"/>
  <c r="CR26" i="17"/>
  <c r="DG19" i="20"/>
  <c r="DH19" i="20" s="1"/>
  <c r="DI19" i="20" s="1"/>
  <c r="CW20" i="20"/>
  <c r="CX20" i="20" s="1"/>
  <c r="CV20" i="20"/>
  <c r="CS25" i="20"/>
  <c r="CR25" i="20"/>
  <c r="DK27" i="20"/>
  <c r="DE27" i="20" s="1"/>
  <c r="DR27" i="20"/>
  <c r="DB46" i="20"/>
  <c r="DC46" i="20" s="1"/>
  <c r="DA46" i="20"/>
  <c r="DK40" i="20"/>
  <c r="DS40" i="20"/>
  <c r="DT40" i="20" s="1"/>
  <c r="DU40" i="20" s="1"/>
  <c r="DK40" i="32"/>
  <c r="DE40" i="32" s="1"/>
  <c r="DR40" i="32"/>
  <c r="EA40" i="32" s="1"/>
  <c r="DS40" i="32"/>
  <c r="DT40" i="32" s="1"/>
  <c r="DU40" i="32" s="1"/>
  <c r="DX23" i="2"/>
  <c r="DZ25" i="4"/>
  <c r="DR28" i="23"/>
  <c r="DR40" i="23"/>
  <c r="DA43" i="23"/>
  <c r="DA48" i="23"/>
  <c r="EA48" i="23" s="1"/>
  <c r="EB48" i="23"/>
  <c r="EB29" i="16"/>
  <c r="DR37" i="16"/>
  <c r="DA39" i="16"/>
  <c r="DZ42" i="16"/>
  <c r="EB37" i="19"/>
  <c r="DR38" i="19"/>
  <c r="DB39" i="19"/>
  <c r="DC39" i="19" s="1"/>
  <c r="DA39" i="19"/>
  <c r="DK43" i="19"/>
  <c r="EA45" i="19"/>
  <c r="CS48" i="19"/>
  <c r="CR48" i="19"/>
  <c r="CR46" i="19"/>
  <c r="CS40" i="19"/>
  <c r="CS39" i="19"/>
  <c r="CR38" i="19"/>
  <c r="CS37" i="19"/>
  <c r="CR28" i="19"/>
  <c r="CS45" i="19"/>
  <c r="CS44" i="19"/>
  <c r="CP46" i="32"/>
  <c r="CR46" i="32"/>
  <c r="DR19" i="17"/>
  <c r="CR20" i="17"/>
  <c r="CR18" i="17"/>
  <c r="DK40" i="17"/>
  <c r="DS40" i="17"/>
  <c r="DT40" i="17" s="1"/>
  <c r="DU40" i="17" s="1"/>
  <c r="DB19" i="20"/>
  <c r="DC19" i="20" s="1"/>
  <c r="EB19" i="20" s="1"/>
  <c r="DA19" i="20"/>
  <c r="CS44" i="20"/>
  <c r="CP44" i="20"/>
  <c r="EB46" i="20"/>
  <c r="DE45" i="17"/>
  <c r="DM45" i="17"/>
  <c r="DN45" i="17" s="1"/>
  <c r="DO45" i="17" s="1"/>
  <c r="DX21" i="2"/>
  <c r="DX26" i="2"/>
  <c r="EB47" i="2"/>
  <c r="DZ45" i="2"/>
  <c r="DY42" i="2"/>
  <c r="BN36" i="32"/>
  <c r="CS48" i="4"/>
  <c r="CK11" i="23"/>
  <c r="EA40" i="23"/>
  <c r="DK21" i="16"/>
  <c r="DR25" i="16"/>
  <c r="CS26" i="16"/>
  <c r="DR27" i="16"/>
  <c r="DR28" i="16"/>
  <c r="CV39" i="16"/>
  <c r="EB48" i="16"/>
  <c r="CR20" i="19"/>
  <c r="DR24" i="19"/>
  <c r="CS25" i="19"/>
  <c r="CR26" i="19"/>
  <c r="CS27" i="19"/>
  <c r="DA37" i="19"/>
  <c r="CV39" i="19"/>
  <c r="CR45" i="19"/>
  <c r="DK23" i="32"/>
  <c r="DE23" i="32" s="1"/>
  <c r="DS23" i="32"/>
  <c r="DT23" i="32" s="1"/>
  <c r="DU23" i="32" s="1"/>
  <c r="DR23" i="32"/>
  <c r="DK24" i="32"/>
  <c r="DM24" i="32" s="1"/>
  <c r="DN24" i="32" s="1"/>
  <c r="DO24" i="32" s="1"/>
  <c r="DR24" i="32"/>
  <c r="DS23" i="17"/>
  <c r="DT23" i="17" s="1"/>
  <c r="DU23" i="17" s="1"/>
  <c r="DR23" i="17"/>
  <c r="DR29" i="17"/>
  <c r="DR40" i="17"/>
  <c r="DK44" i="17"/>
  <c r="DB48" i="17"/>
  <c r="DC48" i="17" s="1"/>
  <c r="DA48" i="17"/>
  <c r="DM23" i="20"/>
  <c r="DN23" i="20" s="1"/>
  <c r="DO23" i="20" s="1"/>
  <c r="DS24" i="20"/>
  <c r="DT24" i="20" s="1"/>
  <c r="DU24" i="20" s="1"/>
  <c r="DK24" i="20"/>
  <c r="DR40" i="20"/>
  <c r="CS41" i="20"/>
  <c r="CV46" i="20"/>
  <c r="BN40" i="32"/>
  <c r="DW39" i="2"/>
  <c r="DZ23" i="2"/>
  <c r="DW26" i="2"/>
  <c r="AT36" i="4"/>
  <c r="EA19" i="2"/>
  <c r="EA37" i="2"/>
  <c r="BN47" i="4"/>
  <c r="CS23" i="4"/>
  <c r="CS27" i="4"/>
  <c r="CS42" i="4"/>
  <c r="CS46" i="4"/>
  <c r="DR19" i="23"/>
  <c r="DR22" i="23"/>
  <c r="DR23" i="23"/>
  <c r="DR25" i="23"/>
  <c r="CR26" i="23"/>
  <c r="DK28" i="23"/>
  <c r="DE28" i="23" s="1"/>
  <c r="DL43" i="23"/>
  <c r="DR44" i="23"/>
  <c r="CW18" i="16"/>
  <c r="CX18" i="16" s="1"/>
  <c r="CS24" i="16"/>
  <c r="CV27" i="16"/>
  <c r="DL29" i="16"/>
  <c r="DR29" i="16"/>
  <c r="DA38" i="16"/>
  <c r="DE42" i="16"/>
  <c r="DK45" i="16"/>
  <c r="DL45" i="16" s="1"/>
  <c r="DK46" i="16"/>
  <c r="DE46" i="16" s="1"/>
  <c r="DK47" i="16"/>
  <c r="DK18" i="19"/>
  <c r="DE18" i="19" s="1"/>
  <c r="CR19" i="19"/>
  <c r="DA19" i="19"/>
  <c r="CS20" i="19"/>
  <c r="CW21" i="19"/>
  <c r="CX21" i="19" s="1"/>
  <c r="CR24" i="19"/>
  <c r="CS26" i="19"/>
  <c r="CV27" i="19"/>
  <c r="CS28" i="19"/>
  <c r="CR29" i="19"/>
  <c r="EA29" i="19"/>
  <c r="DR37" i="19"/>
  <c r="CS38" i="19"/>
  <c r="DS38" i="19"/>
  <c r="DT38" i="19" s="1"/>
  <c r="DU38" i="19" s="1"/>
  <c r="CR40" i="19"/>
  <c r="CR41" i="19"/>
  <c r="CS42" i="19"/>
  <c r="CR43" i="19"/>
  <c r="DM44" i="19"/>
  <c r="DN44" i="19" s="1"/>
  <c r="DO44" i="19" s="1"/>
  <c r="DL44" i="19"/>
  <c r="DK47" i="19"/>
  <c r="DR47" i="19"/>
  <c r="DK21" i="32"/>
  <c r="DM21" i="32" s="1"/>
  <c r="DN21" i="32" s="1"/>
  <c r="DO21" i="32" s="1"/>
  <c r="DR21" i="32"/>
  <c r="DS22" i="32"/>
  <c r="DT22" i="32" s="1"/>
  <c r="DU22" i="32" s="1"/>
  <c r="EB22" i="32" s="1"/>
  <c r="CP23" i="32"/>
  <c r="CR23" i="32"/>
  <c r="CW24" i="32"/>
  <c r="CX24" i="32" s="1"/>
  <c r="CV24" i="32"/>
  <c r="DB40" i="32"/>
  <c r="DC40" i="32" s="1"/>
  <c r="DS44" i="32"/>
  <c r="DT44" i="32" s="1"/>
  <c r="DU44" i="32" s="1"/>
  <c r="EB44" i="32" s="1"/>
  <c r="CW22" i="17"/>
  <c r="CX22" i="17" s="1"/>
  <c r="CV22" i="17"/>
  <c r="DK23" i="17"/>
  <c r="DK25" i="17"/>
  <c r="DM25" i="17" s="1"/>
  <c r="DN25" i="17" s="1"/>
  <c r="DO25" i="17" s="1"/>
  <c r="DZ25" i="17" s="1"/>
  <c r="CW28" i="17"/>
  <c r="CX28" i="17" s="1"/>
  <c r="DK28" i="17"/>
  <c r="DR28" i="17"/>
  <c r="DM38" i="17"/>
  <c r="DN38" i="17" s="1"/>
  <c r="DO38" i="17" s="1"/>
  <c r="DE38" i="17"/>
  <c r="CW41" i="17"/>
  <c r="CX41" i="17" s="1"/>
  <c r="DF23" i="20"/>
  <c r="CP25" i="20"/>
  <c r="DA26" i="20"/>
  <c r="DB26" i="20"/>
  <c r="DC26" i="20" s="1"/>
  <c r="CV27" i="20"/>
  <c r="DS27" i="20"/>
  <c r="DT27" i="20" s="1"/>
  <c r="DU27" i="20" s="1"/>
  <c r="DA28" i="20"/>
  <c r="CW41" i="20"/>
  <c r="CX41" i="20" s="1"/>
  <c r="CV41" i="20"/>
  <c r="DA43" i="20"/>
  <c r="DA45" i="20"/>
  <c r="CS20" i="17"/>
  <c r="CK33" i="17"/>
  <c r="CV39" i="17"/>
  <c r="CS19" i="20"/>
  <c r="EA19" i="20"/>
  <c r="CS28" i="20"/>
  <c r="DR28" i="20"/>
  <c r="EA28" i="20" s="1"/>
  <c r="CV37" i="20"/>
  <c r="EA25" i="19"/>
  <c r="EA26" i="19"/>
  <c r="CK33" i="19"/>
  <c r="DR40" i="19"/>
  <c r="EA42" i="19"/>
  <c r="CS22" i="17"/>
  <c r="CR19" i="17"/>
  <c r="CV40" i="20"/>
  <c r="BS47" i="16"/>
  <c r="BX28" i="16"/>
  <c r="CR22" i="17"/>
  <c r="CR22" i="16"/>
  <c r="BD30" i="2"/>
  <c r="CK24" i="2" s="1"/>
  <c r="A19" i="18"/>
  <c r="DE38" i="23"/>
  <c r="DL38" i="23"/>
  <c r="DE24" i="23"/>
  <c r="DL24" i="23"/>
  <c r="DY23" i="2"/>
  <c r="DK21" i="4"/>
  <c r="DS21" i="4"/>
  <c r="DT21" i="4" s="1"/>
  <c r="DU21" i="4" s="1"/>
  <c r="DK29" i="4"/>
  <c r="DS29" i="4"/>
  <c r="DT29" i="4" s="1"/>
  <c r="DU29" i="4" s="1"/>
  <c r="EB29" i="4" s="1"/>
  <c r="DK44" i="4"/>
  <c r="DR44" i="4"/>
  <c r="EA44" i="4" s="1"/>
  <c r="DS44" i="4"/>
  <c r="DT44" i="4" s="1"/>
  <c r="DU44" i="4" s="1"/>
  <c r="EB44" i="4" s="1"/>
  <c r="BI44" i="4" s="1"/>
  <c r="CW38" i="19"/>
  <c r="CX38" i="19" s="1"/>
  <c r="CV38" i="19"/>
  <c r="DB21" i="32"/>
  <c r="DC21" i="32" s="1"/>
  <c r="DA21" i="32"/>
  <c r="EA21" i="32" s="1"/>
  <c r="DF40" i="32"/>
  <c r="DG40" i="32"/>
  <c r="DH40" i="32" s="1"/>
  <c r="DI40" i="32" s="1"/>
  <c r="CW48" i="20"/>
  <c r="CX48" i="20" s="1"/>
  <c r="CV48" i="20"/>
  <c r="CP40" i="16"/>
  <c r="CR40" i="16"/>
  <c r="CP29" i="16"/>
  <c r="CS29" i="16"/>
  <c r="CP23" i="16"/>
  <c r="CS23" i="16"/>
  <c r="BD30" i="16"/>
  <c r="CP19" i="16"/>
  <c r="CR19" i="16"/>
  <c r="BS39" i="32"/>
  <c r="CC42" i="32"/>
  <c r="BN29" i="16"/>
  <c r="BX22" i="23"/>
  <c r="DX28" i="2"/>
  <c r="DR25" i="4"/>
  <c r="DY28" i="2"/>
  <c r="EA40" i="2"/>
  <c r="EA45" i="2"/>
  <c r="DW29" i="2"/>
  <c r="CS29" i="23"/>
  <c r="CP29" i="23"/>
  <c r="CP37" i="23"/>
  <c r="CR37" i="23"/>
  <c r="CS46" i="16"/>
  <c r="DE18" i="17"/>
  <c r="DL18" i="17"/>
  <c r="DM18" i="17"/>
  <c r="DN18" i="17" s="1"/>
  <c r="DO18" i="17" s="1"/>
  <c r="DZ18" i="17" s="1"/>
  <c r="CC39" i="32"/>
  <c r="BS21" i="32"/>
  <c r="BS48" i="19"/>
  <c r="BS29" i="19"/>
  <c r="BN21" i="32"/>
  <c r="BN22" i="23"/>
  <c r="DY38" i="4"/>
  <c r="DS25" i="4"/>
  <c r="DT25" i="4" s="1"/>
  <c r="DU25" i="4" s="1"/>
  <c r="EB25" i="4" s="1"/>
  <c r="BI25" i="4" s="1"/>
  <c r="DY27" i="2"/>
  <c r="EB28" i="2"/>
  <c r="BN36" i="2"/>
  <c r="AQ54" i="2"/>
  <c r="DW47" i="2"/>
  <c r="EB19" i="2"/>
  <c r="CS19" i="4"/>
  <c r="CP19" i="4"/>
  <c r="CS38" i="4"/>
  <c r="CP38" i="4"/>
  <c r="CV22" i="4"/>
  <c r="CW22" i="4"/>
  <c r="CX22" i="4" s="1"/>
  <c r="DA26" i="4"/>
  <c r="EA26" i="4" s="1"/>
  <c r="DB26" i="4"/>
  <c r="DC26" i="4" s="1"/>
  <c r="EB26" i="4" s="1"/>
  <c r="BI26" i="4" s="1"/>
  <c r="BN26" i="4" s="1"/>
  <c r="DA37" i="4"/>
  <c r="EA37" i="4" s="1"/>
  <c r="DB37" i="4"/>
  <c r="DC37" i="4" s="1"/>
  <c r="EB37" i="4" s="1"/>
  <c r="CW18" i="23"/>
  <c r="CX18" i="23" s="1"/>
  <c r="CV18" i="23"/>
  <c r="DA41" i="23"/>
  <c r="DB41" i="23"/>
  <c r="DC41" i="23" s="1"/>
  <c r="CR21" i="16"/>
  <c r="CR46" i="2"/>
  <c r="CR38" i="2"/>
  <c r="CR23" i="2"/>
  <c r="CS48" i="2"/>
  <c r="CS43" i="2"/>
  <c r="CS38" i="2"/>
  <c r="CS25" i="2"/>
  <c r="CS20" i="2"/>
  <c r="CR48" i="2"/>
  <c r="CR40" i="2"/>
  <c r="CR25" i="2"/>
  <c r="CS47" i="2"/>
  <c r="CS42" i="2"/>
  <c r="CS29" i="2"/>
  <c r="CS24" i="2"/>
  <c r="CS19" i="2"/>
  <c r="CR42" i="2"/>
  <c r="CR27" i="2"/>
  <c r="CR19" i="2"/>
  <c r="CS46" i="2"/>
  <c r="CS40" i="2"/>
  <c r="CS28" i="2"/>
  <c r="CS23" i="2"/>
  <c r="CS39" i="2"/>
  <c r="CR44" i="2"/>
  <c r="CS27" i="2"/>
  <c r="BN17" i="2"/>
  <c r="CR29" i="2"/>
  <c r="CS21" i="2"/>
  <c r="DM21" i="2"/>
  <c r="DN21" i="2" s="1"/>
  <c r="DO21" i="2" s="1"/>
  <c r="DZ21" i="2" s="1"/>
  <c r="DL21" i="2"/>
  <c r="DY21" i="2" s="1"/>
  <c r="DY48" i="2"/>
  <c r="DS21" i="2"/>
  <c r="DT21" i="2" s="1"/>
  <c r="DU21" i="2" s="1"/>
  <c r="EB21" i="2" s="1"/>
  <c r="DR21" i="2"/>
  <c r="EA21" i="2" s="1"/>
  <c r="DS29" i="2"/>
  <c r="DT29" i="2" s="1"/>
  <c r="DU29" i="2" s="1"/>
  <c r="DR29" i="2"/>
  <c r="EA29" i="2" s="1"/>
  <c r="EB48" i="2"/>
  <c r="DS42" i="32"/>
  <c r="DT42" i="32" s="1"/>
  <c r="DU42" i="32" s="1"/>
  <c r="DK42" i="32"/>
  <c r="DR42" i="32"/>
  <c r="DB29" i="17"/>
  <c r="DC29" i="17" s="1"/>
  <c r="DA29" i="17"/>
  <c r="DE25" i="4"/>
  <c r="DL25" i="4"/>
  <c r="DY25" i="4" s="1"/>
  <c r="DK40" i="4"/>
  <c r="DR40" i="4"/>
  <c r="EA40" i="4" s="1"/>
  <c r="DK48" i="4"/>
  <c r="DS48" i="4"/>
  <c r="DT48" i="4" s="1"/>
  <c r="DU48" i="4" s="1"/>
  <c r="EB48" i="4" s="1"/>
  <c r="DK18" i="23"/>
  <c r="DR18" i="23"/>
  <c r="CW42" i="23"/>
  <c r="CX42" i="23" s="1"/>
  <c r="CV42" i="23"/>
  <c r="DM47" i="16"/>
  <c r="DN47" i="16" s="1"/>
  <c r="DO47" i="16" s="1"/>
  <c r="DZ47" i="16" s="1"/>
  <c r="DE47" i="16"/>
  <c r="DL47" i="16"/>
  <c r="CC20" i="23"/>
  <c r="BN20" i="23"/>
  <c r="BX21" i="32"/>
  <c r="BN42" i="32"/>
  <c r="DW40" i="2"/>
  <c r="DR29" i="4"/>
  <c r="EA29" i="4" s="1"/>
  <c r="DR21" i="4"/>
  <c r="EA21" i="4" s="1"/>
  <c r="DY47" i="2"/>
  <c r="DX41" i="4"/>
  <c r="DK20" i="4"/>
  <c r="DS20" i="4"/>
  <c r="DT20" i="4" s="1"/>
  <c r="DU20" i="4" s="1"/>
  <c r="DR20" i="4"/>
  <c r="EA20" i="4" s="1"/>
  <c r="DK24" i="4"/>
  <c r="DR24" i="4"/>
  <c r="EA24" i="4" s="1"/>
  <c r="DE28" i="4"/>
  <c r="DL28" i="4"/>
  <c r="DE39" i="4"/>
  <c r="DL39" i="4"/>
  <c r="DY39" i="4" s="1"/>
  <c r="DE43" i="4"/>
  <c r="DM43" i="4"/>
  <c r="DN43" i="4" s="1"/>
  <c r="DO43" i="4" s="1"/>
  <c r="DZ43" i="4" s="1"/>
  <c r="DE47" i="4"/>
  <c r="DM47" i="4"/>
  <c r="DN47" i="4" s="1"/>
  <c r="DO47" i="4" s="1"/>
  <c r="DB21" i="23"/>
  <c r="DC21" i="23" s="1"/>
  <c r="DA21" i="23"/>
  <c r="EA21" i="23" s="1"/>
  <c r="DS24" i="23"/>
  <c r="DT24" i="23" s="1"/>
  <c r="DU24" i="23" s="1"/>
  <c r="DR24" i="23"/>
  <c r="EA24" i="23" s="1"/>
  <c r="DK37" i="23"/>
  <c r="DE37" i="23" s="1"/>
  <c r="DG37" i="23" s="1"/>
  <c r="DH37" i="23" s="1"/>
  <c r="DI37" i="23" s="1"/>
  <c r="DX37" i="23" s="1"/>
  <c r="DR37" i="23"/>
  <c r="DS38" i="23"/>
  <c r="DT38" i="23" s="1"/>
  <c r="DU38" i="23" s="1"/>
  <c r="DR38" i="23"/>
  <c r="CW44" i="23"/>
  <c r="CX44" i="23" s="1"/>
  <c r="CV44" i="23"/>
  <c r="CW40" i="16"/>
  <c r="CX40" i="16" s="1"/>
  <c r="CV40" i="16"/>
  <c r="DK25" i="32"/>
  <c r="DS25" i="32"/>
  <c r="DT25" i="32" s="1"/>
  <c r="DU25" i="32" s="1"/>
  <c r="DR25" i="32"/>
  <c r="EA25" i="32" s="1"/>
  <c r="DS26" i="32"/>
  <c r="DT26" i="32" s="1"/>
  <c r="DU26" i="32" s="1"/>
  <c r="EB26" i="32" s="1"/>
  <c r="DR26" i="32"/>
  <c r="EA26" i="32" s="1"/>
  <c r="CP18" i="4"/>
  <c r="CW44" i="4"/>
  <c r="CX44" i="4" s="1"/>
  <c r="EB43" i="2"/>
  <c r="BI43" i="2" s="1"/>
  <c r="CV29" i="4"/>
  <c r="CP45" i="4"/>
  <c r="EB46" i="4"/>
  <c r="BI46" i="4" s="1"/>
  <c r="BX40" i="23"/>
  <c r="BN38" i="23"/>
  <c r="BX19" i="23"/>
  <c r="CC37" i="23"/>
  <c r="EA46" i="2"/>
  <c r="CP22" i="4"/>
  <c r="BN28" i="23"/>
  <c r="CS25" i="4"/>
  <c r="CR20" i="4"/>
  <c r="CR24" i="4"/>
  <c r="CR28" i="4"/>
  <c r="CR39" i="4"/>
  <c r="CR43" i="4"/>
  <c r="CR47" i="4"/>
  <c r="CS19" i="23"/>
  <c r="DK19" i="23"/>
  <c r="EB21" i="23"/>
  <c r="DA26" i="23"/>
  <c r="EA26" i="23" s="1"/>
  <c r="DL28" i="23"/>
  <c r="CS38" i="23"/>
  <c r="EB41" i="23"/>
  <c r="DR45" i="23"/>
  <c r="CS48" i="23"/>
  <c r="DS38" i="16"/>
  <c r="DT38" i="16" s="1"/>
  <c r="DU38" i="16" s="1"/>
  <c r="EB38" i="16" s="1"/>
  <c r="BI38" i="16" s="1"/>
  <c r="BN38" i="16" s="1"/>
  <c r="DR38" i="16"/>
  <c r="DK38" i="16"/>
  <c r="CW20" i="19"/>
  <c r="CX20" i="19" s="1"/>
  <c r="CV20" i="19"/>
  <c r="EB44" i="19"/>
  <c r="DE20" i="32"/>
  <c r="DL20" i="32"/>
  <c r="CW28" i="32"/>
  <c r="CX28" i="32" s="1"/>
  <c r="CV28" i="32"/>
  <c r="DS38" i="32"/>
  <c r="DT38" i="32" s="1"/>
  <c r="DU38" i="32" s="1"/>
  <c r="DK38" i="32"/>
  <c r="DR38" i="32"/>
  <c r="CP45" i="32"/>
  <c r="CR45" i="32"/>
  <c r="DK47" i="32"/>
  <c r="DS47" i="32"/>
  <c r="DT47" i="32" s="1"/>
  <c r="DU47" i="32" s="1"/>
  <c r="DR47" i="32"/>
  <c r="CW27" i="17"/>
  <c r="CX27" i="17" s="1"/>
  <c r="CV27" i="17"/>
  <c r="DE41" i="20"/>
  <c r="DM41" i="20"/>
  <c r="DN41" i="20" s="1"/>
  <c r="DO41" i="20" s="1"/>
  <c r="DZ41" i="20" s="1"/>
  <c r="DL41" i="20"/>
  <c r="DY41" i="20" s="1"/>
  <c r="DZ46" i="2"/>
  <c r="EB41" i="4"/>
  <c r="BI41" i="4" s="1"/>
  <c r="BN41" i="4" s="1"/>
  <c r="BN17" i="4"/>
  <c r="EB46" i="2"/>
  <c r="CW21" i="4"/>
  <c r="CX21" i="4" s="1"/>
  <c r="EA24" i="2"/>
  <c r="DY20" i="2"/>
  <c r="DY37" i="2"/>
  <c r="BX23" i="23"/>
  <c r="BS41" i="23"/>
  <c r="CK33" i="2"/>
  <c r="EB45" i="2"/>
  <c r="DW43" i="2"/>
  <c r="EB38" i="2"/>
  <c r="EB25" i="2"/>
  <c r="BI25" i="2" s="1"/>
  <c r="BN29" i="23"/>
  <c r="DX23" i="4"/>
  <c r="DX42" i="4"/>
  <c r="CS44" i="4"/>
  <c r="DY47" i="4"/>
  <c r="EA47" i="4"/>
  <c r="CW23" i="23"/>
  <c r="CX23" i="23" s="1"/>
  <c r="DB24" i="23"/>
  <c r="DC24" i="23" s="1"/>
  <c r="DB38" i="23"/>
  <c r="DC38" i="23" s="1"/>
  <c r="CV39" i="23"/>
  <c r="DB40" i="23"/>
  <c r="DC40" i="23" s="1"/>
  <c r="EB40" i="23" s="1"/>
  <c r="DR41" i="23"/>
  <c r="DA45" i="23"/>
  <c r="DB45" i="23"/>
  <c r="DC45" i="23" s="1"/>
  <c r="CV46" i="23"/>
  <c r="DE47" i="23"/>
  <c r="DL47" i="23"/>
  <c r="CV23" i="16"/>
  <c r="DK23" i="16"/>
  <c r="DE23" i="16" s="1"/>
  <c r="DF23" i="16" s="1"/>
  <c r="DR23" i="16"/>
  <c r="CW24" i="16"/>
  <c r="CX24" i="16" s="1"/>
  <c r="CV24" i="16"/>
  <c r="CW26" i="16"/>
  <c r="CX26" i="16" s="1"/>
  <c r="CV26" i="16"/>
  <c r="DS43" i="16"/>
  <c r="DT43" i="16" s="1"/>
  <c r="DU43" i="16" s="1"/>
  <c r="EB43" i="16" s="1"/>
  <c r="BI43" i="16" s="1"/>
  <c r="DK43" i="16"/>
  <c r="CS48" i="16"/>
  <c r="CR48" i="16"/>
  <c r="CR46" i="16"/>
  <c r="CS38" i="16"/>
  <c r="CR37" i="16"/>
  <c r="CR29" i="16"/>
  <c r="CR26" i="16"/>
  <c r="CR24" i="16"/>
  <c r="CS22" i="16"/>
  <c r="CS18" i="16"/>
  <c r="CS47" i="16"/>
  <c r="CS45" i="16"/>
  <c r="CS43" i="16"/>
  <c r="CS41" i="16"/>
  <c r="CS39" i="16"/>
  <c r="CR38" i="16"/>
  <c r="CS28" i="16"/>
  <c r="CS27" i="16"/>
  <c r="CS25" i="16"/>
  <c r="CR47" i="16"/>
  <c r="CR45" i="16"/>
  <c r="CR43" i="16"/>
  <c r="CR41" i="16"/>
  <c r="CS40" i="16"/>
  <c r="CR39" i="16"/>
  <c r="CR28" i="16"/>
  <c r="CR27" i="16"/>
  <c r="CR25" i="16"/>
  <c r="CR23" i="16"/>
  <c r="CS21" i="16"/>
  <c r="CS20" i="16"/>
  <c r="CS19" i="16"/>
  <c r="DB18" i="19"/>
  <c r="DC18" i="19" s="1"/>
  <c r="EB18" i="19" s="1"/>
  <c r="DA18" i="19"/>
  <c r="EA18" i="19" s="1"/>
  <c r="EA23" i="19"/>
  <c r="DB38" i="19"/>
  <c r="DC38" i="19" s="1"/>
  <c r="EB38" i="19" s="1"/>
  <c r="DA38" i="19"/>
  <c r="EA38" i="19" s="1"/>
  <c r="EB43" i="19"/>
  <c r="DE22" i="17"/>
  <c r="DM22" i="17"/>
  <c r="DN22" i="17" s="1"/>
  <c r="DO22" i="17" s="1"/>
  <c r="DL22" i="17"/>
  <c r="CS26" i="20"/>
  <c r="CP26" i="20"/>
  <c r="EB45" i="23"/>
  <c r="DB20" i="19"/>
  <c r="DC20" i="19" s="1"/>
  <c r="DA20" i="19"/>
  <c r="DS41" i="19"/>
  <c r="DT41" i="19" s="1"/>
  <c r="DU41" i="19" s="1"/>
  <c r="DR41" i="19"/>
  <c r="EA43" i="19"/>
  <c r="DM40" i="32"/>
  <c r="DN40" i="32" s="1"/>
  <c r="DO40" i="32" s="1"/>
  <c r="DL40" i="32"/>
  <c r="DG41" i="32"/>
  <c r="DH41" i="32" s="1"/>
  <c r="DI41" i="32" s="1"/>
  <c r="DF41" i="32"/>
  <c r="DB20" i="17"/>
  <c r="DC20" i="17" s="1"/>
  <c r="DA20" i="17"/>
  <c r="CS40" i="23"/>
  <c r="CS41" i="23"/>
  <c r="CS44" i="23"/>
  <c r="DR24" i="16"/>
  <c r="DR26" i="16"/>
  <c r="DR40" i="16"/>
  <c r="DE44" i="16"/>
  <c r="DG44" i="16" s="1"/>
  <c r="DH44" i="16" s="1"/>
  <c r="DI44" i="16" s="1"/>
  <c r="DX44" i="16" s="1"/>
  <c r="DB23" i="19"/>
  <c r="DC23" i="19" s="1"/>
  <c r="CW24" i="19"/>
  <c r="CX24" i="19" s="1"/>
  <c r="DK25" i="19"/>
  <c r="DR28" i="19"/>
  <c r="DK37" i="19"/>
  <c r="CR42" i="19"/>
  <c r="DK42" i="19"/>
  <c r="DL42" i="19" s="1"/>
  <c r="CS43" i="19"/>
  <c r="CR44" i="19"/>
  <c r="DK45" i="19"/>
  <c r="CS46" i="19"/>
  <c r="DA46" i="19"/>
  <c r="EA46" i="19" s="1"/>
  <c r="DS46" i="19"/>
  <c r="DT46" i="19" s="1"/>
  <c r="DU46" i="19" s="1"/>
  <c r="CS47" i="19"/>
  <c r="DA47" i="19"/>
  <c r="EA47" i="19" s="1"/>
  <c r="DS47" i="19"/>
  <c r="DT47" i="19" s="1"/>
  <c r="DU47" i="19" s="1"/>
  <c r="EB47" i="19" s="1"/>
  <c r="CR24" i="2"/>
  <c r="CR39" i="2"/>
  <c r="CR47" i="2"/>
  <c r="CV18" i="32"/>
  <c r="DA18" i="32"/>
  <c r="DK18" i="32"/>
  <c r="DE18" i="32" s="1"/>
  <c r="DS18" i="32"/>
  <c r="DT18" i="32" s="1"/>
  <c r="DU18" i="32" s="1"/>
  <c r="DR18" i="32"/>
  <c r="EA23" i="32"/>
  <c r="CV37" i="32"/>
  <c r="CW37" i="32"/>
  <c r="CX37" i="32" s="1"/>
  <c r="DS39" i="32"/>
  <c r="DT39" i="32" s="1"/>
  <c r="DU39" i="32" s="1"/>
  <c r="DK39" i="32"/>
  <c r="DB45" i="32"/>
  <c r="DC45" i="32" s="1"/>
  <c r="DA45" i="32"/>
  <c r="EA45" i="32" s="1"/>
  <c r="DB48" i="32"/>
  <c r="DC48" i="32" s="1"/>
  <c r="DA48" i="32"/>
  <c r="EA48" i="32" s="1"/>
  <c r="CW20" i="17"/>
  <c r="CX20" i="17" s="1"/>
  <c r="CV20" i="17"/>
  <c r="DK20" i="17"/>
  <c r="DE20" i="17" s="1"/>
  <c r="DS20" i="17"/>
  <c r="DT20" i="17" s="1"/>
  <c r="DU20" i="17" s="1"/>
  <c r="DR20" i="17"/>
  <c r="EB29" i="17"/>
  <c r="DG38" i="17"/>
  <c r="DH38" i="17" s="1"/>
  <c r="DI38" i="17" s="1"/>
  <c r="DF38" i="17"/>
  <c r="DE37" i="20"/>
  <c r="DL37" i="20"/>
  <c r="DM37" i="20"/>
  <c r="DN37" i="20" s="1"/>
  <c r="DO37" i="20" s="1"/>
  <c r="DZ37" i="20" s="1"/>
  <c r="EB39" i="16"/>
  <c r="BI39" i="16" s="1"/>
  <c r="BN39" i="16" s="1"/>
  <c r="EB44" i="16"/>
  <c r="BI44" i="16" s="1"/>
  <c r="EB46" i="16"/>
  <c r="DS21" i="32"/>
  <c r="DT21" i="32" s="1"/>
  <c r="DU21" i="32" s="1"/>
  <c r="EB21" i="32" s="1"/>
  <c r="CW23" i="32"/>
  <c r="CX23" i="32" s="1"/>
  <c r="DA37" i="32"/>
  <c r="DB37" i="32"/>
  <c r="DC37" i="32" s="1"/>
  <c r="CV38" i="32"/>
  <c r="DR39" i="32"/>
  <c r="CR47" i="32"/>
  <c r="CP47" i="32"/>
  <c r="DA47" i="32"/>
  <c r="CR48" i="32"/>
  <c r="CS45" i="32"/>
  <c r="CR42" i="32"/>
  <c r="CR41" i="32"/>
  <c r="CR27" i="32"/>
  <c r="CS26" i="32"/>
  <c r="CR22" i="32"/>
  <c r="CR21" i="32"/>
  <c r="CS46" i="32"/>
  <c r="CR40" i="32"/>
  <c r="CR39" i="32"/>
  <c r="CR37" i="32"/>
  <c r="DS18" i="17"/>
  <c r="DT18" i="17" s="1"/>
  <c r="DU18" i="17" s="1"/>
  <c r="DR18" i="17"/>
  <c r="DS22" i="17"/>
  <c r="DT22" i="17" s="1"/>
  <c r="DU22" i="17" s="1"/>
  <c r="DR22" i="17"/>
  <c r="EA22" i="17" s="1"/>
  <c r="DK27" i="17"/>
  <c r="DM27" i="17" s="1"/>
  <c r="DN27" i="17" s="1"/>
  <c r="DO27" i="17" s="1"/>
  <c r="DR27" i="17"/>
  <c r="DS27" i="17"/>
  <c r="DT27" i="17" s="1"/>
  <c r="DU27" i="17" s="1"/>
  <c r="DS41" i="17"/>
  <c r="DT41" i="17" s="1"/>
  <c r="DU41" i="17" s="1"/>
  <c r="DK41" i="17"/>
  <c r="CV46" i="17"/>
  <c r="CW46" i="17"/>
  <c r="CX46" i="17" s="1"/>
  <c r="DK21" i="20"/>
  <c r="DS21" i="20"/>
  <c r="DT21" i="20" s="1"/>
  <c r="DU21" i="20" s="1"/>
  <c r="EB21" i="20" s="1"/>
  <c r="DR21" i="20"/>
  <c r="EA47" i="23"/>
  <c r="CR48" i="23"/>
  <c r="DY27" i="16"/>
  <c r="DL42" i="16"/>
  <c r="DK24" i="19"/>
  <c r="DL43" i="19"/>
  <c r="DE44" i="19"/>
  <c r="EB46" i="19"/>
  <c r="CR20" i="2"/>
  <c r="CR28" i="2"/>
  <c r="CR43" i="2"/>
  <c r="DS20" i="32"/>
  <c r="DT20" i="32" s="1"/>
  <c r="DU20" i="32" s="1"/>
  <c r="DR20" i="32"/>
  <c r="CV42" i="32"/>
  <c r="CW42" i="32"/>
  <c r="CX42" i="32" s="1"/>
  <c r="DS43" i="32"/>
  <c r="DT43" i="32" s="1"/>
  <c r="DU43" i="32" s="1"/>
  <c r="EB43" i="32" s="1"/>
  <c r="DK43" i="32"/>
  <c r="DK45" i="32"/>
  <c r="DS45" i="32"/>
  <c r="DT45" i="32" s="1"/>
  <c r="DU45" i="32" s="1"/>
  <c r="DR46" i="32"/>
  <c r="DK48" i="32"/>
  <c r="DS48" i="32"/>
  <c r="DT48" i="32" s="1"/>
  <c r="DU48" i="32" s="1"/>
  <c r="EA19" i="17"/>
  <c r="CW21" i="17"/>
  <c r="CX21" i="17" s="1"/>
  <c r="CV21" i="17"/>
  <c r="EB24" i="17"/>
  <c r="DB25" i="17"/>
  <c r="DC25" i="17" s="1"/>
  <c r="EB25" i="17" s="1"/>
  <c r="DA25" i="17"/>
  <c r="EA25" i="17" s="1"/>
  <c r="EA29" i="17"/>
  <c r="CW40" i="17"/>
  <c r="CX40" i="17" s="1"/>
  <c r="CV40" i="17"/>
  <c r="DE22" i="20"/>
  <c r="DM22" i="20"/>
  <c r="DN22" i="20" s="1"/>
  <c r="DO22" i="20" s="1"/>
  <c r="DZ22" i="20" s="1"/>
  <c r="DR41" i="20"/>
  <c r="EA41" i="20" s="1"/>
  <c r="DS41" i="20"/>
  <c r="DT41" i="20" s="1"/>
  <c r="DU41" i="20" s="1"/>
  <c r="EB41" i="20" s="1"/>
  <c r="DZ21" i="17"/>
  <c r="CP22" i="17"/>
  <c r="DK24" i="17"/>
  <c r="DE24" i="17" s="1"/>
  <c r="DG24" i="17" s="1"/>
  <c r="DH24" i="17" s="1"/>
  <c r="DI24" i="17" s="1"/>
  <c r="DX24" i="17" s="1"/>
  <c r="DR24" i="17"/>
  <c r="DG37" i="17"/>
  <c r="DH37" i="17" s="1"/>
  <c r="DI37" i="17" s="1"/>
  <c r="DB41" i="17"/>
  <c r="DC41" i="17" s="1"/>
  <c r="DB43" i="17"/>
  <c r="DC43" i="17" s="1"/>
  <c r="EB43" i="17" s="1"/>
  <c r="CS44" i="17"/>
  <c r="DB46" i="17"/>
  <c r="DC46" i="17" s="1"/>
  <c r="DA46" i="17"/>
  <c r="DA20" i="20"/>
  <c r="EA24" i="20"/>
  <c r="CV29" i="20"/>
  <c r="CW29" i="20"/>
  <c r="CX29" i="20" s="1"/>
  <c r="DK42" i="20"/>
  <c r="DR42" i="20"/>
  <c r="DE45" i="20"/>
  <c r="DL45" i="20"/>
  <c r="DY45" i="20" s="1"/>
  <c r="DS45" i="20"/>
  <c r="DT45" i="20" s="1"/>
  <c r="DU45" i="20" s="1"/>
  <c r="EB45" i="20" s="1"/>
  <c r="DR45" i="20"/>
  <c r="DR45" i="17"/>
  <c r="DS45" i="17"/>
  <c r="DT45" i="17" s="1"/>
  <c r="DU45" i="17" s="1"/>
  <c r="BS48" i="16"/>
  <c r="BN46" i="16"/>
  <c r="BX29" i="16"/>
  <c r="BX27" i="16"/>
  <c r="EB40" i="17"/>
  <c r="DB45" i="17"/>
  <c r="DC45" i="17" s="1"/>
  <c r="DA45" i="17"/>
  <c r="CS48" i="17"/>
  <c r="CR45" i="17"/>
  <c r="CR43" i="17"/>
  <c r="CR29" i="17"/>
  <c r="CS25" i="17"/>
  <c r="CR48" i="17"/>
  <c r="EA27" i="20"/>
  <c r="EB28" i="20"/>
  <c r="CK33" i="20"/>
  <c r="CW44" i="20"/>
  <c r="CX44" i="20" s="1"/>
  <c r="CV44" i="20"/>
  <c r="CS46" i="20"/>
  <c r="CS40" i="20"/>
  <c r="CS38" i="20"/>
  <c r="CR28" i="20"/>
  <c r="CR26" i="20"/>
  <c r="CR23" i="20"/>
  <c r="CS21" i="20"/>
  <c r="CS20" i="20"/>
  <c r="CR19" i="20"/>
  <c r="CR18" i="20"/>
  <c r="CS48" i="20"/>
  <c r="CS43" i="20"/>
  <c r="CR38" i="20"/>
  <c r="CR20" i="20"/>
  <c r="DB48" i="20"/>
  <c r="DC48" i="20" s="1"/>
  <c r="DA48" i="20"/>
  <c r="DK42" i="17"/>
  <c r="DR42" i="17"/>
  <c r="DR38" i="20"/>
  <c r="EA38" i="20" s="1"/>
  <c r="DK38" i="20"/>
  <c r="DE38" i="20" s="1"/>
  <c r="CS29" i="32"/>
  <c r="CR38" i="32"/>
  <c r="CR43" i="32"/>
  <c r="CV23" i="17"/>
  <c r="CS21" i="17"/>
  <c r="CS18" i="17"/>
  <c r="CP18" i="17"/>
  <c r="DA28" i="17"/>
  <c r="EA28" i="17" s="1"/>
  <c r="DL37" i="17"/>
  <c r="DA39" i="17"/>
  <c r="CW48" i="17"/>
  <c r="CX48" i="17" s="1"/>
  <c r="CV48" i="17"/>
  <c r="DS22" i="20"/>
  <c r="DT22" i="20" s="1"/>
  <c r="DU22" i="20" s="1"/>
  <c r="DR22" i="20"/>
  <c r="CS29" i="20"/>
  <c r="DS37" i="20"/>
  <c r="DT37" i="20" s="1"/>
  <c r="DU37" i="20" s="1"/>
  <c r="DR37" i="20"/>
  <c r="EB38" i="20"/>
  <c r="EB40" i="20"/>
  <c r="BX47" i="19"/>
  <c r="BX45" i="19"/>
  <c r="BX43" i="19"/>
  <c r="BX41" i="19"/>
  <c r="BX39" i="19"/>
  <c r="BX37" i="19"/>
  <c r="BX28" i="19"/>
  <c r="BX26" i="19"/>
  <c r="DR44" i="17"/>
  <c r="EA40" i="20"/>
  <c r="CR39" i="20"/>
  <c r="BN41" i="23"/>
  <c r="BN42" i="23"/>
  <c r="CC26" i="23"/>
  <c r="BX41" i="23"/>
  <c r="BN23" i="23"/>
  <c r="BS26" i="23"/>
  <c r="BN26" i="23"/>
  <c r="BS23" i="23"/>
  <c r="BS24" i="23"/>
  <c r="BN24" i="23"/>
  <c r="BS42" i="23"/>
  <c r="BX46" i="17"/>
  <c r="BS46" i="17"/>
  <c r="BN46" i="17"/>
  <c r="BX47" i="4"/>
  <c r="CK11" i="19"/>
  <c r="CC46" i="19"/>
  <c r="CC42" i="19"/>
  <c r="BS44" i="19"/>
  <c r="CC44" i="19"/>
  <c r="BS46" i="19"/>
  <c r="CC48" i="19"/>
  <c r="CC26" i="2"/>
  <c r="BS26" i="2"/>
  <c r="BN26" i="2"/>
  <c r="BX46" i="2"/>
  <c r="BS42" i="2"/>
  <c r="BX42" i="2" s="1"/>
  <c r="BN42" i="2"/>
  <c r="CC46" i="2"/>
  <c r="BS41" i="4"/>
  <c r="CC28" i="2"/>
  <c r="BN21" i="20"/>
  <c r="CC29" i="19"/>
  <c r="BX28" i="2"/>
  <c r="BS38" i="19"/>
  <c r="BS44" i="20"/>
  <c r="CC40" i="19"/>
  <c r="BX48" i="20"/>
  <c r="BN44" i="20"/>
  <c r="BX25" i="20"/>
  <c r="CC27" i="16"/>
  <c r="CC45" i="23"/>
  <c r="CC38" i="19"/>
  <c r="CC44" i="20"/>
  <c r="BN40" i="19"/>
  <c r="BS19" i="19"/>
  <c r="BS48" i="20"/>
  <c r="BS29" i="20"/>
  <c r="BN29" i="32"/>
  <c r="BS27" i="16"/>
  <c r="BS27" i="23"/>
  <c r="BN47" i="16"/>
  <c r="CC29" i="16"/>
  <c r="CC29" i="32"/>
  <c r="CC25" i="19"/>
  <c r="BX40" i="19"/>
  <c r="CC41" i="4"/>
  <c r="BN43" i="23"/>
  <c r="BX45" i="23"/>
  <c r="CC27" i="19"/>
  <c r="BN27" i="19"/>
  <c r="BN40" i="20"/>
  <c r="CC40" i="20"/>
  <c r="BN48" i="2"/>
  <c r="BS23" i="19"/>
  <c r="BX29" i="20"/>
  <c r="BN25" i="20"/>
  <c r="BX29" i="32"/>
  <c r="BS29" i="16"/>
  <c r="BN27" i="16"/>
  <c r="BS47" i="4"/>
  <c r="BS47" i="19"/>
  <c r="CC20" i="20"/>
  <c r="BX28" i="4"/>
  <c r="CC48" i="2"/>
  <c r="CC21" i="19"/>
  <c r="BX45" i="17"/>
  <c r="BN28" i="20"/>
  <c r="BN41" i="19"/>
  <c r="CC47" i="20"/>
  <c r="CC43" i="19"/>
  <c r="CC28" i="4"/>
  <c r="CC41" i="19"/>
  <c r="BN48" i="17"/>
  <c r="BX43" i="23"/>
  <c r="BN39" i="23"/>
  <c r="BX37" i="32"/>
  <c r="BX18" i="32"/>
  <c r="AK54" i="20"/>
  <c r="CC25" i="23"/>
  <c r="BS18" i="32"/>
  <c r="CC41" i="32"/>
  <c r="BS37" i="16"/>
  <c r="BX37" i="16" s="1"/>
  <c r="BN28" i="16"/>
  <c r="BN21" i="23"/>
  <c r="BS37" i="32"/>
  <c r="BN47" i="23"/>
  <c r="CC47" i="23"/>
  <c r="CC28" i="17"/>
  <c r="CC45" i="19"/>
  <c r="CC28" i="23"/>
  <c r="BX48" i="19"/>
  <c r="BN39" i="20"/>
  <c r="BS25" i="19"/>
  <c r="BS20" i="20"/>
  <c r="BN28" i="2"/>
  <c r="CC29" i="17"/>
  <c r="BN23" i="19"/>
  <c r="CC48" i="17"/>
  <c r="CC43" i="23"/>
  <c r="BI36" i="20"/>
  <c r="BN24" i="2"/>
  <c r="CC24" i="2" s="1"/>
  <c r="CC48" i="16"/>
  <c r="BI17" i="4"/>
  <c r="BS25" i="32"/>
  <c r="BS44" i="2"/>
  <c r="BX25" i="32"/>
  <c r="BX39" i="23"/>
  <c r="CC28" i="32"/>
  <c r="CC23" i="19"/>
  <c r="BS41" i="19"/>
  <c r="BS45" i="19"/>
  <c r="BI17" i="19"/>
  <c r="BX25" i="19"/>
  <c r="BS28" i="20"/>
  <c r="CC28" i="20"/>
  <c r="CC47" i="4"/>
  <c r="BN45" i="19"/>
  <c r="CC47" i="19"/>
  <c r="BS43" i="20"/>
  <c r="BS28" i="4"/>
  <c r="BN21" i="19"/>
  <c r="BS48" i="2"/>
  <c r="BN29" i="17"/>
  <c r="BS48" i="17"/>
  <c r="BS21" i="19"/>
  <c r="BS27" i="17"/>
  <c r="BN19" i="19"/>
  <c r="BX39" i="20"/>
  <c r="BX29" i="17"/>
  <c r="BN47" i="20"/>
  <c r="BN43" i="20"/>
  <c r="BX28" i="32"/>
  <c r="BN18" i="32"/>
  <c r="BI17" i="2"/>
  <c r="BN25" i="23"/>
  <c r="BS24" i="2"/>
  <c r="CC43" i="20"/>
  <c r="BS39" i="23"/>
  <c r="BX21" i="23"/>
  <c r="BS41" i="32"/>
  <c r="CC19" i="19"/>
  <c r="BS25" i="4"/>
  <c r="BX29" i="4"/>
  <c r="BI17" i="23"/>
  <c r="BI17" i="32"/>
  <c r="BI17" i="17"/>
  <c r="EB37" i="2"/>
  <c r="EB18" i="2"/>
  <c r="EB22" i="2"/>
  <c r="BI22" i="2" s="1"/>
  <c r="BN22" i="2" s="1"/>
  <c r="DX19" i="2"/>
  <c r="DZ29" i="2"/>
  <c r="DZ28" i="2"/>
  <c r="EB21" i="4"/>
  <c r="EB44" i="2"/>
  <c r="BI44" i="2" s="1"/>
  <c r="DZ19" i="2"/>
  <c r="DF22" i="4"/>
  <c r="DW22" i="4" s="1"/>
  <c r="DG22" i="4"/>
  <c r="DH22" i="4" s="1"/>
  <c r="DI22" i="4" s="1"/>
  <c r="DG26" i="4"/>
  <c r="DH26" i="4" s="1"/>
  <c r="DI26" i="4" s="1"/>
  <c r="DX26" i="4" s="1"/>
  <c r="DF26" i="4"/>
  <c r="DW26" i="4" s="1"/>
  <c r="DG45" i="4"/>
  <c r="DH45" i="4" s="1"/>
  <c r="DI45" i="4" s="1"/>
  <c r="DX45" i="4" s="1"/>
  <c r="DF45" i="4"/>
  <c r="DW45" i="4" s="1"/>
  <c r="EB29" i="2"/>
  <c r="DX19" i="4"/>
  <c r="DX27" i="4"/>
  <c r="DL18" i="23"/>
  <c r="DY18" i="23" s="1"/>
  <c r="DM18" i="23"/>
  <c r="DN18" i="23" s="1"/>
  <c r="DO18" i="23" s="1"/>
  <c r="DZ18" i="23" s="1"/>
  <c r="DG25" i="23"/>
  <c r="DH25" i="23" s="1"/>
  <c r="DI25" i="23" s="1"/>
  <c r="DX25" i="23" s="1"/>
  <c r="DF25" i="23"/>
  <c r="DW25" i="23" s="1"/>
  <c r="DG43" i="23"/>
  <c r="DH43" i="23" s="1"/>
  <c r="DI43" i="23" s="1"/>
  <c r="DX43" i="23" s="1"/>
  <c r="DF43" i="23"/>
  <c r="DM48" i="23"/>
  <c r="DN48" i="23" s="1"/>
  <c r="DO48" i="23" s="1"/>
  <c r="DE48" i="23"/>
  <c r="DG18" i="16"/>
  <c r="DH18" i="16" s="1"/>
  <c r="DI18" i="16" s="1"/>
  <c r="DX18" i="16" s="1"/>
  <c r="DF18" i="16"/>
  <c r="DW18" i="16" s="1"/>
  <c r="DB20" i="16"/>
  <c r="DC20" i="16" s="1"/>
  <c r="DA20" i="16"/>
  <c r="BX46" i="16"/>
  <c r="BS46" i="16"/>
  <c r="CC38" i="23"/>
  <c r="BS38" i="32"/>
  <c r="BS29" i="4"/>
  <c r="BS38" i="23"/>
  <c r="BN27" i="23"/>
  <c r="BX38" i="23"/>
  <c r="BS28" i="16"/>
  <c r="DW23" i="2"/>
  <c r="DF42" i="4"/>
  <c r="DM19" i="4"/>
  <c r="DN19" i="4" s="1"/>
  <c r="DO19" i="4" s="1"/>
  <c r="DZ19" i="4" s="1"/>
  <c r="DL46" i="4"/>
  <c r="DY46" i="4" s="1"/>
  <c r="DM46" i="4"/>
  <c r="DN46" i="4" s="1"/>
  <c r="DO46" i="4" s="1"/>
  <c r="DZ46" i="4" s="1"/>
  <c r="CP44" i="4"/>
  <c r="DR46" i="4"/>
  <c r="EA46" i="4" s="1"/>
  <c r="DL42" i="4"/>
  <c r="DM42" i="4"/>
  <c r="DN42" i="4" s="1"/>
  <c r="DO42" i="4" s="1"/>
  <c r="DZ42" i="4" s="1"/>
  <c r="CW24" i="4"/>
  <c r="CX24" i="4" s="1"/>
  <c r="DF23" i="4"/>
  <c r="DW23" i="4" s="1"/>
  <c r="DL19" i="4"/>
  <c r="DY19" i="4" s="1"/>
  <c r="DL23" i="4"/>
  <c r="DY23" i="4" s="1"/>
  <c r="DB28" i="4"/>
  <c r="DC28" i="4" s="1"/>
  <c r="EB28" i="4" s="1"/>
  <c r="DB20" i="4"/>
  <c r="DC20" i="4" s="1"/>
  <c r="DS23" i="4"/>
  <c r="DT23" i="4" s="1"/>
  <c r="DU23" i="4" s="1"/>
  <c r="EB23" i="4" s="1"/>
  <c r="BI23" i="4" s="1"/>
  <c r="BS23" i="4" s="1"/>
  <c r="DB39" i="4"/>
  <c r="DC39" i="4" s="1"/>
  <c r="EB39" i="4" s="1"/>
  <c r="CV28" i="4"/>
  <c r="DY28" i="4" s="1"/>
  <c r="CW47" i="4"/>
  <c r="CX47" i="4" s="1"/>
  <c r="CS29" i="4"/>
  <c r="CR48" i="4"/>
  <c r="DE18" i="23"/>
  <c r="EB19" i="23"/>
  <c r="DM21" i="23"/>
  <c r="DN21" i="23" s="1"/>
  <c r="DO21" i="23" s="1"/>
  <c r="DE21" i="23"/>
  <c r="CP22" i="23"/>
  <c r="CS22" i="23"/>
  <c r="CP18" i="23"/>
  <c r="CS18" i="23"/>
  <c r="DG24" i="23"/>
  <c r="DH24" i="23" s="1"/>
  <c r="DI24" i="23" s="1"/>
  <c r="DX24" i="23" s="1"/>
  <c r="DF24" i="23"/>
  <c r="CW26" i="23"/>
  <c r="CX26" i="23" s="1"/>
  <c r="CV26" i="23"/>
  <c r="DY26" i="23" s="1"/>
  <c r="EA28" i="23"/>
  <c r="DL29" i="23"/>
  <c r="DY29" i="23" s="1"/>
  <c r="DM29" i="23"/>
  <c r="DN29" i="23" s="1"/>
  <c r="DO29" i="23" s="1"/>
  <c r="DZ29" i="23" s="1"/>
  <c r="EB38" i="23"/>
  <c r="CW40" i="23"/>
  <c r="CX40" i="23" s="1"/>
  <c r="CV40" i="23"/>
  <c r="DY40" i="23" s="1"/>
  <c r="DM41" i="23"/>
  <c r="DN41" i="23" s="1"/>
  <c r="DO41" i="23" s="1"/>
  <c r="DE41" i="23"/>
  <c r="CR43" i="23"/>
  <c r="CP43" i="23"/>
  <c r="BD49" i="23"/>
  <c r="EB43" i="23"/>
  <c r="DM45" i="23"/>
  <c r="DN45" i="23" s="1"/>
  <c r="DO45" i="23" s="1"/>
  <c r="DE45" i="23"/>
  <c r="DS46" i="23"/>
  <c r="DT46" i="23" s="1"/>
  <c r="DU46" i="23" s="1"/>
  <c r="DK46" i="23"/>
  <c r="DG47" i="23"/>
  <c r="DH47" i="23" s="1"/>
  <c r="DI47" i="23" s="1"/>
  <c r="DX47" i="23" s="1"/>
  <c r="DF47" i="23"/>
  <c r="DS20" i="16"/>
  <c r="DT20" i="16" s="1"/>
  <c r="DU20" i="16" s="1"/>
  <c r="DK20" i="16"/>
  <c r="CV28" i="16"/>
  <c r="DS41" i="16"/>
  <c r="DT41" i="16" s="1"/>
  <c r="DU41" i="16" s="1"/>
  <c r="DK41" i="16"/>
  <c r="CW21" i="23"/>
  <c r="CX21" i="23" s="1"/>
  <c r="CV21" i="23"/>
  <c r="DG22" i="23"/>
  <c r="DH22" i="23" s="1"/>
  <c r="DI22" i="23" s="1"/>
  <c r="DX22" i="23" s="1"/>
  <c r="DF22" i="23"/>
  <c r="DW22" i="23" s="1"/>
  <c r="DG38" i="23"/>
  <c r="DH38" i="23" s="1"/>
  <c r="DI38" i="23" s="1"/>
  <c r="DX38" i="23" s="1"/>
  <c r="DF38" i="23"/>
  <c r="DS42" i="23"/>
  <c r="DT42" i="23" s="1"/>
  <c r="DU42" i="23" s="1"/>
  <c r="DK42" i="23"/>
  <c r="DM21" i="16"/>
  <c r="DN21" i="16" s="1"/>
  <c r="DO21" i="16" s="1"/>
  <c r="DE21" i="16"/>
  <c r="DG23" i="16"/>
  <c r="DH23" i="16" s="1"/>
  <c r="DI23" i="16" s="1"/>
  <c r="DX23" i="16" s="1"/>
  <c r="CW48" i="16"/>
  <c r="CX48" i="16" s="1"/>
  <c r="CV48" i="16"/>
  <c r="DB18" i="17"/>
  <c r="DC18" i="17" s="1"/>
  <c r="DA18" i="17"/>
  <c r="DE48" i="20"/>
  <c r="DL48" i="20"/>
  <c r="DY48" i="20" s="1"/>
  <c r="DM48" i="20"/>
  <c r="DN48" i="20" s="1"/>
  <c r="DO48" i="20" s="1"/>
  <c r="DZ48" i="20" s="1"/>
  <c r="CP44" i="16"/>
  <c r="CS44" i="16"/>
  <c r="CS42" i="16"/>
  <c r="BD49" i="16"/>
  <c r="CP42" i="16"/>
  <c r="BN25" i="4"/>
  <c r="CC25" i="4" s="1"/>
  <c r="CC48" i="4"/>
  <c r="BN48" i="16"/>
  <c r="BS18" i="23"/>
  <c r="BN19" i="23"/>
  <c r="BX23" i="32"/>
  <c r="BS19" i="23"/>
  <c r="DF41" i="4"/>
  <c r="DW41" i="4" s="1"/>
  <c r="DF19" i="4"/>
  <c r="DW19" i="4" s="1"/>
  <c r="DR38" i="4"/>
  <c r="EA38" i="4" s="1"/>
  <c r="DS38" i="4"/>
  <c r="DT38" i="4" s="1"/>
  <c r="DU38" i="4" s="1"/>
  <c r="EB38" i="4" s="1"/>
  <c r="DB24" i="4"/>
  <c r="DC24" i="4" s="1"/>
  <c r="EB24" i="4" s="1"/>
  <c r="BI24" i="4" s="1"/>
  <c r="BD49" i="4"/>
  <c r="BN36" i="19"/>
  <c r="DS19" i="4"/>
  <c r="DT19" i="4" s="1"/>
  <c r="DU19" i="4" s="1"/>
  <c r="EB19" i="4" s="1"/>
  <c r="DR23" i="4"/>
  <c r="EA23" i="4" s="1"/>
  <c r="DB43" i="4"/>
  <c r="DC43" i="4" s="1"/>
  <c r="EB43" i="4" s="1"/>
  <c r="BI43" i="4" s="1"/>
  <c r="DF27" i="4"/>
  <c r="DW27" i="4" s="1"/>
  <c r="CV43" i="4"/>
  <c r="DB47" i="4"/>
  <c r="DC47" i="4" s="1"/>
  <c r="EB47" i="4" s="1"/>
  <c r="CS40" i="4"/>
  <c r="EA19" i="23"/>
  <c r="DB20" i="23"/>
  <c r="DC20" i="23" s="1"/>
  <c r="DA20" i="23"/>
  <c r="EA20" i="23" s="1"/>
  <c r="CR22" i="23"/>
  <c r="DL23" i="23"/>
  <c r="DY23" i="23" s="1"/>
  <c r="DM23" i="23"/>
  <c r="DN23" i="23" s="1"/>
  <c r="DO23" i="23" s="1"/>
  <c r="DZ23" i="23" s="1"/>
  <c r="CR24" i="23"/>
  <c r="CP24" i="23"/>
  <c r="EB24" i="23"/>
  <c r="DM26" i="23"/>
  <c r="DN26" i="23" s="1"/>
  <c r="DO26" i="23" s="1"/>
  <c r="DZ26" i="23" s="1"/>
  <c r="DE26" i="23"/>
  <c r="DB27" i="23"/>
  <c r="DC27" i="23" s="1"/>
  <c r="DA27" i="23"/>
  <c r="EA27" i="23" s="1"/>
  <c r="DE29" i="23"/>
  <c r="EA38" i="23"/>
  <c r="DM40" i="23"/>
  <c r="DN40" i="23" s="1"/>
  <c r="DO40" i="23" s="1"/>
  <c r="DE40" i="23"/>
  <c r="DR42" i="23"/>
  <c r="EA43" i="23"/>
  <c r="DL44" i="23"/>
  <c r="DY44" i="23" s="1"/>
  <c r="DM44" i="23"/>
  <c r="DN44" i="23" s="1"/>
  <c r="DO44" i="23" s="1"/>
  <c r="DZ44" i="23" s="1"/>
  <c r="CR47" i="23"/>
  <c r="CP47" i="23"/>
  <c r="EB47" i="23"/>
  <c r="DL48" i="23"/>
  <c r="DL21" i="16"/>
  <c r="DL24" i="16"/>
  <c r="DM24" i="16"/>
  <c r="DN24" i="16" s="1"/>
  <c r="DO24" i="16" s="1"/>
  <c r="DL25" i="16"/>
  <c r="DY25" i="16" s="1"/>
  <c r="DM25" i="16"/>
  <c r="DN25" i="16" s="1"/>
  <c r="DO25" i="16" s="1"/>
  <c r="DZ25" i="16" s="1"/>
  <c r="DL26" i="16"/>
  <c r="DM26" i="16"/>
  <c r="DN26" i="16" s="1"/>
  <c r="DO26" i="16" s="1"/>
  <c r="DB40" i="16"/>
  <c r="DC40" i="16" s="1"/>
  <c r="EB40" i="16" s="1"/>
  <c r="BI40" i="16" s="1"/>
  <c r="DA40" i="16"/>
  <c r="DG18" i="19"/>
  <c r="DH18" i="19" s="1"/>
  <c r="DI18" i="19" s="1"/>
  <c r="DF18" i="19"/>
  <c r="BX49" i="32"/>
  <c r="BR10" i="32" s="1"/>
  <c r="CP21" i="4"/>
  <c r="CC29" i="4"/>
  <c r="CP29" i="4"/>
  <c r="CR28" i="23"/>
  <c r="CP28" i="23"/>
  <c r="DS39" i="23"/>
  <c r="DT39" i="23" s="1"/>
  <c r="DU39" i="23" s="1"/>
  <c r="DK39" i="23"/>
  <c r="CW41" i="23"/>
  <c r="CX41" i="23" s="1"/>
  <c r="CV41" i="23"/>
  <c r="DY41" i="23" s="1"/>
  <c r="CW45" i="23"/>
  <c r="CX45" i="23" s="1"/>
  <c r="CV45" i="23"/>
  <c r="DY45" i="23" s="1"/>
  <c r="DB46" i="23"/>
  <c r="DC46" i="23" s="1"/>
  <c r="DA46" i="23"/>
  <c r="EA46" i="23" s="1"/>
  <c r="DG22" i="16"/>
  <c r="DH22" i="16" s="1"/>
  <c r="DI22" i="16" s="1"/>
  <c r="DX22" i="16" s="1"/>
  <c r="DF22" i="16"/>
  <c r="DW22" i="16" s="1"/>
  <c r="DB28" i="16"/>
  <c r="DC28" i="16" s="1"/>
  <c r="EB28" i="16" s="1"/>
  <c r="DA28" i="16"/>
  <c r="EA28" i="16" s="1"/>
  <c r="DG42" i="16"/>
  <c r="DH42" i="16" s="1"/>
  <c r="DI42" i="16" s="1"/>
  <c r="DX42" i="16" s="1"/>
  <c r="DF42" i="16"/>
  <c r="BN29" i="4"/>
  <c r="BX48" i="4"/>
  <c r="BN22" i="32"/>
  <c r="CC22" i="32"/>
  <c r="BN18" i="23"/>
  <c r="BS28" i="23"/>
  <c r="BX18" i="23"/>
  <c r="CC28" i="16"/>
  <c r="CC23" i="32"/>
  <c r="BS23" i="32"/>
  <c r="CC46" i="16"/>
  <c r="BD30" i="4"/>
  <c r="DL27" i="4"/>
  <c r="DY27" i="4" s="1"/>
  <c r="DM27" i="4"/>
  <c r="DN27" i="4" s="1"/>
  <c r="DO27" i="4" s="1"/>
  <c r="DZ27" i="4" s="1"/>
  <c r="DR27" i="4"/>
  <c r="EA27" i="4" s="1"/>
  <c r="DM23" i="4"/>
  <c r="DN23" i="4" s="1"/>
  <c r="DO23" i="4" s="1"/>
  <c r="DZ23" i="4" s="1"/>
  <c r="BX28" i="23"/>
  <c r="CS21" i="4"/>
  <c r="DS20" i="23"/>
  <c r="DT20" i="23" s="1"/>
  <c r="DU20" i="23" s="1"/>
  <c r="DK20" i="23"/>
  <c r="DY21" i="23"/>
  <c r="DL22" i="23"/>
  <c r="DY22" i="23" s="1"/>
  <c r="DM22" i="23"/>
  <c r="DN22" i="23" s="1"/>
  <c r="DO22" i="23" s="1"/>
  <c r="DZ22" i="23" s="1"/>
  <c r="DG23" i="23"/>
  <c r="DH23" i="23" s="1"/>
  <c r="DI23" i="23" s="1"/>
  <c r="DX23" i="23" s="1"/>
  <c r="DF23" i="23"/>
  <c r="DW23" i="23" s="1"/>
  <c r="BD30" i="23"/>
  <c r="CP20" i="23"/>
  <c r="CS20" i="23"/>
  <c r="CR20" i="23"/>
  <c r="DL25" i="23"/>
  <c r="DY25" i="23" s="1"/>
  <c r="DM25" i="23"/>
  <c r="DN25" i="23" s="1"/>
  <c r="DO25" i="23" s="1"/>
  <c r="DZ25" i="23" s="1"/>
  <c r="DS27" i="23"/>
  <c r="DT27" i="23" s="1"/>
  <c r="DU27" i="23" s="1"/>
  <c r="DK27" i="23"/>
  <c r="DG28" i="23"/>
  <c r="DH28" i="23" s="1"/>
  <c r="DI28" i="23" s="1"/>
  <c r="DX28" i="23" s="1"/>
  <c r="DF28" i="23"/>
  <c r="DB39" i="23"/>
  <c r="DC39" i="23" s="1"/>
  <c r="DA39" i="23"/>
  <c r="EA39" i="23" s="1"/>
  <c r="DB42" i="23"/>
  <c r="DC42" i="23" s="1"/>
  <c r="DA42" i="23"/>
  <c r="DG44" i="23"/>
  <c r="DH44" i="23" s="1"/>
  <c r="DI44" i="23" s="1"/>
  <c r="DX44" i="23" s="1"/>
  <c r="DF44" i="23"/>
  <c r="DW44" i="23" s="1"/>
  <c r="CW48" i="23"/>
  <c r="CX48" i="23" s="1"/>
  <c r="CV48" i="23"/>
  <c r="DL18" i="16"/>
  <c r="DY18" i="16" s="1"/>
  <c r="DM18" i="16"/>
  <c r="DN18" i="16" s="1"/>
  <c r="DO18" i="16" s="1"/>
  <c r="DZ18" i="16" s="1"/>
  <c r="EA20" i="16"/>
  <c r="CW21" i="16"/>
  <c r="CX21" i="16" s="1"/>
  <c r="CV21" i="16"/>
  <c r="DL22" i="16"/>
  <c r="DY22" i="16" s="1"/>
  <c r="DM22" i="16"/>
  <c r="DN22" i="16" s="1"/>
  <c r="DO22" i="16" s="1"/>
  <c r="DZ22" i="16" s="1"/>
  <c r="DM23" i="16"/>
  <c r="DN23" i="16" s="1"/>
  <c r="DO23" i="16" s="1"/>
  <c r="DZ23" i="16" s="1"/>
  <c r="DG24" i="16"/>
  <c r="DH24" i="16" s="1"/>
  <c r="DI24" i="16" s="1"/>
  <c r="DX24" i="16" s="1"/>
  <c r="DF24" i="16"/>
  <c r="DW24" i="16" s="1"/>
  <c r="DG25" i="16"/>
  <c r="DH25" i="16" s="1"/>
  <c r="DI25" i="16" s="1"/>
  <c r="DX25" i="16" s="1"/>
  <c r="DF25" i="16"/>
  <c r="DW25" i="16" s="1"/>
  <c r="DG26" i="16"/>
  <c r="DH26" i="16" s="1"/>
  <c r="DI26" i="16" s="1"/>
  <c r="DX26" i="16" s="1"/>
  <c r="DF26" i="16"/>
  <c r="DW26" i="16" s="1"/>
  <c r="CR42" i="16"/>
  <c r="CR44" i="16"/>
  <c r="DG44" i="19"/>
  <c r="DH44" i="19" s="1"/>
  <c r="DI44" i="19" s="1"/>
  <c r="DF44" i="19"/>
  <c r="CS18" i="4"/>
  <c r="CS22" i="4"/>
  <c r="CS26" i="4"/>
  <c r="CS37" i="4"/>
  <c r="CS41" i="4"/>
  <c r="CS45" i="4"/>
  <c r="DA18" i="23"/>
  <c r="EA18" i="23" s="1"/>
  <c r="DS18" i="23"/>
  <c r="DT18" i="23" s="1"/>
  <c r="DU18" i="23" s="1"/>
  <c r="EB18" i="23" s="1"/>
  <c r="CV19" i="23"/>
  <c r="DM19" i="23"/>
  <c r="DN19" i="23" s="1"/>
  <c r="DO19" i="23" s="1"/>
  <c r="DZ19" i="23" s="1"/>
  <c r="CR21" i="23"/>
  <c r="DA22" i="23"/>
  <c r="EA22" i="23" s="1"/>
  <c r="DS22" i="23"/>
  <c r="DT22" i="23" s="1"/>
  <c r="DU22" i="23" s="1"/>
  <c r="EB22" i="23" s="1"/>
  <c r="CS23" i="23"/>
  <c r="DA23" i="23"/>
  <c r="EA23" i="23" s="1"/>
  <c r="DS23" i="23"/>
  <c r="DT23" i="23" s="1"/>
  <c r="DU23" i="23" s="1"/>
  <c r="EB23" i="23" s="1"/>
  <c r="CP19" i="23"/>
  <c r="CV24" i="23"/>
  <c r="DY24" i="23" s="1"/>
  <c r="DM24" i="23"/>
  <c r="DN24" i="23" s="1"/>
  <c r="DO24" i="23" s="1"/>
  <c r="DZ24" i="23" s="1"/>
  <c r="DA25" i="23"/>
  <c r="EA25" i="23" s="1"/>
  <c r="DS25" i="23"/>
  <c r="DT25" i="23" s="1"/>
  <c r="DU25" i="23" s="1"/>
  <c r="EB25" i="23" s="1"/>
  <c r="CS26" i="23"/>
  <c r="CV28" i="23"/>
  <c r="DY28" i="23" s="1"/>
  <c r="DM28" i="23"/>
  <c r="DN28" i="23" s="1"/>
  <c r="DO28" i="23" s="1"/>
  <c r="DZ28" i="23" s="1"/>
  <c r="DA29" i="23"/>
  <c r="EA29" i="23" s="1"/>
  <c r="DS29" i="23"/>
  <c r="DT29" i="23" s="1"/>
  <c r="DU29" i="23" s="1"/>
  <c r="EB29" i="23" s="1"/>
  <c r="CS37" i="23"/>
  <c r="DA37" i="23"/>
  <c r="EA37" i="23" s="1"/>
  <c r="DS37" i="23"/>
  <c r="DT37" i="23" s="1"/>
  <c r="DU37" i="23" s="1"/>
  <c r="EB37" i="23" s="1"/>
  <c r="CV38" i="23"/>
  <c r="DY38" i="23" s="1"/>
  <c r="DM38" i="23"/>
  <c r="DN38" i="23" s="1"/>
  <c r="DO38" i="23" s="1"/>
  <c r="DZ38" i="23" s="1"/>
  <c r="CR40" i="23"/>
  <c r="CR41" i="23"/>
  <c r="CR42" i="23"/>
  <c r="CV43" i="23"/>
  <c r="DY43" i="23" s="1"/>
  <c r="DM43" i="23"/>
  <c r="DN43" i="23" s="1"/>
  <c r="DO43" i="23" s="1"/>
  <c r="DZ43" i="23" s="1"/>
  <c r="DA44" i="23"/>
  <c r="EA44" i="23" s="1"/>
  <c r="DS44" i="23"/>
  <c r="DT44" i="23" s="1"/>
  <c r="DU44" i="23" s="1"/>
  <c r="EB44" i="23" s="1"/>
  <c r="CS45" i="23"/>
  <c r="CR46" i="23"/>
  <c r="CV47" i="23"/>
  <c r="DY47" i="23" s="1"/>
  <c r="DM47" i="23"/>
  <c r="DN47" i="23" s="1"/>
  <c r="DO47" i="23" s="1"/>
  <c r="DZ47" i="23" s="1"/>
  <c r="DA18" i="16"/>
  <c r="EA18" i="16" s="1"/>
  <c r="DS18" i="16"/>
  <c r="DT18" i="16" s="1"/>
  <c r="DU18" i="16" s="1"/>
  <c r="EB18" i="16" s="1"/>
  <c r="BI18" i="16" s="1"/>
  <c r="CV19" i="16"/>
  <c r="DM19" i="16"/>
  <c r="DN19" i="16" s="1"/>
  <c r="DO19" i="16" s="1"/>
  <c r="DZ19" i="16" s="1"/>
  <c r="DA22" i="16"/>
  <c r="EA22" i="16" s="1"/>
  <c r="DS22" i="16"/>
  <c r="DT22" i="16" s="1"/>
  <c r="DU22" i="16" s="1"/>
  <c r="EB22" i="16" s="1"/>
  <c r="BI22" i="16" s="1"/>
  <c r="DA23" i="16"/>
  <c r="EA23" i="16" s="1"/>
  <c r="DS23" i="16"/>
  <c r="DT23" i="16" s="1"/>
  <c r="DU23" i="16" s="1"/>
  <c r="EB23" i="16" s="1"/>
  <c r="BI23" i="16" s="1"/>
  <c r="BS23" i="16" s="1"/>
  <c r="DA24" i="16"/>
  <c r="EA24" i="16" s="1"/>
  <c r="DS24" i="16"/>
  <c r="DT24" i="16" s="1"/>
  <c r="DU24" i="16" s="1"/>
  <c r="EB24" i="16" s="1"/>
  <c r="BI24" i="16" s="1"/>
  <c r="DA25" i="16"/>
  <c r="EA25" i="16" s="1"/>
  <c r="DS25" i="16"/>
  <c r="DT25" i="16" s="1"/>
  <c r="DU25" i="16" s="1"/>
  <c r="EB25" i="16" s="1"/>
  <c r="BI25" i="16" s="1"/>
  <c r="DA26" i="16"/>
  <c r="EA26" i="16" s="1"/>
  <c r="DS26" i="16"/>
  <c r="DT26" i="16" s="1"/>
  <c r="DU26" i="16" s="1"/>
  <c r="EB26" i="16" s="1"/>
  <c r="BI26" i="16" s="1"/>
  <c r="BS26" i="16" s="1"/>
  <c r="DM27" i="16"/>
  <c r="DN27" i="16" s="1"/>
  <c r="DO27" i="16" s="1"/>
  <c r="DZ27" i="16" s="1"/>
  <c r="DY28" i="16"/>
  <c r="DE39" i="16"/>
  <c r="DL39" i="16"/>
  <c r="DY39" i="16" s="1"/>
  <c r="DK40" i="16"/>
  <c r="DM48" i="16"/>
  <c r="DN48" i="16" s="1"/>
  <c r="DO48" i="16" s="1"/>
  <c r="DE48" i="16"/>
  <c r="DF21" i="19"/>
  <c r="DW21" i="19" s="1"/>
  <c r="DS21" i="19"/>
  <c r="DT21" i="19" s="1"/>
  <c r="DU21" i="19" s="1"/>
  <c r="DR21" i="19"/>
  <c r="DM22" i="19"/>
  <c r="DN22" i="19" s="1"/>
  <c r="DO22" i="19" s="1"/>
  <c r="DZ22" i="19" s="1"/>
  <c r="DE22" i="19"/>
  <c r="DL22" i="19"/>
  <c r="DY22" i="19" s="1"/>
  <c r="DS22" i="19"/>
  <c r="DT22" i="19" s="1"/>
  <c r="DU22" i="19" s="1"/>
  <c r="EB22" i="19" s="1"/>
  <c r="DR22" i="19"/>
  <c r="EA22" i="19" s="1"/>
  <c r="DK23" i="19"/>
  <c r="DS23" i="19"/>
  <c r="DT23" i="19" s="1"/>
  <c r="DU23" i="19" s="1"/>
  <c r="EB23" i="19" s="1"/>
  <c r="EB29" i="19"/>
  <c r="EB42" i="19"/>
  <c r="DG18" i="32"/>
  <c r="DH18" i="32" s="1"/>
  <c r="DI18" i="32" s="1"/>
  <c r="DX18" i="32" s="1"/>
  <c r="DF18" i="32"/>
  <c r="DW18" i="32" s="1"/>
  <c r="DB41" i="16"/>
  <c r="DC41" i="16" s="1"/>
  <c r="DA41" i="16"/>
  <c r="EA41" i="16" s="1"/>
  <c r="EB42" i="16"/>
  <c r="BI42" i="16" s="1"/>
  <c r="BS42" i="16" s="1"/>
  <c r="DG47" i="16"/>
  <c r="DH47" i="16" s="1"/>
  <c r="DI47" i="16" s="1"/>
  <c r="DX47" i="16" s="1"/>
  <c r="DF47" i="16"/>
  <c r="DK19" i="19"/>
  <c r="DS19" i="19"/>
  <c r="DT19" i="19" s="1"/>
  <c r="DU19" i="19" s="1"/>
  <c r="EB19" i="19" s="1"/>
  <c r="DR19" i="19"/>
  <c r="EA19" i="19" s="1"/>
  <c r="DE20" i="19"/>
  <c r="DM20" i="19"/>
  <c r="DN20" i="19" s="1"/>
  <c r="DO20" i="19" s="1"/>
  <c r="DZ20" i="19" s="1"/>
  <c r="DL20" i="19"/>
  <c r="DY20" i="19" s="1"/>
  <c r="DS20" i="19"/>
  <c r="DT20" i="19" s="1"/>
  <c r="DU20" i="19" s="1"/>
  <c r="DR20" i="19"/>
  <c r="EA20" i="19" s="1"/>
  <c r="DX21" i="19"/>
  <c r="DM21" i="19"/>
  <c r="DN21" i="19" s="1"/>
  <c r="DO21" i="19" s="1"/>
  <c r="DZ21" i="19" s="1"/>
  <c r="DL21" i="19"/>
  <c r="DY21" i="19" s="1"/>
  <c r="DK27" i="19"/>
  <c r="DS27" i="19"/>
  <c r="DT27" i="19" s="1"/>
  <c r="DU27" i="19" s="1"/>
  <c r="DR27" i="19"/>
  <c r="EA27" i="19" s="1"/>
  <c r="CV28" i="19"/>
  <c r="CW28" i="19"/>
  <c r="CX28" i="19" s="1"/>
  <c r="CV41" i="19"/>
  <c r="CW41" i="19"/>
  <c r="CX41" i="19" s="1"/>
  <c r="BD49" i="17"/>
  <c r="CS37" i="17"/>
  <c r="CP37" i="17"/>
  <c r="CR37" i="17"/>
  <c r="BS44" i="4"/>
  <c r="BX47" i="23"/>
  <c r="CS20" i="4"/>
  <c r="CS24" i="4"/>
  <c r="CS28" i="4"/>
  <c r="CS39" i="4"/>
  <c r="CS43" i="4"/>
  <c r="CS47" i="4"/>
  <c r="CR19" i="4"/>
  <c r="CR21" i="4"/>
  <c r="CR23" i="4"/>
  <c r="CR25" i="4"/>
  <c r="CR27" i="4"/>
  <c r="CR29" i="4"/>
  <c r="CR38" i="4"/>
  <c r="CR40" i="4"/>
  <c r="CR42" i="4"/>
  <c r="CR44" i="4"/>
  <c r="CR46" i="4"/>
  <c r="CS24" i="23"/>
  <c r="CR25" i="23"/>
  <c r="CS28" i="23"/>
  <c r="CR29" i="23"/>
  <c r="CR38" i="23"/>
  <c r="CS39" i="23"/>
  <c r="CS43" i="23"/>
  <c r="CR44" i="23"/>
  <c r="CS47" i="23"/>
  <c r="DB27" i="16"/>
  <c r="DC27" i="16" s="1"/>
  <c r="EB27" i="16" s="1"/>
  <c r="DA27" i="16"/>
  <c r="EA27" i="16" s="1"/>
  <c r="CW29" i="16"/>
  <c r="CX29" i="16" s="1"/>
  <c r="CV29" i="16"/>
  <c r="DY29" i="16" s="1"/>
  <c r="CW37" i="16"/>
  <c r="CX37" i="16" s="1"/>
  <c r="DZ37" i="16" s="1"/>
  <c r="CV37" i="16"/>
  <c r="DM39" i="16"/>
  <c r="DN39" i="16" s="1"/>
  <c r="DO39" i="16" s="1"/>
  <c r="DZ39" i="16" s="1"/>
  <c r="DL48" i="16"/>
  <c r="DY48" i="16" s="1"/>
  <c r="DM18" i="19"/>
  <c r="DN18" i="19" s="1"/>
  <c r="DO18" i="19" s="1"/>
  <c r="DL18" i="19"/>
  <c r="DG26" i="19"/>
  <c r="DH26" i="19" s="1"/>
  <c r="DI26" i="19" s="1"/>
  <c r="DX26" i="19" s="1"/>
  <c r="DF26" i="19"/>
  <c r="DW26" i="19" s="1"/>
  <c r="EB26" i="19"/>
  <c r="DK39" i="19"/>
  <c r="DS39" i="19"/>
  <c r="DT39" i="19" s="1"/>
  <c r="DU39" i="19" s="1"/>
  <c r="EB39" i="19" s="1"/>
  <c r="DR39" i="19"/>
  <c r="EA39" i="19" s="1"/>
  <c r="CW40" i="19"/>
  <c r="CX40" i="19" s="1"/>
  <c r="DX40" i="19" s="1"/>
  <c r="CV40" i="19"/>
  <c r="DW40" i="19" s="1"/>
  <c r="CW46" i="19"/>
  <c r="CX46" i="19" s="1"/>
  <c r="CV46" i="19"/>
  <c r="CW47" i="19"/>
  <c r="CX47" i="19" s="1"/>
  <c r="CV47" i="19"/>
  <c r="DB48" i="19"/>
  <c r="DC48" i="19" s="1"/>
  <c r="DA48" i="19"/>
  <c r="DA29" i="16"/>
  <c r="EA29" i="16" s="1"/>
  <c r="DA37" i="16"/>
  <c r="EA37" i="16" s="1"/>
  <c r="CV38" i="16"/>
  <c r="DA42" i="16"/>
  <c r="EA42" i="16" s="1"/>
  <c r="DA43" i="16"/>
  <c r="EA43" i="16" s="1"/>
  <c r="DA44" i="16"/>
  <c r="EA44" i="16" s="1"/>
  <c r="DA45" i="16"/>
  <c r="EA45" i="16" s="1"/>
  <c r="DA46" i="16"/>
  <c r="EA46" i="16" s="1"/>
  <c r="DA47" i="16"/>
  <c r="EA47" i="16" s="1"/>
  <c r="CW18" i="19"/>
  <c r="CX18" i="19" s="1"/>
  <c r="CV18" i="19"/>
  <c r="DB21" i="19"/>
  <c r="DC21" i="19" s="1"/>
  <c r="DA21" i="19"/>
  <c r="DB24" i="19"/>
  <c r="DC24" i="19" s="1"/>
  <c r="EB24" i="19" s="1"/>
  <c r="DA24" i="19"/>
  <c r="EA24" i="19" s="1"/>
  <c r="DL26" i="19"/>
  <c r="DY26" i="19" s="1"/>
  <c r="DM26" i="19"/>
  <c r="DN26" i="19" s="1"/>
  <c r="DO26" i="19" s="1"/>
  <c r="DZ26" i="19" s="1"/>
  <c r="DK28" i="19"/>
  <c r="DL38" i="19"/>
  <c r="DY38" i="19" s="1"/>
  <c r="DM38" i="19"/>
  <c r="DN38" i="19" s="1"/>
  <c r="DO38" i="19" s="1"/>
  <c r="DZ38" i="19" s="1"/>
  <c r="DE38" i="19"/>
  <c r="DM40" i="19"/>
  <c r="DN40" i="19" s="1"/>
  <c r="DO40" i="19" s="1"/>
  <c r="DB40" i="19"/>
  <c r="DC40" i="19" s="1"/>
  <c r="EB40" i="19" s="1"/>
  <c r="DA40" i="19"/>
  <c r="DK41" i="19"/>
  <c r="DM46" i="19"/>
  <c r="DN46" i="19" s="1"/>
  <c r="DO46" i="19" s="1"/>
  <c r="DE46" i="19"/>
  <c r="DM47" i="19"/>
  <c r="DN47" i="19" s="1"/>
  <c r="DO47" i="19" s="1"/>
  <c r="DE47" i="19"/>
  <c r="DS48" i="19"/>
  <c r="DT48" i="19" s="1"/>
  <c r="DU48" i="19" s="1"/>
  <c r="DK48" i="19"/>
  <c r="CR18" i="2"/>
  <c r="CS18" i="2"/>
  <c r="CR26" i="2"/>
  <c r="CS26" i="2"/>
  <c r="CR41" i="2"/>
  <c r="CS41" i="2"/>
  <c r="CP41" i="2"/>
  <c r="CW21" i="32"/>
  <c r="CX21" i="32" s="1"/>
  <c r="DZ21" i="32" s="1"/>
  <c r="CV21" i="32"/>
  <c r="DG23" i="32"/>
  <c r="DH23" i="32" s="1"/>
  <c r="DI23" i="32" s="1"/>
  <c r="DX23" i="32" s="1"/>
  <c r="DF23" i="32"/>
  <c r="DW23" i="32" s="1"/>
  <c r="DZ24" i="32"/>
  <c r="CR25" i="32"/>
  <c r="CP25" i="32"/>
  <c r="CS25" i="32"/>
  <c r="DM26" i="32"/>
  <c r="DN26" i="32" s="1"/>
  <c r="DO26" i="32" s="1"/>
  <c r="DE26" i="32"/>
  <c r="CS28" i="32"/>
  <c r="CR28" i="32"/>
  <c r="CP28" i="32"/>
  <c r="DK28" i="32"/>
  <c r="DS28" i="32"/>
  <c r="DT28" i="32" s="1"/>
  <c r="DU28" i="32" s="1"/>
  <c r="DG29" i="32"/>
  <c r="DH29" i="32" s="1"/>
  <c r="DI29" i="32" s="1"/>
  <c r="DX29" i="32" s="1"/>
  <c r="DF29" i="32"/>
  <c r="DW29" i="32" s="1"/>
  <c r="CW25" i="17"/>
  <c r="CX25" i="17" s="1"/>
  <c r="CV25" i="17"/>
  <c r="DL18" i="20"/>
  <c r="DY18" i="20" s="1"/>
  <c r="DM18" i="20"/>
  <c r="DN18" i="20" s="1"/>
  <c r="DO18" i="20" s="1"/>
  <c r="DZ18" i="20" s="1"/>
  <c r="DE18" i="20"/>
  <c r="CV42" i="16"/>
  <c r="DY42" i="16" s="1"/>
  <c r="CV43" i="16"/>
  <c r="CV44" i="16"/>
  <c r="CV45" i="16"/>
  <c r="CV46" i="16"/>
  <c r="CV47" i="16"/>
  <c r="DY47" i="16" s="1"/>
  <c r="DA48" i="16"/>
  <c r="EA48" i="16" s="1"/>
  <c r="DM24" i="19"/>
  <c r="DN24" i="19" s="1"/>
  <c r="DO24" i="19" s="1"/>
  <c r="DZ24" i="19" s="1"/>
  <c r="DB27" i="19"/>
  <c r="DC27" i="19" s="1"/>
  <c r="CW29" i="19"/>
  <c r="CX29" i="19" s="1"/>
  <c r="CV29" i="19"/>
  <c r="DY29" i="19" s="1"/>
  <c r="CW42" i="19"/>
  <c r="CX42" i="19" s="1"/>
  <c r="CV42" i="19"/>
  <c r="DY42" i="19" s="1"/>
  <c r="CW44" i="19"/>
  <c r="CX44" i="19" s="1"/>
  <c r="DZ44" i="19" s="1"/>
  <c r="CV44" i="19"/>
  <c r="DY44" i="19" s="1"/>
  <c r="EB18" i="32"/>
  <c r="DK19" i="32"/>
  <c r="DS19" i="32"/>
  <c r="DT19" i="32" s="1"/>
  <c r="DU19" i="32" s="1"/>
  <c r="CW20" i="32"/>
  <c r="CX20" i="32" s="1"/>
  <c r="CV20" i="32"/>
  <c r="DY20" i="32" s="1"/>
  <c r="CP18" i="32"/>
  <c r="BD30" i="32"/>
  <c r="CS18" i="32"/>
  <c r="CR18" i="32"/>
  <c r="DL25" i="32"/>
  <c r="DY25" i="32" s="1"/>
  <c r="DM25" i="32"/>
  <c r="DN25" i="32" s="1"/>
  <c r="DO25" i="32" s="1"/>
  <c r="DZ25" i="32" s="1"/>
  <c r="DE25" i="32"/>
  <c r="CW21" i="20"/>
  <c r="CX21" i="20" s="1"/>
  <c r="CV21" i="20"/>
  <c r="DM29" i="19"/>
  <c r="DN29" i="19" s="1"/>
  <c r="DO29" i="19" s="1"/>
  <c r="DE29" i="19"/>
  <c r="CW37" i="19"/>
  <c r="CX37" i="19" s="1"/>
  <c r="CV37" i="19"/>
  <c r="DL40" i="19"/>
  <c r="DY40" i="19" s="1"/>
  <c r="DM42" i="19"/>
  <c r="DN42" i="19" s="1"/>
  <c r="DO42" i="19" s="1"/>
  <c r="DE42" i="19"/>
  <c r="CW43" i="19"/>
  <c r="CX43" i="19" s="1"/>
  <c r="CV43" i="19"/>
  <c r="DY43" i="19" s="1"/>
  <c r="EB45" i="19"/>
  <c r="DL46" i="19"/>
  <c r="DL47" i="19"/>
  <c r="DR48" i="19"/>
  <c r="EA48" i="19" s="1"/>
  <c r="CR22" i="2"/>
  <c r="CS22" i="2"/>
  <c r="CR37" i="2"/>
  <c r="CS37" i="2"/>
  <c r="CP37" i="2"/>
  <c r="BD49" i="2"/>
  <c r="CR45" i="2"/>
  <c r="CS45" i="2"/>
  <c r="CP45" i="2"/>
  <c r="EB23" i="32"/>
  <c r="DB24" i="32"/>
  <c r="DC24" i="32" s="1"/>
  <c r="DA24" i="32"/>
  <c r="EA24" i="32" s="1"/>
  <c r="DL26" i="32"/>
  <c r="DB27" i="32"/>
  <c r="DC27" i="32" s="1"/>
  <c r="EB27" i="32" s="1"/>
  <c r="DA27" i="32"/>
  <c r="EA27" i="32" s="1"/>
  <c r="DR28" i="32"/>
  <c r="EA28" i="32" s="1"/>
  <c r="EB29" i="32"/>
  <c r="DB38" i="32"/>
  <c r="DC38" i="32" s="1"/>
  <c r="EB38" i="32" s="1"/>
  <c r="DA38" i="32"/>
  <c r="EA38" i="32" s="1"/>
  <c r="CW43" i="32"/>
  <c r="CX43" i="32" s="1"/>
  <c r="CV43" i="32"/>
  <c r="DR48" i="17"/>
  <c r="EA48" i="17" s="1"/>
  <c r="DS48" i="17"/>
  <c r="DT48" i="17" s="1"/>
  <c r="DU48" i="17" s="1"/>
  <c r="EB48" i="17" s="1"/>
  <c r="DK48" i="17"/>
  <c r="CP24" i="17"/>
  <c r="CS24" i="17"/>
  <c r="CR24" i="17"/>
  <c r="DB19" i="32"/>
  <c r="DC19" i="32" s="1"/>
  <c r="DM20" i="32"/>
  <c r="DN20" i="32" s="1"/>
  <c r="DO20" i="32" s="1"/>
  <c r="DB20" i="32"/>
  <c r="DC20" i="32" s="1"/>
  <c r="EB20" i="32" s="1"/>
  <c r="DA20" i="32"/>
  <c r="EA20" i="32" s="1"/>
  <c r="DE21" i="32"/>
  <c r="CP20" i="32"/>
  <c r="CS20" i="32"/>
  <c r="CR20" i="32"/>
  <c r="DS24" i="32"/>
  <c r="DT24" i="32" s="1"/>
  <c r="DU24" i="32" s="1"/>
  <c r="DK27" i="32"/>
  <c r="DB28" i="32"/>
  <c r="DC28" i="32" s="1"/>
  <c r="CS44" i="32"/>
  <c r="DL44" i="32"/>
  <c r="DY44" i="32" s="1"/>
  <c r="DM44" i="32"/>
  <c r="DN44" i="32" s="1"/>
  <c r="DO44" i="32" s="1"/>
  <c r="DZ44" i="32" s="1"/>
  <c r="EB47" i="32"/>
  <c r="EB18" i="17"/>
  <c r="DG20" i="17"/>
  <c r="DH20" i="17" s="1"/>
  <c r="DI20" i="17" s="1"/>
  <c r="DX20" i="17" s="1"/>
  <c r="DF20" i="17"/>
  <c r="DW20" i="17" s="1"/>
  <c r="CP23" i="17"/>
  <c r="CS23" i="17"/>
  <c r="CR23" i="17"/>
  <c r="DS26" i="17"/>
  <c r="DT26" i="17" s="1"/>
  <c r="DU26" i="17" s="1"/>
  <c r="DK26" i="17"/>
  <c r="DZ27" i="17"/>
  <c r="DM29" i="17"/>
  <c r="DN29" i="17" s="1"/>
  <c r="DO29" i="17" s="1"/>
  <c r="DE29" i="17"/>
  <c r="CW37" i="17"/>
  <c r="CX37" i="17" s="1"/>
  <c r="DX37" i="17" s="1"/>
  <c r="CV37" i="17"/>
  <c r="DW37" i="17" s="1"/>
  <c r="CR39" i="17"/>
  <c r="CP39" i="17"/>
  <c r="CS39" i="17"/>
  <c r="CV25" i="20"/>
  <c r="CW25" i="20"/>
  <c r="CX25" i="20" s="1"/>
  <c r="CP45" i="20"/>
  <c r="CR45" i="20"/>
  <c r="DL18" i="32"/>
  <c r="DY18" i="32" s="1"/>
  <c r="DM18" i="32"/>
  <c r="DN18" i="32" s="1"/>
  <c r="DO18" i="32" s="1"/>
  <c r="DZ18" i="32" s="1"/>
  <c r="DG22" i="32"/>
  <c r="DH22" i="32" s="1"/>
  <c r="DI22" i="32" s="1"/>
  <c r="DX22" i="32" s="1"/>
  <c r="DF22" i="32"/>
  <c r="DW22" i="32" s="1"/>
  <c r="DL23" i="32"/>
  <c r="DY23" i="32" s="1"/>
  <c r="DM23" i="32"/>
  <c r="DN23" i="32" s="1"/>
  <c r="DO23" i="32" s="1"/>
  <c r="DZ23" i="32" s="1"/>
  <c r="CS24" i="32"/>
  <c r="CR24" i="32"/>
  <c r="DE24" i="32"/>
  <c r="DL24" i="32"/>
  <c r="DY24" i="32" s="1"/>
  <c r="EB25" i="32"/>
  <c r="CW26" i="32"/>
  <c r="CX26" i="32" s="1"/>
  <c r="CV26" i="32"/>
  <c r="CR29" i="32"/>
  <c r="CP29" i="32"/>
  <c r="DL29" i="32"/>
  <c r="DY29" i="32" s="1"/>
  <c r="DM29" i="32"/>
  <c r="DN29" i="32" s="1"/>
  <c r="DO29" i="32" s="1"/>
  <c r="DZ29" i="32" s="1"/>
  <c r="DK37" i="32"/>
  <c r="DS37" i="32"/>
  <c r="DT37" i="32" s="1"/>
  <c r="DU37" i="32" s="1"/>
  <c r="EB37" i="32" s="1"/>
  <c r="DR37" i="32"/>
  <c r="EA37" i="32" s="1"/>
  <c r="CP43" i="32"/>
  <c r="BD49" i="32"/>
  <c r="DB21" i="17"/>
  <c r="DC21" i="17" s="1"/>
  <c r="EB21" i="17" s="1"/>
  <c r="DA21" i="17"/>
  <c r="DB22" i="17"/>
  <c r="DC22" i="17" s="1"/>
  <c r="EB22" i="17" s="1"/>
  <c r="DA22" i="17"/>
  <c r="DB23" i="17"/>
  <c r="DC23" i="17" s="1"/>
  <c r="DA23" i="17"/>
  <c r="EA23" i="17" s="1"/>
  <c r="CR28" i="17"/>
  <c r="CP28" i="17"/>
  <c r="CS28" i="17"/>
  <c r="DL28" i="17"/>
  <c r="DY28" i="17" s="1"/>
  <c r="DM28" i="17"/>
  <c r="DN28" i="17" s="1"/>
  <c r="DO28" i="17" s="1"/>
  <c r="DZ28" i="17" s="1"/>
  <c r="DE28" i="17"/>
  <c r="CW38" i="17"/>
  <c r="CX38" i="17" s="1"/>
  <c r="DZ38" i="17" s="1"/>
  <c r="CV38" i="17"/>
  <c r="DY38" i="17" s="1"/>
  <c r="CP41" i="17"/>
  <c r="CS41" i="17"/>
  <c r="EB46" i="17"/>
  <c r="DM47" i="17"/>
  <c r="DN47" i="17" s="1"/>
  <c r="DO47" i="17" s="1"/>
  <c r="DL47" i="17"/>
  <c r="DE47" i="17"/>
  <c r="DK20" i="20"/>
  <c r="DS20" i="20"/>
  <c r="DT20" i="20" s="1"/>
  <c r="DU20" i="20" s="1"/>
  <c r="EB20" i="20" s="1"/>
  <c r="DR20" i="20"/>
  <c r="EA20" i="20" s="1"/>
  <c r="CW23" i="20"/>
  <c r="CX23" i="20" s="1"/>
  <c r="DZ23" i="20" s="1"/>
  <c r="CV23" i="20"/>
  <c r="DW23" i="20" s="1"/>
  <c r="DB37" i="20"/>
  <c r="DC37" i="20" s="1"/>
  <c r="EB37" i="20" s="1"/>
  <c r="DA37" i="20"/>
  <c r="CW25" i="19"/>
  <c r="CX25" i="19" s="1"/>
  <c r="CV25" i="19"/>
  <c r="DB28" i="19"/>
  <c r="DC28" i="19" s="1"/>
  <c r="EB28" i="19" s="1"/>
  <c r="DA28" i="19"/>
  <c r="EA28" i="19" s="1"/>
  <c r="EA40" i="19"/>
  <c r="DB41" i="19"/>
  <c r="DC41" i="19" s="1"/>
  <c r="EB41" i="19" s="1"/>
  <c r="DA41" i="19"/>
  <c r="EA41" i="19" s="1"/>
  <c r="CW45" i="19"/>
  <c r="CX45" i="19" s="1"/>
  <c r="CV45" i="19"/>
  <c r="CK24" i="19"/>
  <c r="CS22" i="32"/>
  <c r="DL22" i="32"/>
  <c r="DY22" i="32" s="1"/>
  <c r="DM22" i="32"/>
  <c r="DN22" i="32" s="1"/>
  <c r="DO22" i="32" s="1"/>
  <c r="DZ22" i="32" s="1"/>
  <c r="CV39" i="32"/>
  <c r="DB39" i="32"/>
  <c r="DC39" i="32" s="1"/>
  <c r="EB39" i="32" s="1"/>
  <c r="DA39" i="32"/>
  <c r="EA39" i="32" s="1"/>
  <c r="EB40" i="32"/>
  <c r="DM41" i="32"/>
  <c r="DN41" i="32" s="1"/>
  <c r="DO41" i="32" s="1"/>
  <c r="DL41" i="32"/>
  <c r="DA43" i="32"/>
  <c r="EA43" i="32" s="1"/>
  <c r="DE44" i="32"/>
  <c r="DL45" i="32"/>
  <c r="CW46" i="32"/>
  <c r="CX46" i="32" s="1"/>
  <c r="CV46" i="32"/>
  <c r="DM19" i="17"/>
  <c r="DN19" i="17" s="1"/>
  <c r="DO19" i="17" s="1"/>
  <c r="DE19" i="17"/>
  <c r="DZ22" i="17"/>
  <c r="DR26" i="17"/>
  <c r="DB27" i="17"/>
  <c r="DC27" i="17" s="1"/>
  <c r="EB27" i="17" s="1"/>
  <c r="DA27" i="17"/>
  <c r="EA27" i="17" s="1"/>
  <c r="DL29" i="17"/>
  <c r="EB38" i="17"/>
  <c r="DB42" i="17"/>
  <c r="DC42" i="17" s="1"/>
  <c r="EB42" i="17" s="1"/>
  <c r="DA42" i="17"/>
  <c r="EA42" i="17" s="1"/>
  <c r="CP47" i="17"/>
  <c r="CS47" i="17"/>
  <c r="CR47" i="17"/>
  <c r="DB46" i="32"/>
  <c r="DC46" i="32" s="1"/>
  <c r="EB46" i="32" s="1"/>
  <c r="DA46" i="32"/>
  <c r="EA47" i="32"/>
  <c r="DE47" i="32"/>
  <c r="DL47" i="32"/>
  <c r="DY47" i="32" s="1"/>
  <c r="DY18" i="17"/>
  <c r="DL20" i="17"/>
  <c r="DY20" i="17" s="1"/>
  <c r="DM20" i="17"/>
  <c r="DN20" i="17" s="1"/>
  <c r="DO20" i="17" s="1"/>
  <c r="DZ20" i="17" s="1"/>
  <c r="DY22" i="17"/>
  <c r="DB37" i="17"/>
  <c r="DC37" i="17" s="1"/>
  <c r="DA37" i="17"/>
  <c r="EA39" i="17"/>
  <c r="CS42" i="17"/>
  <c r="CP42" i="17"/>
  <c r="DS18" i="20"/>
  <c r="DT18" i="20" s="1"/>
  <c r="DU18" i="20" s="1"/>
  <c r="DR18" i="20"/>
  <c r="CW19" i="20"/>
  <c r="CX19" i="20" s="1"/>
  <c r="DX19" i="20" s="1"/>
  <c r="CV19" i="20"/>
  <c r="EA21" i="20"/>
  <c r="CS22" i="20"/>
  <c r="CP22" i="20"/>
  <c r="CW24" i="20"/>
  <c r="CX24" i="20" s="1"/>
  <c r="CV24" i="20"/>
  <c r="DS25" i="20"/>
  <c r="DT25" i="20" s="1"/>
  <c r="DU25" i="20" s="1"/>
  <c r="DK25" i="20"/>
  <c r="DB39" i="20"/>
  <c r="DC39" i="20" s="1"/>
  <c r="DA39" i="20"/>
  <c r="DR43" i="17"/>
  <c r="EA43" i="17" s="1"/>
  <c r="DK43" i="17"/>
  <c r="DR47" i="17"/>
  <c r="EA47" i="17" s="1"/>
  <c r="DS47" i="17"/>
  <c r="DT47" i="17" s="1"/>
  <c r="DU47" i="17" s="1"/>
  <c r="EB47" i="17" s="1"/>
  <c r="DK39" i="17"/>
  <c r="DS39" i="17"/>
  <c r="DT39" i="17" s="1"/>
  <c r="DU39" i="17" s="1"/>
  <c r="EB39" i="17" s="1"/>
  <c r="DK39" i="20"/>
  <c r="DS39" i="20"/>
  <c r="DT39" i="20" s="1"/>
  <c r="DU39" i="20" s="1"/>
  <c r="DR39" i="20"/>
  <c r="DR43" i="20"/>
  <c r="EA43" i="20" s="1"/>
  <c r="DK43" i="20"/>
  <c r="DS43" i="20"/>
  <c r="DT43" i="20" s="1"/>
  <c r="DU43" i="20" s="1"/>
  <c r="EB43" i="20" s="1"/>
  <c r="DR47" i="20"/>
  <c r="EA47" i="20" s="1"/>
  <c r="DS47" i="20"/>
  <c r="DT47" i="20" s="1"/>
  <c r="DU47" i="20" s="1"/>
  <c r="EB47" i="20" s="1"/>
  <c r="DK47" i="20"/>
  <c r="BR3" i="39"/>
  <c r="BR3" i="41"/>
  <c r="AR3" i="8"/>
  <c r="BR3" i="40"/>
  <c r="CW41" i="32"/>
  <c r="CX41" i="32" s="1"/>
  <c r="DX41" i="32" s="1"/>
  <c r="CV41" i="32"/>
  <c r="DW41" i="32" s="1"/>
  <c r="DM43" i="32"/>
  <c r="DN43" i="32" s="1"/>
  <c r="DO43" i="32" s="1"/>
  <c r="DK46" i="32"/>
  <c r="CS48" i="32"/>
  <c r="EA18" i="17"/>
  <c r="CW19" i="17"/>
  <c r="CX19" i="17" s="1"/>
  <c r="CV19" i="17"/>
  <c r="DY19" i="17" s="1"/>
  <c r="DE21" i="17"/>
  <c r="DL21" i="17"/>
  <c r="DY21" i="17" s="1"/>
  <c r="CP19" i="17"/>
  <c r="BD30" i="17"/>
  <c r="CS19" i="17"/>
  <c r="DL24" i="17"/>
  <c r="DY24" i="17" s="1"/>
  <c r="DB26" i="17"/>
  <c r="DC26" i="17" s="1"/>
  <c r="DA26" i="17"/>
  <c r="CS27" i="17"/>
  <c r="CR27" i="17"/>
  <c r="DE27" i="17"/>
  <c r="DL27" i="17"/>
  <c r="DY27" i="17" s="1"/>
  <c r="CW29" i="17"/>
  <c r="CX29" i="17" s="1"/>
  <c r="CV29" i="17"/>
  <c r="DY37" i="17"/>
  <c r="DS37" i="17"/>
  <c r="DT37" i="17" s="1"/>
  <c r="DU37" i="17" s="1"/>
  <c r="DR37" i="17"/>
  <c r="DZ45" i="17"/>
  <c r="EA45" i="17"/>
  <c r="DM19" i="20"/>
  <c r="DN19" i="20" s="1"/>
  <c r="DO19" i="20" s="1"/>
  <c r="DZ19" i="20" s="1"/>
  <c r="DL19" i="20"/>
  <c r="CR22" i="20"/>
  <c r="DB23" i="20"/>
  <c r="DC23" i="20" s="1"/>
  <c r="EB23" i="20" s="1"/>
  <c r="DA23" i="20"/>
  <c r="EA23" i="20" s="1"/>
  <c r="CP21" i="20"/>
  <c r="CR21" i="20"/>
  <c r="DR25" i="20"/>
  <c r="DK26" i="20"/>
  <c r="DS26" i="20"/>
  <c r="DT26" i="20" s="1"/>
  <c r="DU26" i="20" s="1"/>
  <c r="EB26" i="20" s="1"/>
  <c r="DR26" i="20"/>
  <c r="EA26" i="20" s="1"/>
  <c r="DG27" i="20"/>
  <c r="DH27" i="20" s="1"/>
  <c r="DI27" i="20" s="1"/>
  <c r="DX27" i="20" s="1"/>
  <c r="DF27" i="20"/>
  <c r="DW27" i="20" s="1"/>
  <c r="EB27" i="20"/>
  <c r="CW28" i="20"/>
  <c r="CX28" i="20" s="1"/>
  <c r="CV28" i="20"/>
  <c r="CW40" i="32"/>
  <c r="CX40" i="32" s="1"/>
  <c r="DZ40" i="32" s="1"/>
  <c r="CV40" i="32"/>
  <c r="DY40" i="32" s="1"/>
  <c r="DB42" i="32"/>
  <c r="DC42" i="32" s="1"/>
  <c r="EB42" i="32" s="1"/>
  <c r="DA42" i="32"/>
  <c r="EA42" i="32" s="1"/>
  <c r="CW45" i="32"/>
  <c r="CX45" i="32" s="1"/>
  <c r="CV45" i="32"/>
  <c r="EA46" i="32"/>
  <c r="DM47" i="32"/>
  <c r="DN47" i="32" s="1"/>
  <c r="DO47" i="32" s="1"/>
  <c r="DZ47" i="32" s="1"/>
  <c r="CW48" i="32"/>
  <c r="CX48" i="32" s="1"/>
  <c r="CV48" i="32"/>
  <c r="CP21" i="17"/>
  <c r="CR21" i="17"/>
  <c r="CW43" i="17"/>
  <c r="CX43" i="17" s="1"/>
  <c r="CV43" i="17"/>
  <c r="CV45" i="17"/>
  <c r="DK46" i="17"/>
  <c r="DR46" i="17"/>
  <c r="EA46" i="17" s="1"/>
  <c r="DY23" i="20"/>
  <c r="BD30" i="20"/>
  <c r="CP24" i="20"/>
  <c r="CS24" i="20"/>
  <c r="CR24" i="20"/>
  <c r="EB24" i="20"/>
  <c r="DS29" i="20"/>
  <c r="DT29" i="20" s="1"/>
  <c r="DU29" i="20" s="1"/>
  <c r="DK29" i="20"/>
  <c r="DR29" i="20"/>
  <c r="CS42" i="20"/>
  <c r="CP42" i="20"/>
  <c r="CW47" i="17"/>
  <c r="CX47" i="17" s="1"/>
  <c r="CV47" i="17"/>
  <c r="DB18" i="20"/>
  <c r="DC18" i="20" s="1"/>
  <c r="DA18" i="20"/>
  <c r="DB42" i="20"/>
  <c r="DC42" i="20" s="1"/>
  <c r="DA42" i="20"/>
  <c r="EA42" i="20" s="1"/>
  <c r="DR48" i="20"/>
  <c r="EA48" i="20" s="1"/>
  <c r="DS48" i="20"/>
  <c r="DT48" i="20" s="1"/>
  <c r="DU48" i="20" s="1"/>
  <c r="EB48" i="20" s="1"/>
  <c r="CS43" i="32"/>
  <c r="CR44" i="32"/>
  <c r="CS47" i="32"/>
  <c r="DB44" i="17"/>
  <c r="DC44" i="17" s="1"/>
  <c r="EB44" i="17" s="1"/>
  <c r="DA44" i="17"/>
  <c r="EA44" i="17" s="1"/>
  <c r="CR46" i="17"/>
  <c r="CS45" i="17"/>
  <c r="CR42" i="17"/>
  <c r="CR41" i="17"/>
  <c r="CR40" i="17"/>
  <c r="DB22" i="20"/>
  <c r="DC22" i="20" s="1"/>
  <c r="EB22" i="20" s="1"/>
  <c r="DA22" i="20"/>
  <c r="EA22" i="20" s="1"/>
  <c r="DB25" i="20"/>
  <c r="DC25" i="20" s="1"/>
  <c r="DA25" i="20"/>
  <c r="CR27" i="20"/>
  <c r="CP27" i="20"/>
  <c r="DL27" i="20"/>
  <c r="DY27" i="20" s="1"/>
  <c r="DM27" i="20"/>
  <c r="DN27" i="20" s="1"/>
  <c r="DO27" i="20" s="1"/>
  <c r="DZ27" i="20" s="1"/>
  <c r="DB29" i="20"/>
  <c r="DC29" i="20" s="1"/>
  <c r="DA29" i="20"/>
  <c r="DY37" i="20"/>
  <c r="DM38" i="20"/>
  <c r="DN38" i="20" s="1"/>
  <c r="DO38" i="20" s="1"/>
  <c r="DL38" i="20"/>
  <c r="EA45" i="20"/>
  <c r="DK46" i="20"/>
  <c r="DR46" i="20"/>
  <c r="EA46" i="20" s="1"/>
  <c r="DS44" i="20"/>
  <c r="DT44" i="20" s="1"/>
  <c r="DU44" i="20" s="1"/>
  <c r="DK44" i="20"/>
  <c r="EA37" i="20"/>
  <c r="BD49" i="20"/>
  <c r="CS37" i="20"/>
  <c r="CR37" i="20"/>
  <c r="CW43" i="20"/>
  <c r="CX43" i="20" s="1"/>
  <c r="CV43" i="20"/>
  <c r="CP47" i="20"/>
  <c r="CS47" i="20"/>
  <c r="CR47" i="20"/>
  <c r="CW38" i="20"/>
  <c r="CX38" i="20" s="1"/>
  <c r="CV38" i="20"/>
  <c r="DM42" i="20"/>
  <c r="DN42" i="20" s="1"/>
  <c r="DO42" i="20" s="1"/>
  <c r="DZ42" i="20" s="1"/>
  <c r="DS42" i="20"/>
  <c r="DT42" i="20" s="1"/>
  <c r="DU42" i="20" s="1"/>
  <c r="CR44" i="20"/>
  <c r="DM45" i="20"/>
  <c r="DN45" i="20" s="1"/>
  <c r="DO45" i="20" s="1"/>
  <c r="DZ45" i="20" s="1"/>
  <c r="CW47" i="20"/>
  <c r="CX47" i="20" s="1"/>
  <c r="CV47" i="20"/>
  <c r="BX46" i="19"/>
  <c r="BX44" i="19"/>
  <c r="BX42" i="19"/>
  <c r="BX24" i="19"/>
  <c r="BX22" i="19"/>
  <c r="BX20" i="19"/>
  <c r="BX18" i="19"/>
  <c r="DB44" i="20"/>
  <c r="DC44" i="20" s="1"/>
  <c r="DA44" i="20"/>
  <c r="EA44" i="20" s="1"/>
  <c r="CR46" i="20"/>
  <c r="CS45" i="20"/>
  <c r="CR42" i="20"/>
  <c r="CR41" i="20"/>
  <c r="CR40" i="20"/>
  <c r="BX48" i="16"/>
  <c r="BX47" i="16"/>
  <c r="BX38" i="19"/>
  <c r="BX29" i="19"/>
  <c r="BX27" i="19"/>
  <c r="M21" i="7"/>
  <c r="A24" i="7"/>
  <c r="M22" i="7"/>
  <c r="A14" i="7"/>
  <c r="A15" i="7"/>
  <c r="M23" i="7"/>
  <c r="A12" i="7"/>
  <c r="M15" i="7"/>
  <c r="A17" i="7"/>
  <c r="A11" i="7"/>
  <c r="A13" i="7"/>
  <c r="A22" i="7"/>
  <c r="A19" i="7"/>
  <c r="M16" i="7"/>
  <c r="A10" i="7"/>
  <c r="A20" i="7"/>
  <c r="A16" i="7"/>
  <c r="A18" i="7"/>
  <c r="M19" i="7"/>
  <c r="M17" i="7"/>
  <c r="M24" i="7"/>
  <c r="M20" i="7"/>
  <c r="A21" i="7"/>
  <c r="M18" i="7"/>
  <c r="BN37" i="32"/>
  <c r="CC49" i="32"/>
  <c r="CC30" i="23"/>
  <c r="CC46" i="23"/>
  <c r="CC49" i="23" s="1"/>
  <c r="BN49" i="23"/>
  <c r="BX27" i="23"/>
  <c r="BX30" i="23" s="1"/>
  <c r="CC30" i="20"/>
  <c r="BX30" i="20"/>
  <c r="BR9" i="20" s="1"/>
  <c r="BX49" i="20"/>
  <c r="BR10" i="20" s="1"/>
  <c r="BN49" i="20"/>
  <c r="BX26" i="17"/>
  <c r="BN47" i="17"/>
  <c r="BS24" i="4"/>
  <c r="BS27" i="4"/>
  <c r="BS48" i="4"/>
  <c r="BN27" i="4"/>
  <c r="BR3" i="19"/>
  <c r="BR3" i="32"/>
  <c r="BR3" i="4"/>
  <c r="BR3" i="23"/>
  <c r="AK7" i="12"/>
  <c r="AE3" i="13"/>
  <c r="BR3" i="20"/>
  <c r="BR3" i="16"/>
  <c r="BR3" i="17"/>
  <c r="AE3" i="35"/>
  <c r="AE3" i="38"/>
  <c r="AE3" i="34"/>
  <c r="BN30" i="32"/>
  <c r="BN41" i="32"/>
  <c r="CC25" i="32"/>
  <c r="BS40" i="23"/>
  <c r="CC45" i="20"/>
  <c r="CC49" i="20" s="1"/>
  <c r="CC27" i="17"/>
  <c r="BN27" i="17"/>
  <c r="BN45" i="17"/>
  <c r="AR3" i="9"/>
  <c r="AE3" i="33"/>
  <c r="AR3" i="10"/>
  <c r="CC44" i="2" l="1"/>
  <c r="BN44" i="2"/>
  <c r="BX44" i="2"/>
  <c r="BS43" i="2"/>
  <c r="BN43" i="2"/>
  <c r="BX43" i="2" s="1"/>
  <c r="EA38" i="2"/>
  <c r="BX25" i="2"/>
  <c r="BS25" i="2"/>
  <c r="BN25" i="2"/>
  <c r="CC25" i="2"/>
  <c r="BX24" i="2"/>
  <c r="CC22" i="2"/>
  <c r="BS22" i="2"/>
  <c r="BX22" i="2" s="1"/>
  <c r="DW42" i="4"/>
  <c r="DY42" i="4"/>
  <c r="BX41" i="4"/>
  <c r="EA41" i="4"/>
  <c r="DG24" i="2"/>
  <c r="DH24" i="2" s="1"/>
  <c r="DI24" i="2" s="1"/>
  <c r="DX24" i="2" s="1"/>
  <c r="DF24" i="2"/>
  <c r="DW24" i="2" s="1"/>
  <c r="DR41" i="2"/>
  <c r="EA41" i="2" s="1"/>
  <c r="DS41" i="2"/>
  <c r="DT41" i="2" s="1"/>
  <c r="DU41" i="2" s="1"/>
  <c r="EB41" i="2" s="1"/>
  <c r="BI41" i="2" s="1"/>
  <c r="DM22" i="2"/>
  <c r="DN22" i="2" s="1"/>
  <c r="DO22" i="2" s="1"/>
  <c r="DZ22" i="2" s="1"/>
  <c r="DE22" i="2"/>
  <c r="DL22" i="2"/>
  <c r="DY22" i="2" s="1"/>
  <c r="DL40" i="2"/>
  <c r="DY40" i="2" s="1"/>
  <c r="DF18" i="2"/>
  <c r="DW18" i="2" s="1"/>
  <c r="BN45" i="4"/>
  <c r="BS45" i="4"/>
  <c r="CC45" i="4"/>
  <c r="BN42" i="4"/>
  <c r="CC42" i="4" s="1"/>
  <c r="BS42" i="4"/>
  <c r="BN43" i="4"/>
  <c r="BX43" i="4" s="1"/>
  <c r="CC43" i="4"/>
  <c r="BN44" i="4"/>
  <c r="BX44" i="4" s="1"/>
  <c r="BS43" i="4"/>
  <c r="CC46" i="4"/>
  <c r="BS46" i="4"/>
  <c r="BN46" i="4"/>
  <c r="DY22" i="4"/>
  <c r="BX27" i="4"/>
  <c r="BS26" i="4"/>
  <c r="BX26" i="4" s="1"/>
  <c r="CC27" i="4"/>
  <c r="CC26" i="4"/>
  <c r="BX25" i="4"/>
  <c r="EA25" i="4"/>
  <c r="DX22" i="4"/>
  <c r="BN24" i="4"/>
  <c r="BX24" i="4" s="1"/>
  <c r="BN23" i="4"/>
  <c r="EB18" i="4"/>
  <c r="EB20" i="4"/>
  <c r="EA18" i="4"/>
  <c r="DZ37" i="4"/>
  <c r="EB23" i="17"/>
  <c r="DL25" i="17"/>
  <c r="DY25" i="17" s="1"/>
  <c r="DF24" i="17"/>
  <c r="DW24" i="17" s="1"/>
  <c r="EA21" i="17"/>
  <c r="DM24" i="17"/>
  <c r="DN24" i="17" s="1"/>
  <c r="DO24" i="17" s="1"/>
  <c r="DZ24" i="17" s="1"/>
  <c r="DF44" i="16"/>
  <c r="DE37" i="16"/>
  <c r="DE45" i="16"/>
  <c r="DL37" i="16"/>
  <c r="DE27" i="16"/>
  <c r="DW23" i="16"/>
  <c r="DX37" i="4"/>
  <c r="DG46" i="16"/>
  <c r="DH46" i="16" s="1"/>
  <c r="DI46" i="16" s="1"/>
  <c r="DX46" i="16" s="1"/>
  <c r="DF46" i="16"/>
  <c r="EB27" i="23"/>
  <c r="DM20" i="2"/>
  <c r="DN20" i="2" s="1"/>
  <c r="DO20" i="2" s="1"/>
  <c r="DZ20" i="2" s="1"/>
  <c r="DG48" i="2"/>
  <c r="DH48" i="2" s="1"/>
  <c r="DI48" i="2" s="1"/>
  <c r="DX48" i="2" s="1"/>
  <c r="DF48" i="2"/>
  <c r="DW48" i="2" s="1"/>
  <c r="DF42" i="2"/>
  <c r="DW42" i="2" s="1"/>
  <c r="DG42" i="2"/>
  <c r="DH42" i="2" s="1"/>
  <c r="DI42" i="2" s="1"/>
  <c r="DX42" i="2" s="1"/>
  <c r="DF20" i="2"/>
  <c r="DW20" i="2" s="1"/>
  <c r="DG20" i="2"/>
  <c r="DH20" i="2" s="1"/>
  <c r="DI20" i="2" s="1"/>
  <c r="DX20" i="2" s="1"/>
  <c r="DM37" i="23"/>
  <c r="DN37" i="23" s="1"/>
  <c r="DO37" i="23" s="1"/>
  <c r="DZ37" i="23" s="1"/>
  <c r="BX30" i="32"/>
  <c r="BR9" i="32" s="1"/>
  <c r="DE25" i="2"/>
  <c r="DL25" i="2"/>
  <c r="DY25" i="2" s="1"/>
  <c r="DM25" i="2"/>
  <c r="DN25" i="2" s="1"/>
  <c r="DO25" i="2" s="1"/>
  <c r="DZ25" i="2" s="1"/>
  <c r="DL37" i="23"/>
  <c r="DY37" i="23" s="1"/>
  <c r="CC30" i="32"/>
  <c r="DY26" i="16"/>
  <c r="DE25" i="17"/>
  <c r="DZ39" i="2"/>
  <c r="DY46" i="19"/>
  <c r="EB20" i="19"/>
  <c r="BN23" i="16"/>
  <c r="BX23" i="16" s="1"/>
  <c r="DG46" i="2"/>
  <c r="DH46" i="2" s="1"/>
  <c r="DI46" i="2" s="1"/>
  <c r="DX46" i="2" s="1"/>
  <c r="DF46" i="2"/>
  <c r="DW46" i="2" s="1"/>
  <c r="DZ43" i="32"/>
  <c r="EB19" i="16"/>
  <c r="BI19" i="16" s="1"/>
  <c r="BN19" i="16" s="1"/>
  <c r="CC19" i="16" s="1"/>
  <c r="DE41" i="2"/>
  <c r="DL41" i="2"/>
  <c r="DY41" i="2" s="1"/>
  <c r="DM41" i="2"/>
  <c r="DN41" i="2" s="1"/>
  <c r="DO41" i="2" s="1"/>
  <c r="DZ41" i="2" s="1"/>
  <c r="DF37" i="23"/>
  <c r="DW37" i="23" s="1"/>
  <c r="DL21" i="32"/>
  <c r="DY21" i="32" s="1"/>
  <c r="EB48" i="32"/>
  <c r="BN26" i="16"/>
  <c r="CC26" i="16" s="1"/>
  <c r="DG45" i="2"/>
  <c r="DH45" i="2" s="1"/>
  <c r="DI45" i="2" s="1"/>
  <c r="DX45" i="2" s="1"/>
  <c r="DF45" i="2"/>
  <c r="DW45" i="2" s="1"/>
  <c r="EA38" i="16"/>
  <c r="EA24" i="17"/>
  <c r="DG37" i="2"/>
  <c r="DH37" i="2" s="1"/>
  <c r="DI37" i="2" s="1"/>
  <c r="DX37" i="2" s="1"/>
  <c r="DF37" i="2"/>
  <c r="DW37" i="2" s="1"/>
  <c r="EA39" i="16"/>
  <c r="BS38" i="16"/>
  <c r="BX38" i="16" s="1"/>
  <c r="BS39" i="16"/>
  <c r="BX39" i="16" s="1"/>
  <c r="CC38" i="16"/>
  <c r="BN42" i="16"/>
  <c r="BN44" i="16"/>
  <c r="CC42" i="16"/>
  <c r="EA40" i="16"/>
  <c r="BN43" i="16"/>
  <c r="BS40" i="16"/>
  <c r="CC45" i="16"/>
  <c r="BS45" i="16"/>
  <c r="BX45" i="16" s="1"/>
  <c r="BN40" i="16"/>
  <c r="CC40" i="16" s="1"/>
  <c r="BX42" i="16"/>
  <c r="BS44" i="16"/>
  <c r="CC39" i="16"/>
  <c r="CC37" i="16"/>
  <c r="BS43" i="16"/>
  <c r="DY37" i="16"/>
  <c r="DY45" i="16"/>
  <c r="DM45" i="16"/>
  <c r="DN45" i="16" s="1"/>
  <c r="DO45" i="16" s="1"/>
  <c r="DZ45" i="16" s="1"/>
  <c r="DZ26" i="16"/>
  <c r="BS25" i="16"/>
  <c r="BN25" i="16"/>
  <c r="DY24" i="16"/>
  <c r="DZ24" i="16"/>
  <c r="BS24" i="16"/>
  <c r="BN24" i="16"/>
  <c r="CC24" i="16" s="1"/>
  <c r="BN22" i="16"/>
  <c r="BS22" i="16"/>
  <c r="BS21" i="16"/>
  <c r="BN21" i="16"/>
  <c r="CC21" i="16"/>
  <c r="BS19" i="16"/>
  <c r="BS18" i="16"/>
  <c r="BX18" i="16" s="1"/>
  <c r="BN18" i="16"/>
  <c r="CC18" i="16" s="1"/>
  <c r="DL23" i="16"/>
  <c r="DY23" i="16" s="1"/>
  <c r="EB22" i="4"/>
  <c r="BI22" i="4" s="1"/>
  <c r="DZ22" i="4"/>
  <c r="DW19" i="20"/>
  <c r="EB45" i="32"/>
  <c r="DG38" i="2"/>
  <c r="DH38" i="2" s="1"/>
  <c r="DI38" i="2" s="1"/>
  <c r="DX38" i="2" s="1"/>
  <c r="DF38" i="2"/>
  <c r="DW38" i="2" s="1"/>
  <c r="EA45" i="23"/>
  <c r="EB19" i="17"/>
  <c r="DE44" i="2"/>
  <c r="DM44" i="2"/>
  <c r="DN44" i="2" s="1"/>
  <c r="DO44" i="2" s="1"/>
  <c r="DZ44" i="2" s="1"/>
  <c r="DL44" i="2"/>
  <c r="DY44" i="2" s="1"/>
  <c r="DE19" i="16"/>
  <c r="DL19" i="16"/>
  <c r="DY19" i="16" s="1"/>
  <c r="DG46" i="4"/>
  <c r="DH46" i="4" s="1"/>
  <c r="DI46" i="4" s="1"/>
  <c r="DX46" i="4" s="1"/>
  <c r="DF46" i="4"/>
  <c r="DW46" i="4" s="1"/>
  <c r="EA29" i="32"/>
  <c r="DG38" i="4"/>
  <c r="DH38" i="4" s="1"/>
  <c r="DI38" i="4" s="1"/>
  <c r="DX38" i="4" s="1"/>
  <c r="DF38" i="4"/>
  <c r="DW38" i="4" s="1"/>
  <c r="DM28" i="20"/>
  <c r="DN28" i="20" s="1"/>
  <c r="DO28" i="20" s="1"/>
  <c r="DZ28" i="20" s="1"/>
  <c r="DL28" i="20"/>
  <c r="DY28" i="20" s="1"/>
  <c r="DE28" i="20"/>
  <c r="EA18" i="32"/>
  <c r="DM29" i="16"/>
  <c r="DN29" i="16" s="1"/>
  <c r="DO29" i="16" s="1"/>
  <c r="DE29" i="16"/>
  <c r="DW38" i="17"/>
  <c r="EA37" i="19"/>
  <c r="DM44" i="16"/>
  <c r="DN44" i="16" s="1"/>
  <c r="DO44" i="16" s="1"/>
  <c r="DZ44" i="16" s="1"/>
  <c r="DL44" i="16"/>
  <c r="DY44" i="16" s="1"/>
  <c r="EB20" i="23"/>
  <c r="CK42" i="4"/>
  <c r="EB20" i="17"/>
  <c r="DF28" i="16"/>
  <c r="DW28" i="16" s="1"/>
  <c r="DG28" i="16"/>
  <c r="DH28" i="16" s="1"/>
  <c r="DI28" i="16" s="1"/>
  <c r="DX28" i="16" s="1"/>
  <c r="DM24" i="20"/>
  <c r="DN24" i="20" s="1"/>
  <c r="DO24" i="20" s="1"/>
  <c r="DZ24" i="20" s="1"/>
  <c r="DE24" i="20"/>
  <c r="DL24" i="20"/>
  <c r="DY24" i="20" s="1"/>
  <c r="DG45" i="17"/>
  <c r="DH45" i="17" s="1"/>
  <c r="DI45" i="17" s="1"/>
  <c r="DX45" i="17" s="1"/>
  <c r="DF45" i="17"/>
  <c r="DW45" i="17" s="1"/>
  <c r="DY19" i="20"/>
  <c r="EB48" i="19"/>
  <c r="DZ46" i="19"/>
  <c r="DZ40" i="19"/>
  <c r="DM46" i="16"/>
  <c r="DN46" i="16" s="1"/>
  <c r="DO46" i="16" s="1"/>
  <c r="DZ46" i="16" s="1"/>
  <c r="DL46" i="16"/>
  <c r="DY46" i="16" s="1"/>
  <c r="DY47" i="17"/>
  <c r="EB45" i="17"/>
  <c r="DE23" i="17"/>
  <c r="DL23" i="17"/>
  <c r="DY23" i="17" s="1"/>
  <c r="DM23" i="17"/>
  <c r="DN23" i="17" s="1"/>
  <c r="DO23" i="17" s="1"/>
  <c r="DZ23" i="17" s="1"/>
  <c r="DE44" i="17"/>
  <c r="DL44" i="17"/>
  <c r="DY44" i="17" s="1"/>
  <c r="DM44" i="17"/>
  <c r="DN44" i="17" s="1"/>
  <c r="DO44" i="17" s="1"/>
  <c r="DZ44" i="17" s="1"/>
  <c r="DM43" i="19"/>
  <c r="DN43" i="19" s="1"/>
  <c r="DO43" i="19" s="1"/>
  <c r="DZ43" i="19" s="1"/>
  <c r="DE43" i="19"/>
  <c r="DE40" i="20"/>
  <c r="DM40" i="20"/>
  <c r="DN40" i="20" s="1"/>
  <c r="DO40" i="20" s="1"/>
  <c r="DZ40" i="20" s="1"/>
  <c r="DL40" i="20"/>
  <c r="DY40" i="20" s="1"/>
  <c r="DZ20" i="32"/>
  <c r="DZ47" i="19"/>
  <c r="EA20" i="17"/>
  <c r="DE40" i="17"/>
  <c r="DM40" i="17"/>
  <c r="DN40" i="17" s="1"/>
  <c r="DO40" i="17" s="1"/>
  <c r="DZ40" i="17" s="1"/>
  <c r="DL40" i="17"/>
  <c r="DY40" i="17" s="1"/>
  <c r="CK24" i="16"/>
  <c r="CK42" i="2"/>
  <c r="DF22" i="20"/>
  <c r="DW22" i="20" s="1"/>
  <c r="DG22" i="20"/>
  <c r="DH22" i="20" s="1"/>
  <c r="DI22" i="20" s="1"/>
  <c r="DX22" i="20" s="1"/>
  <c r="DM48" i="32"/>
  <c r="DN48" i="32" s="1"/>
  <c r="DO48" i="32" s="1"/>
  <c r="DZ48" i="32" s="1"/>
  <c r="DE48" i="32"/>
  <c r="DL48" i="32"/>
  <c r="DE43" i="32"/>
  <c r="DL43" i="32"/>
  <c r="DE24" i="19"/>
  <c r="DL24" i="19"/>
  <c r="DY24" i="19" s="1"/>
  <c r="DF25" i="17"/>
  <c r="DW25" i="17" s="1"/>
  <c r="DG25" i="17"/>
  <c r="DH25" i="17" s="1"/>
  <c r="DI25" i="17" s="1"/>
  <c r="DX25" i="17" s="1"/>
  <c r="DL39" i="32"/>
  <c r="DY39" i="32" s="1"/>
  <c r="DE39" i="32"/>
  <c r="DM39" i="32"/>
  <c r="DN39" i="32" s="1"/>
  <c r="DO39" i="32" s="1"/>
  <c r="DZ39" i="32" s="1"/>
  <c r="DM45" i="19"/>
  <c r="DN45" i="19" s="1"/>
  <c r="DO45" i="19" s="1"/>
  <c r="DZ45" i="19" s="1"/>
  <c r="DL45" i="19"/>
  <c r="DY45" i="19" s="1"/>
  <c r="DE45" i="19"/>
  <c r="DE38" i="32"/>
  <c r="DL38" i="32"/>
  <c r="DY38" i="32" s="1"/>
  <c r="DM38" i="32"/>
  <c r="DN38" i="32" s="1"/>
  <c r="DO38" i="32" s="1"/>
  <c r="DZ38" i="32" s="1"/>
  <c r="DE19" i="23"/>
  <c r="DL19" i="23"/>
  <c r="DE20" i="4"/>
  <c r="DL20" i="4"/>
  <c r="DY20" i="4" s="1"/>
  <c r="DM20" i="4"/>
  <c r="DN20" i="4" s="1"/>
  <c r="DO20" i="4" s="1"/>
  <c r="DZ20" i="4" s="1"/>
  <c r="DE40" i="4"/>
  <c r="DL40" i="4"/>
  <c r="DY40" i="4" s="1"/>
  <c r="DM40" i="4"/>
  <c r="DN40" i="4" s="1"/>
  <c r="DO40" i="4" s="1"/>
  <c r="DZ40" i="4" s="1"/>
  <c r="DE44" i="4"/>
  <c r="DL44" i="4"/>
  <c r="DY44" i="4" s="1"/>
  <c r="DM44" i="4"/>
  <c r="DN44" i="4" s="1"/>
  <c r="DO44" i="4" s="1"/>
  <c r="DZ44" i="4" s="1"/>
  <c r="DE21" i="4"/>
  <c r="DL21" i="4"/>
  <c r="DY21" i="4" s="1"/>
  <c r="DM21" i="4"/>
  <c r="DN21" i="4" s="1"/>
  <c r="DO21" i="4" s="1"/>
  <c r="DZ21" i="4" s="1"/>
  <c r="EA29" i="20"/>
  <c r="EA39" i="20"/>
  <c r="EB24" i="32"/>
  <c r="DY19" i="23"/>
  <c r="EB39" i="23"/>
  <c r="DL42" i="17"/>
  <c r="DY42" i="17" s="1"/>
  <c r="DM42" i="17"/>
  <c r="DN42" i="17" s="1"/>
  <c r="DO42" i="17" s="1"/>
  <c r="DZ42" i="17" s="1"/>
  <c r="DE42" i="17"/>
  <c r="DG45" i="20"/>
  <c r="DH45" i="20" s="1"/>
  <c r="DI45" i="20" s="1"/>
  <c r="DX45" i="20" s="1"/>
  <c r="DF45" i="20"/>
  <c r="DW45" i="20" s="1"/>
  <c r="DM37" i="19"/>
  <c r="DN37" i="19" s="1"/>
  <c r="DO37" i="19" s="1"/>
  <c r="DZ37" i="19" s="1"/>
  <c r="DL37" i="19"/>
  <c r="DY37" i="19" s="1"/>
  <c r="DE37" i="19"/>
  <c r="DF41" i="20"/>
  <c r="DW41" i="20" s="1"/>
  <c r="DG41" i="20"/>
  <c r="DH41" i="20" s="1"/>
  <c r="DI41" i="20" s="1"/>
  <c r="DX41" i="20" s="1"/>
  <c r="DG20" i="32"/>
  <c r="DH20" i="32" s="1"/>
  <c r="DI20" i="32" s="1"/>
  <c r="DX20" i="32" s="1"/>
  <c r="DF20" i="32"/>
  <c r="DW20" i="32" s="1"/>
  <c r="DG47" i="4"/>
  <c r="DH47" i="4" s="1"/>
  <c r="DI47" i="4" s="1"/>
  <c r="DX47" i="4" s="1"/>
  <c r="DF47" i="4"/>
  <c r="DW47" i="4" s="1"/>
  <c r="DG39" i="4"/>
  <c r="DH39" i="4" s="1"/>
  <c r="DI39" i="4" s="1"/>
  <c r="DX39" i="4" s="1"/>
  <c r="DF39" i="4"/>
  <c r="DW39" i="4" s="1"/>
  <c r="DE24" i="4"/>
  <c r="DL24" i="4"/>
  <c r="DY24" i="4" s="1"/>
  <c r="DM24" i="4"/>
  <c r="DN24" i="4" s="1"/>
  <c r="DO24" i="4" s="1"/>
  <c r="DZ24" i="4" s="1"/>
  <c r="EA41" i="23"/>
  <c r="BX49" i="19"/>
  <c r="DW38" i="20"/>
  <c r="CK24" i="17"/>
  <c r="EB39" i="20"/>
  <c r="DY18" i="19"/>
  <c r="DW28" i="23"/>
  <c r="DW42" i="16"/>
  <c r="DY48" i="23"/>
  <c r="BX49" i="23"/>
  <c r="DF38" i="20"/>
  <c r="DG38" i="20"/>
  <c r="DH38" i="20" s="1"/>
  <c r="DI38" i="20" s="1"/>
  <c r="DX38" i="20" s="1"/>
  <c r="DE41" i="17"/>
  <c r="DM41" i="17"/>
  <c r="DN41" i="17" s="1"/>
  <c r="DO41" i="17" s="1"/>
  <c r="DZ41" i="17" s="1"/>
  <c r="DL41" i="17"/>
  <c r="DY41" i="17" s="1"/>
  <c r="DG22" i="17"/>
  <c r="DH22" i="17" s="1"/>
  <c r="DI22" i="17" s="1"/>
  <c r="DX22" i="17" s="1"/>
  <c r="DF22" i="17"/>
  <c r="DW22" i="17" s="1"/>
  <c r="DM38" i="16"/>
  <c r="DN38" i="16" s="1"/>
  <c r="DO38" i="16" s="1"/>
  <c r="DZ38" i="16" s="1"/>
  <c r="DL38" i="16"/>
  <c r="DY38" i="16" s="1"/>
  <c r="DE38" i="16"/>
  <c r="DE48" i="4"/>
  <c r="DM48" i="4"/>
  <c r="DN48" i="4" s="1"/>
  <c r="DO48" i="4" s="1"/>
  <c r="DZ48" i="4" s="1"/>
  <c r="DL48" i="4"/>
  <c r="DY48" i="4" s="1"/>
  <c r="DG25" i="4"/>
  <c r="DH25" i="4" s="1"/>
  <c r="DI25" i="4" s="1"/>
  <c r="DX25" i="4" s="1"/>
  <c r="DF25" i="4"/>
  <c r="DW25" i="4" s="1"/>
  <c r="DG18" i="17"/>
  <c r="DH18" i="17" s="1"/>
  <c r="DI18" i="17" s="1"/>
  <c r="DX18" i="17" s="1"/>
  <c r="DF18" i="17"/>
  <c r="DW18" i="17" s="1"/>
  <c r="DE29" i="4"/>
  <c r="DM29" i="4"/>
  <c r="DN29" i="4" s="1"/>
  <c r="DO29" i="4" s="1"/>
  <c r="DZ29" i="4" s="1"/>
  <c r="DL29" i="4"/>
  <c r="DY29" i="4" s="1"/>
  <c r="DY48" i="32"/>
  <c r="EA37" i="17"/>
  <c r="EA18" i="20"/>
  <c r="DZ42" i="19"/>
  <c r="EB21" i="19"/>
  <c r="DZ21" i="16"/>
  <c r="BN30" i="20"/>
  <c r="DL42" i="20"/>
  <c r="DY42" i="20" s="1"/>
  <c r="DE42" i="20"/>
  <c r="DM45" i="32"/>
  <c r="DN45" i="32" s="1"/>
  <c r="DO45" i="32" s="1"/>
  <c r="DZ45" i="32" s="1"/>
  <c r="DE45" i="32"/>
  <c r="DE21" i="20"/>
  <c r="DL21" i="20"/>
  <c r="DY21" i="20" s="1"/>
  <c r="DM21" i="20"/>
  <c r="DN21" i="20" s="1"/>
  <c r="DO21" i="20" s="1"/>
  <c r="DZ21" i="20" s="1"/>
  <c r="EB41" i="17"/>
  <c r="DF37" i="20"/>
  <c r="DW37" i="20" s="1"/>
  <c r="DG37" i="20"/>
  <c r="DH37" i="20" s="1"/>
  <c r="DI37" i="20" s="1"/>
  <c r="DX37" i="20" s="1"/>
  <c r="DM25" i="19"/>
  <c r="DN25" i="19" s="1"/>
  <c r="DO25" i="19" s="1"/>
  <c r="DZ25" i="19" s="1"/>
  <c r="DL25" i="19"/>
  <c r="DY25" i="19" s="1"/>
  <c r="DE25" i="19"/>
  <c r="DM43" i="16"/>
  <c r="DN43" i="16" s="1"/>
  <c r="DO43" i="16" s="1"/>
  <c r="DZ43" i="16" s="1"/>
  <c r="DE43" i="16"/>
  <c r="DL43" i="16"/>
  <c r="DY43" i="16" s="1"/>
  <c r="DF43" i="4"/>
  <c r="DW43" i="4" s="1"/>
  <c r="DG43" i="4"/>
  <c r="DH43" i="4" s="1"/>
  <c r="DI43" i="4" s="1"/>
  <c r="DX43" i="4" s="1"/>
  <c r="DF28" i="4"/>
  <c r="DG28" i="4"/>
  <c r="DH28" i="4" s="1"/>
  <c r="DI28" i="4" s="1"/>
  <c r="DX28" i="4" s="1"/>
  <c r="DL42" i="32"/>
  <c r="DY42" i="32" s="1"/>
  <c r="DE42" i="32"/>
  <c r="DM42" i="32"/>
  <c r="DN42" i="32" s="1"/>
  <c r="DO42" i="32" s="1"/>
  <c r="DZ42" i="32" s="1"/>
  <c r="BN30" i="19"/>
  <c r="CC30" i="19"/>
  <c r="BX30" i="19"/>
  <c r="CC49" i="19"/>
  <c r="BN49" i="19"/>
  <c r="BR11" i="32"/>
  <c r="BY55" i="32" s="1"/>
  <c r="BG55" i="32" s="1"/>
  <c r="BI36" i="23"/>
  <c r="CN53" i="23"/>
  <c r="AK54" i="2"/>
  <c r="CN53" i="2"/>
  <c r="BI40" i="2" s="1"/>
  <c r="BS40" i="2" s="1"/>
  <c r="BI36" i="2"/>
  <c r="BN30" i="23"/>
  <c r="CN53" i="17"/>
  <c r="BI38" i="17" s="1"/>
  <c r="AK54" i="17"/>
  <c r="BI36" i="17"/>
  <c r="BI36" i="19"/>
  <c r="CN53" i="19"/>
  <c r="BI36" i="4"/>
  <c r="CN53" i="4"/>
  <c r="CN53" i="32"/>
  <c r="AK54" i="32"/>
  <c r="BI36" i="32"/>
  <c r="DM25" i="20"/>
  <c r="DN25" i="20" s="1"/>
  <c r="DO25" i="20" s="1"/>
  <c r="DZ25" i="20" s="1"/>
  <c r="DL25" i="20"/>
  <c r="DY25" i="20" s="1"/>
  <c r="DE25" i="20"/>
  <c r="DG47" i="32"/>
  <c r="DH47" i="32" s="1"/>
  <c r="DI47" i="32" s="1"/>
  <c r="DX47" i="32" s="1"/>
  <c r="DF47" i="32"/>
  <c r="DW47" i="32" s="1"/>
  <c r="DG28" i="17"/>
  <c r="DH28" i="17" s="1"/>
  <c r="DI28" i="17" s="1"/>
  <c r="DX28" i="17" s="1"/>
  <c r="DF28" i="17"/>
  <c r="DW28" i="17" s="1"/>
  <c r="CK42" i="17"/>
  <c r="DG20" i="19"/>
  <c r="DH20" i="19" s="1"/>
  <c r="DI20" i="19" s="1"/>
  <c r="DX20" i="19" s="1"/>
  <c r="DF20" i="19"/>
  <c r="DW20" i="19" s="1"/>
  <c r="DG39" i="16"/>
  <c r="DH39" i="16" s="1"/>
  <c r="DI39" i="16" s="1"/>
  <c r="DX39" i="16" s="1"/>
  <c r="DF39" i="16"/>
  <c r="DW39" i="16" s="1"/>
  <c r="DG40" i="23"/>
  <c r="DH40" i="23" s="1"/>
  <c r="DI40" i="23" s="1"/>
  <c r="DX40" i="23" s="1"/>
  <c r="DF40" i="23"/>
  <c r="DW40" i="23" s="1"/>
  <c r="DW38" i="23"/>
  <c r="DE41" i="16"/>
  <c r="DL41" i="16"/>
  <c r="DY41" i="16" s="1"/>
  <c r="DM41" i="16"/>
  <c r="DN41" i="16" s="1"/>
  <c r="DO41" i="16" s="1"/>
  <c r="DZ41" i="16" s="1"/>
  <c r="DE20" i="16"/>
  <c r="DL20" i="16"/>
  <c r="DY20" i="16" s="1"/>
  <c r="DM20" i="16"/>
  <c r="DN20" i="16" s="1"/>
  <c r="DO20" i="16" s="1"/>
  <c r="DZ20" i="16" s="1"/>
  <c r="DZ45" i="23"/>
  <c r="DG18" i="23"/>
  <c r="DH18" i="23" s="1"/>
  <c r="DI18" i="23" s="1"/>
  <c r="DX18" i="23" s="1"/>
  <c r="DF18" i="23"/>
  <c r="DW18" i="23" s="1"/>
  <c r="DL39" i="17"/>
  <c r="DY39" i="17" s="1"/>
  <c r="DM39" i="17"/>
  <c r="DN39" i="17" s="1"/>
  <c r="DO39" i="17" s="1"/>
  <c r="DZ39" i="17" s="1"/>
  <c r="DE39" i="17"/>
  <c r="DZ19" i="17"/>
  <c r="DG44" i="32"/>
  <c r="DH44" i="32" s="1"/>
  <c r="DI44" i="32" s="1"/>
  <c r="DX44" i="32" s="1"/>
  <c r="DF44" i="32"/>
  <c r="DW44" i="32" s="1"/>
  <c r="DF21" i="32"/>
  <c r="DW21" i="32" s="1"/>
  <c r="DG21" i="32"/>
  <c r="DH21" i="32" s="1"/>
  <c r="DI21" i="32" s="1"/>
  <c r="DX21" i="32" s="1"/>
  <c r="DE41" i="19"/>
  <c r="DM41" i="19"/>
  <c r="DN41" i="19" s="1"/>
  <c r="DO41" i="19" s="1"/>
  <c r="DZ41" i="19" s="1"/>
  <c r="DL41" i="19"/>
  <c r="DY41" i="19" s="1"/>
  <c r="DL46" i="20"/>
  <c r="DY46" i="20" s="1"/>
  <c r="DE46" i="20"/>
  <c r="DM46" i="20"/>
  <c r="DN46" i="20" s="1"/>
  <c r="DO46" i="20" s="1"/>
  <c r="DZ46" i="20" s="1"/>
  <c r="DZ38" i="20"/>
  <c r="DE26" i="20"/>
  <c r="DL26" i="20"/>
  <c r="DY26" i="20" s="1"/>
  <c r="DM26" i="20"/>
  <c r="DN26" i="20" s="1"/>
  <c r="DO26" i="20" s="1"/>
  <c r="DZ26" i="20" s="1"/>
  <c r="EB37" i="17"/>
  <c r="DG21" i="17"/>
  <c r="DH21" i="17" s="1"/>
  <c r="DI21" i="17" s="1"/>
  <c r="DX21" i="17" s="1"/>
  <c r="DF21" i="17"/>
  <c r="DW21" i="17" s="1"/>
  <c r="EB25" i="20"/>
  <c r="EB18" i="20"/>
  <c r="DY41" i="32"/>
  <c r="DX23" i="20"/>
  <c r="DL20" i="20"/>
  <c r="DY20" i="20" s="1"/>
  <c r="DM20" i="20"/>
  <c r="DN20" i="20" s="1"/>
  <c r="DO20" i="20" s="1"/>
  <c r="DZ20" i="20" s="1"/>
  <c r="DE20" i="20"/>
  <c r="DZ47" i="17"/>
  <c r="DX38" i="17"/>
  <c r="DX40" i="32"/>
  <c r="DG29" i="17"/>
  <c r="DH29" i="17" s="1"/>
  <c r="DI29" i="17" s="1"/>
  <c r="DX29" i="17" s="1"/>
  <c r="DF29" i="17"/>
  <c r="DW29" i="17" s="1"/>
  <c r="EB26" i="17"/>
  <c r="DE48" i="17"/>
  <c r="DL48" i="17"/>
  <c r="DY48" i="17" s="1"/>
  <c r="DM48" i="17"/>
  <c r="DN48" i="17" s="1"/>
  <c r="DO48" i="17" s="1"/>
  <c r="DZ48" i="17" s="1"/>
  <c r="DY47" i="19"/>
  <c r="DG42" i="19"/>
  <c r="DH42" i="19" s="1"/>
  <c r="DI42" i="19" s="1"/>
  <c r="DX42" i="19" s="1"/>
  <c r="DF42" i="19"/>
  <c r="DW42" i="19" s="1"/>
  <c r="DE19" i="32"/>
  <c r="DL19" i="32"/>
  <c r="DY19" i="32" s="1"/>
  <c r="DM19" i="32"/>
  <c r="DN19" i="32" s="1"/>
  <c r="DO19" i="32" s="1"/>
  <c r="DZ19" i="32" s="1"/>
  <c r="DG18" i="20"/>
  <c r="DH18" i="20" s="1"/>
  <c r="DI18" i="20" s="1"/>
  <c r="DX18" i="20" s="1"/>
  <c r="DF18" i="20"/>
  <c r="DW18" i="20" s="1"/>
  <c r="DZ26" i="32"/>
  <c r="DE48" i="19"/>
  <c r="DL48" i="19"/>
  <c r="DY48" i="19" s="1"/>
  <c r="DM48" i="19"/>
  <c r="DN48" i="19" s="1"/>
  <c r="DO48" i="19" s="1"/>
  <c r="DZ48" i="19" s="1"/>
  <c r="DG46" i="19"/>
  <c r="DH46" i="19" s="1"/>
  <c r="DI46" i="19" s="1"/>
  <c r="DX46" i="19" s="1"/>
  <c r="DF46" i="19"/>
  <c r="DW46" i="19" s="1"/>
  <c r="EB27" i="19"/>
  <c r="DW47" i="16"/>
  <c r="DE23" i="19"/>
  <c r="DL23" i="19"/>
  <c r="DY23" i="19" s="1"/>
  <c r="DM23" i="19"/>
  <c r="DN23" i="19" s="1"/>
  <c r="DO23" i="19" s="1"/>
  <c r="DZ23" i="19" s="1"/>
  <c r="DF22" i="19"/>
  <c r="DW22" i="19" s="1"/>
  <c r="DG22" i="19"/>
  <c r="DH22" i="19" s="1"/>
  <c r="DI22" i="19" s="1"/>
  <c r="DX22" i="19" s="1"/>
  <c r="CK24" i="23"/>
  <c r="DW18" i="19"/>
  <c r="DZ29" i="16"/>
  <c r="DZ40" i="23"/>
  <c r="CK42" i="16"/>
  <c r="DE42" i="23"/>
  <c r="DL42" i="23"/>
  <c r="DY42" i="23" s="1"/>
  <c r="DM42" i="23"/>
  <c r="DN42" i="23" s="1"/>
  <c r="DO42" i="23" s="1"/>
  <c r="DZ42" i="23" s="1"/>
  <c r="EB41" i="16"/>
  <c r="BI41" i="16" s="1"/>
  <c r="EB20" i="16"/>
  <c r="BI20" i="16" s="1"/>
  <c r="DE46" i="23"/>
  <c r="DL46" i="23"/>
  <c r="DY46" i="23" s="1"/>
  <c r="DM46" i="23"/>
  <c r="DN46" i="23" s="1"/>
  <c r="DO46" i="23" s="1"/>
  <c r="DZ46" i="23" s="1"/>
  <c r="DG41" i="23"/>
  <c r="DH41" i="23" s="1"/>
  <c r="DI41" i="23" s="1"/>
  <c r="DX41" i="23" s="1"/>
  <c r="DF41" i="23"/>
  <c r="DW41" i="23" s="1"/>
  <c r="DG21" i="23"/>
  <c r="DH21" i="23" s="1"/>
  <c r="DI21" i="23" s="1"/>
  <c r="DX21" i="23" s="1"/>
  <c r="DF21" i="23"/>
  <c r="DW21" i="23" s="1"/>
  <c r="DF48" i="23"/>
  <c r="DW48" i="23" s="1"/>
  <c r="DG48" i="23"/>
  <c r="DH48" i="23" s="1"/>
  <c r="DI48" i="23" s="1"/>
  <c r="DX48" i="23" s="1"/>
  <c r="DW28" i="4"/>
  <c r="DY38" i="20"/>
  <c r="DL37" i="32"/>
  <c r="DY37" i="32" s="1"/>
  <c r="DM37" i="32"/>
  <c r="DN37" i="32" s="1"/>
  <c r="DO37" i="32" s="1"/>
  <c r="DZ37" i="32" s="1"/>
  <c r="DE37" i="32"/>
  <c r="EB19" i="32"/>
  <c r="DE28" i="32"/>
  <c r="DL28" i="32"/>
  <c r="DY28" i="32" s="1"/>
  <c r="DM28" i="32"/>
  <c r="DN28" i="32" s="1"/>
  <c r="DO28" i="32" s="1"/>
  <c r="DZ28" i="32" s="1"/>
  <c r="DG26" i="32"/>
  <c r="DH26" i="32" s="1"/>
  <c r="DI26" i="32" s="1"/>
  <c r="DX26" i="32" s="1"/>
  <c r="DF26" i="32"/>
  <c r="DW26" i="32" s="1"/>
  <c r="DG38" i="19"/>
  <c r="DH38" i="19" s="1"/>
  <c r="DI38" i="19" s="1"/>
  <c r="DX38" i="19" s="1"/>
  <c r="DF38" i="19"/>
  <c r="DW38" i="19" s="1"/>
  <c r="BR9" i="23"/>
  <c r="BR11" i="23" s="1"/>
  <c r="BL52" i="23" s="1"/>
  <c r="V52" i="23" s="1"/>
  <c r="Z59" i="23" s="1"/>
  <c r="BN59" i="23" s="1"/>
  <c r="EB42" i="20"/>
  <c r="DE44" i="20"/>
  <c r="DL44" i="20"/>
  <c r="DY44" i="20" s="1"/>
  <c r="DM44" i="20"/>
  <c r="DN44" i="20" s="1"/>
  <c r="DO44" i="20" s="1"/>
  <c r="DZ44" i="20" s="1"/>
  <c r="DE29" i="20"/>
  <c r="DL29" i="20"/>
  <c r="DY29" i="20" s="1"/>
  <c r="DM29" i="20"/>
  <c r="DN29" i="20" s="1"/>
  <c r="DO29" i="20" s="1"/>
  <c r="DZ29" i="20" s="1"/>
  <c r="CK24" i="20"/>
  <c r="EA25" i="20"/>
  <c r="DG27" i="17"/>
  <c r="DH27" i="17" s="1"/>
  <c r="DI27" i="17" s="1"/>
  <c r="DX27" i="17" s="1"/>
  <c r="DF27" i="17"/>
  <c r="DW27" i="17" s="1"/>
  <c r="DM47" i="20"/>
  <c r="DN47" i="20" s="1"/>
  <c r="DO47" i="20" s="1"/>
  <c r="DZ47" i="20" s="1"/>
  <c r="DL47" i="20"/>
  <c r="DY47" i="20" s="1"/>
  <c r="DE47" i="20"/>
  <c r="DM43" i="20"/>
  <c r="DN43" i="20" s="1"/>
  <c r="DO43" i="20" s="1"/>
  <c r="DZ43" i="20" s="1"/>
  <c r="DE43" i="20"/>
  <c r="DL43" i="20"/>
  <c r="DY43" i="20" s="1"/>
  <c r="DL39" i="20"/>
  <c r="DY39" i="20" s="1"/>
  <c r="DM39" i="20"/>
  <c r="DN39" i="20" s="1"/>
  <c r="DO39" i="20" s="1"/>
  <c r="DZ39" i="20" s="1"/>
  <c r="DE39" i="20"/>
  <c r="EA26" i="17"/>
  <c r="DY43" i="32"/>
  <c r="DZ41" i="32"/>
  <c r="DZ37" i="17"/>
  <c r="DG24" i="32"/>
  <c r="DH24" i="32" s="1"/>
  <c r="DI24" i="32" s="1"/>
  <c r="DX24" i="32" s="1"/>
  <c r="DF24" i="32"/>
  <c r="DW24" i="32" s="1"/>
  <c r="DZ29" i="17"/>
  <c r="DY26" i="32"/>
  <c r="DG29" i="19"/>
  <c r="DH29" i="19" s="1"/>
  <c r="DI29" i="19" s="1"/>
  <c r="DX29" i="19" s="1"/>
  <c r="DF29" i="19"/>
  <c r="DW29" i="19" s="1"/>
  <c r="DG25" i="32"/>
  <c r="DH25" i="32" s="1"/>
  <c r="DI25" i="32" s="1"/>
  <c r="DX25" i="32" s="1"/>
  <c r="DF25" i="32"/>
  <c r="DW25" i="32" s="1"/>
  <c r="DE39" i="19"/>
  <c r="DL39" i="19"/>
  <c r="DY39" i="19" s="1"/>
  <c r="DM39" i="19"/>
  <c r="DN39" i="19" s="1"/>
  <c r="DO39" i="19" s="1"/>
  <c r="DZ39" i="19" s="1"/>
  <c r="DE27" i="19"/>
  <c r="DL27" i="19"/>
  <c r="DY27" i="19" s="1"/>
  <c r="DM27" i="19"/>
  <c r="DN27" i="19" s="1"/>
  <c r="DO27" i="19" s="1"/>
  <c r="DZ27" i="19" s="1"/>
  <c r="DG48" i="16"/>
  <c r="DH48" i="16" s="1"/>
  <c r="DI48" i="16" s="1"/>
  <c r="DX48" i="16" s="1"/>
  <c r="DF48" i="16"/>
  <c r="DW48" i="16" s="1"/>
  <c r="DE40" i="16"/>
  <c r="DL40" i="16"/>
  <c r="DY40" i="16" s="1"/>
  <c r="DM40" i="16"/>
  <c r="DN40" i="16" s="1"/>
  <c r="DO40" i="16" s="1"/>
  <c r="DZ40" i="16" s="1"/>
  <c r="DW44" i="19"/>
  <c r="DE27" i="23"/>
  <c r="DL27" i="23"/>
  <c r="DY27" i="23" s="1"/>
  <c r="DM27" i="23"/>
  <c r="DN27" i="23" s="1"/>
  <c r="DO27" i="23" s="1"/>
  <c r="DZ27" i="23" s="1"/>
  <c r="DX18" i="19"/>
  <c r="DY21" i="16"/>
  <c r="DG26" i="23"/>
  <c r="DH26" i="23" s="1"/>
  <c r="DI26" i="23" s="1"/>
  <c r="DX26" i="23" s="1"/>
  <c r="DF26" i="23"/>
  <c r="DW26" i="23" s="1"/>
  <c r="EB42" i="23"/>
  <c r="EB46" i="23"/>
  <c r="CK42" i="23"/>
  <c r="DZ41" i="23"/>
  <c r="DZ21" i="23"/>
  <c r="DZ48" i="23"/>
  <c r="DY43" i="4"/>
  <c r="DZ47" i="4"/>
  <c r="DL46" i="17"/>
  <c r="DY46" i="17" s="1"/>
  <c r="DE46" i="17"/>
  <c r="DM46" i="17"/>
  <c r="DN46" i="17" s="1"/>
  <c r="DO46" i="17" s="1"/>
  <c r="DZ46" i="17" s="1"/>
  <c r="DE26" i="17"/>
  <c r="DL26" i="17"/>
  <c r="DY26" i="17" s="1"/>
  <c r="DM26" i="17"/>
  <c r="DN26" i="17" s="1"/>
  <c r="DO26" i="17" s="1"/>
  <c r="DZ26" i="17" s="1"/>
  <c r="BN49" i="32"/>
  <c r="CK42" i="20"/>
  <c r="EB44" i="20"/>
  <c r="EB29" i="20"/>
  <c r="DE46" i="32"/>
  <c r="DL46" i="32"/>
  <c r="DY46" i="32" s="1"/>
  <c r="DM46" i="32"/>
  <c r="DN46" i="32" s="1"/>
  <c r="DO46" i="32" s="1"/>
  <c r="DZ46" i="32" s="1"/>
  <c r="DW40" i="32"/>
  <c r="DM43" i="17"/>
  <c r="DN43" i="17" s="1"/>
  <c r="DO43" i="17" s="1"/>
  <c r="DZ43" i="17" s="1"/>
  <c r="DE43" i="17"/>
  <c r="DL43" i="17"/>
  <c r="DY43" i="17" s="1"/>
  <c r="DY29" i="17"/>
  <c r="DG19" i="17"/>
  <c r="DH19" i="17" s="1"/>
  <c r="DI19" i="17" s="1"/>
  <c r="DX19" i="17" s="1"/>
  <c r="DF19" i="17"/>
  <c r="DW19" i="17" s="1"/>
  <c r="DY45" i="32"/>
  <c r="DG47" i="17"/>
  <c r="DH47" i="17" s="1"/>
  <c r="DI47" i="17" s="1"/>
  <c r="DX47" i="17" s="1"/>
  <c r="DF47" i="17"/>
  <c r="DW47" i="17" s="1"/>
  <c r="CK42" i="32"/>
  <c r="DE27" i="32"/>
  <c r="DL27" i="32"/>
  <c r="DY27" i="32" s="1"/>
  <c r="DM27" i="32"/>
  <c r="DN27" i="32" s="1"/>
  <c r="DO27" i="32" s="1"/>
  <c r="DZ27" i="32" s="1"/>
  <c r="DZ29" i="19"/>
  <c r="DY45" i="17"/>
  <c r="CK24" i="32"/>
  <c r="EB28" i="32"/>
  <c r="DG47" i="19"/>
  <c r="DH47" i="19" s="1"/>
  <c r="DI47" i="19" s="1"/>
  <c r="DX47" i="19" s="1"/>
  <c r="DF47" i="19"/>
  <c r="DW47" i="19" s="1"/>
  <c r="DE28" i="19"/>
  <c r="DM28" i="19"/>
  <c r="DN28" i="19" s="1"/>
  <c r="DO28" i="19" s="1"/>
  <c r="DZ28" i="19" s="1"/>
  <c r="DL28" i="19"/>
  <c r="DY28" i="19" s="1"/>
  <c r="DZ18" i="19"/>
  <c r="DL19" i="19"/>
  <c r="DY19" i="19" s="1"/>
  <c r="DM19" i="19"/>
  <c r="DN19" i="19" s="1"/>
  <c r="DO19" i="19" s="1"/>
  <c r="DZ19" i="19" s="1"/>
  <c r="DE19" i="19"/>
  <c r="DW46" i="16"/>
  <c r="DW44" i="16"/>
  <c r="EA21" i="19"/>
  <c r="DZ48" i="16"/>
  <c r="DX44" i="19"/>
  <c r="DE20" i="23"/>
  <c r="DL20" i="23"/>
  <c r="DY20" i="23" s="1"/>
  <c r="DM20" i="23"/>
  <c r="DN20" i="23" s="1"/>
  <c r="DO20" i="23" s="1"/>
  <c r="DZ20" i="23" s="1"/>
  <c r="CK24" i="4"/>
  <c r="DE39" i="23"/>
  <c r="DL39" i="23"/>
  <c r="DY39" i="23" s="1"/>
  <c r="DM39" i="23"/>
  <c r="DN39" i="23" s="1"/>
  <c r="DO39" i="23" s="1"/>
  <c r="DZ39" i="23" s="1"/>
  <c r="EA42" i="23"/>
  <c r="DG29" i="23"/>
  <c r="DH29" i="23" s="1"/>
  <c r="DI29" i="23" s="1"/>
  <c r="DX29" i="23" s="1"/>
  <c r="DF29" i="23"/>
  <c r="DW29" i="23" s="1"/>
  <c r="DG48" i="20"/>
  <c r="DH48" i="20" s="1"/>
  <c r="DI48" i="20" s="1"/>
  <c r="DX48" i="20" s="1"/>
  <c r="DF48" i="20"/>
  <c r="DW48" i="20" s="1"/>
  <c r="DF21" i="16"/>
  <c r="DW21" i="16" s="1"/>
  <c r="DG21" i="16"/>
  <c r="DH21" i="16" s="1"/>
  <c r="DI21" i="16" s="1"/>
  <c r="DX21" i="16" s="1"/>
  <c r="DW47" i="23"/>
  <c r="DG45" i="23"/>
  <c r="DH45" i="23" s="1"/>
  <c r="DI45" i="23" s="1"/>
  <c r="DX45" i="23" s="1"/>
  <c r="DF45" i="23"/>
  <c r="DW45" i="23" s="1"/>
  <c r="DW24" i="23"/>
  <c r="DW43" i="23"/>
  <c r="BR11" i="20"/>
  <c r="BR9" i="19"/>
  <c r="BR11" i="19" s="1"/>
  <c r="CC43" i="2" l="1"/>
  <c r="BS41" i="2"/>
  <c r="BX41" i="2"/>
  <c r="BN41" i="2"/>
  <c r="CC41" i="2"/>
  <c r="BX45" i="4"/>
  <c r="BX46" i="4"/>
  <c r="DG22" i="2"/>
  <c r="DH22" i="2" s="1"/>
  <c r="DI22" i="2" s="1"/>
  <c r="DX22" i="2" s="1"/>
  <c r="DF22" i="2"/>
  <c r="DW22" i="2" s="1"/>
  <c r="BX42" i="4"/>
  <c r="CC44" i="4"/>
  <c r="BI18" i="4"/>
  <c r="BN22" i="4"/>
  <c r="BS22" i="4"/>
  <c r="CC24" i="4"/>
  <c r="CC23" i="4"/>
  <c r="BX23" i="4"/>
  <c r="DG45" i="16"/>
  <c r="DH45" i="16" s="1"/>
  <c r="DI45" i="16" s="1"/>
  <c r="DX45" i="16" s="1"/>
  <c r="DF45" i="16"/>
  <c r="DW45" i="16" s="1"/>
  <c r="DG37" i="16"/>
  <c r="DH37" i="16" s="1"/>
  <c r="DI37" i="16" s="1"/>
  <c r="DX37" i="16" s="1"/>
  <c r="DF37" i="16"/>
  <c r="DW37" i="16" s="1"/>
  <c r="DF27" i="16"/>
  <c r="DW27" i="16" s="1"/>
  <c r="DG27" i="16"/>
  <c r="DH27" i="16" s="1"/>
  <c r="DI27" i="16" s="1"/>
  <c r="DX27" i="16" s="1"/>
  <c r="BS38" i="17"/>
  <c r="BN38" i="17"/>
  <c r="CC38" i="17" s="1"/>
  <c r="BS18" i="4"/>
  <c r="BN18" i="4"/>
  <c r="CC18" i="4" s="1"/>
  <c r="BX21" i="16"/>
  <c r="BI23" i="17"/>
  <c r="BI25" i="17"/>
  <c r="BI20" i="2"/>
  <c r="BI40" i="17"/>
  <c r="DG25" i="2"/>
  <c r="DH25" i="2" s="1"/>
  <c r="DI25" i="2" s="1"/>
  <c r="DX25" i="2" s="1"/>
  <c r="DF25" i="2"/>
  <c r="DW25" i="2" s="1"/>
  <c r="BI19" i="17"/>
  <c r="BI38" i="4"/>
  <c r="BI19" i="4"/>
  <c r="BI43" i="17"/>
  <c r="BI20" i="17"/>
  <c r="BN20" i="17" s="1"/>
  <c r="CC20" i="17" s="1"/>
  <c r="BX22" i="16"/>
  <c r="BI18" i="17"/>
  <c r="BI39" i="2"/>
  <c r="BI40" i="4"/>
  <c r="BN40" i="2"/>
  <c r="BX40" i="2" s="1"/>
  <c r="BI37" i="4"/>
  <c r="BI19" i="2"/>
  <c r="BX26" i="16"/>
  <c r="BI20" i="4"/>
  <c r="BX24" i="16"/>
  <c r="BI38" i="2"/>
  <c r="BI21" i="2"/>
  <c r="BI41" i="17"/>
  <c r="BN41" i="17" s="1"/>
  <c r="BI24" i="17"/>
  <c r="BI21" i="4"/>
  <c r="BI37" i="2"/>
  <c r="BI44" i="17"/>
  <c r="CC23" i="16"/>
  <c r="BI21" i="17"/>
  <c r="BI39" i="4"/>
  <c r="BI18" i="2"/>
  <c r="BI42" i="17"/>
  <c r="BI37" i="17"/>
  <c r="BN37" i="17" s="1"/>
  <c r="BI22" i="17"/>
  <c r="BI39" i="17"/>
  <c r="DF41" i="2"/>
  <c r="DW41" i="2" s="1"/>
  <c r="DG41" i="2"/>
  <c r="DH41" i="2" s="1"/>
  <c r="DI41" i="2" s="1"/>
  <c r="DX41" i="2" s="1"/>
  <c r="BX25" i="16"/>
  <c r="BX40" i="16"/>
  <c r="BS37" i="17"/>
  <c r="BS20" i="17"/>
  <c r="BS19" i="17"/>
  <c r="BX19" i="17" s="1"/>
  <c r="BN19" i="17"/>
  <c r="CC19" i="17"/>
  <c r="BS41" i="16"/>
  <c r="BN41" i="16"/>
  <c r="BN49" i="16" s="1"/>
  <c r="BX43" i="16"/>
  <c r="BX44" i="16"/>
  <c r="CC44" i="16"/>
  <c r="CC43" i="16"/>
  <c r="CC25" i="16"/>
  <c r="CC22" i="16"/>
  <c r="BX19" i="16"/>
  <c r="BN20" i="16"/>
  <c r="BN30" i="16" s="1"/>
  <c r="BS20" i="16"/>
  <c r="DF44" i="2"/>
  <c r="DW44" i="2" s="1"/>
  <c r="DG44" i="2"/>
  <c r="DH44" i="2" s="1"/>
  <c r="DI44" i="2" s="1"/>
  <c r="DX44" i="2" s="1"/>
  <c r="DG19" i="16"/>
  <c r="DH19" i="16" s="1"/>
  <c r="DI19" i="16" s="1"/>
  <c r="DX19" i="16" s="1"/>
  <c r="DF19" i="16"/>
  <c r="DW19" i="16" s="1"/>
  <c r="DG29" i="16"/>
  <c r="DH29" i="16" s="1"/>
  <c r="DI29" i="16" s="1"/>
  <c r="DX29" i="16" s="1"/>
  <c r="DF29" i="16"/>
  <c r="DW29" i="16" s="1"/>
  <c r="DF28" i="20"/>
  <c r="DW28" i="20" s="1"/>
  <c r="DG28" i="20"/>
  <c r="DH28" i="20" s="1"/>
  <c r="DI28" i="20" s="1"/>
  <c r="DX28" i="20" s="1"/>
  <c r="DF24" i="20"/>
  <c r="DW24" i="20" s="1"/>
  <c r="DG24" i="20"/>
  <c r="DH24" i="20" s="1"/>
  <c r="DI24" i="20" s="1"/>
  <c r="DX24" i="20" s="1"/>
  <c r="DF40" i="20"/>
  <c r="DW40" i="20" s="1"/>
  <c r="DG40" i="20"/>
  <c r="DH40" i="20" s="1"/>
  <c r="DI40" i="20" s="1"/>
  <c r="DX40" i="20" s="1"/>
  <c r="DG23" i="17"/>
  <c r="DH23" i="17" s="1"/>
  <c r="DI23" i="17" s="1"/>
  <c r="DX23" i="17" s="1"/>
  <c r="DF23" i="17"/>
  <c r="DW23" i="17" s="1"/>
  <c r="DF40" i="17"/>
  <c r="DW40" i="17" s="1"/>
  <c r="DG40" i="17"/>
  <c r="DH40" i="17" s="1"/>
  <c r="DI40" i="17" s="1"/>
  <c r="DX40" i="17" s="1"/>
  <c r="DF43" i="19"/>
  <c r="DW43" i="19" s="1"/>
  <c r="DG43" i="19"/>
  <c r="DH43" i="19" s="1"/>
  <c r="DI43" i="19" s="1"/>
  <c r="DX43" i="19" s="1"/>
  <c r="DG44" i="17"/>
  <c r="DH44" i="17" s="1"/>
  <c r="DI44" i="17" s="1"/>
  <c r="DX44" i="17" s="1"/>
  <c r="DF44" i="17"/>
  <c r="DW44" i="17" s="1"/>
  <c r="DF42" i="32"/>
  <c r="DW42" i="32" s="1"/>
  <c r="DG42" i="32"/>
  <c r="DH42" i="32" s="1"/>
  <c r="DI42" i="32" s="1"/>
  <c r="DX42" i="32" s="1"/>
  <c r="DG42" i="20"/>
  <c r="DH42" i="20" s="1"/>
  <c r="DI42" i="20" s="1"/>
  <c r="DX42" i="20" s="1"/>
  <c r="DF42" i="20"/>
  <c r="DW42" i="20" s="1"/>
  <c r="DG37" i="19"/>
  <c r="DH37" i="19" s="1"/>
  <c r="DI37" i="19" s="1"/>
  <c r="DX37" i="19" s="1"/>
  <c r="DF37" i="19"/>
  <c r="DW37" i="19" s="1"/>
  <c r="DF21" i="4"/>
  <c r="DW21" i="4" s="1"/>
  <c r="DG21" i="4"/>
  <c r="DH21" i="4" s="1"/>
  <c r="DI21" i="4" s="1"/>
  <c r="DX21" i="4" s="1"/>
  <c r="DG25" i="19"/>
  <c r="DH25" i="19" s="1"/>
  <c r="DI25" i="19" s="1"/>
  <c r="DX25" i="19" s="1"/>
  <c r="DF25" i="19"/>
  <c r="DW25" i="19" s="1"/>
  <c r="DG21" i="20"/>
  <c r="DH21" i="20" s="1"/>
  <c r="DI21" i="20" s="1"/>
  <c r="DX21" i="20" s="1"/>
  <c r="DF21" i="20"/>
  <c r="DW21" i="20" s="1"/>
  <c r="DF48" i="4"/>
  <c r="DW48" i="4" s="1"/>
  <c r="DG48" i="4"/>
  <c r="DH48" i="4" s="1"/>
  <c r="DI48" i="4" s="1"/>
  <c r="DX48" i="4" s="1"/>
  <c r="DG41" i="17"/>
  <c r="DH41" i="17" s="1"/>
  <c r="DI41" i="17" s="1"/>
  <c r="DX41" i="17" s="1"/>
  <c r="DF41" i="17"/>
  <c r="DW41" i="17" s="1"/>
  <c r="DF42" i="17"/>
  <c r="DW42" i="17" s="1"/>
  <c r="DG42" i="17"/>
  <c r="DH42" i="17" s="1"/>
  <c r="DI42" i="17" s="1"/>
  <c r="DX42" i="17" s="1"/>
  <c r="DG20" i="4"/>
  <c r="DH20" i="4" s="1"/>
  <c r="DI20" i="4" s="1"/>
  <c r="DX20" i="4" s="1"/>
  <c r="DF20" i="4"/>
  <c r="DW20" i="4" s="1"/>
  <c r="DG24" i="19"/>
  <c r="DH24" i="19" s="1"/>
  <c r="DI24" i="19" s="1"/>
  <c r="DX24" i="19" s="1"/>
  <c r="DF24" i="19"/>
  <c r="DW24" i="19" s="1"/>
  <c r="DG48" i="32"/>
  <c r="DH48" i="32" s="1"/>
  <c r="DI48" i="32" s="1"/>
  <c r="DX48" i="32" s="1"/>
  <c r="DF48" i="32"/>
  <c r="DW48" i="32" s="1"/>
  <c r="DG45" i="32"/>
  <c r="DH45" i="32" s="1"/>
  <c r="DI45" i="32" s="1"/>
  <c r="DX45" i="32" s="1"/>
  <c r="DF45" i="32"/>
  <c r="DW45" i="32" s="1"/>
  <c r="DG29" i="4"/>
  <c r="DH29" i="4" s="1"/>
  <c r="DI29" i="4" s="1"/>
  <c r="DX29" i="4" s="1"/>
  <c r="DF29" i="4"/>
  <c r="DW29" i="4" s="1"/>
  <c r="DG38" i="16"/>
  <c r="DH38" i="16" s="1"/>
  <c r="DI38" i="16" s="1"/>
  <c r="DX38" i="16" s="1"/>
  <c r="DF38" i="16"/>
  <c r="DW38" i="16" s="1"/>
  <c r="DF40" i="4"/>
  <c r="DW40" i="4" s="1"/>
  <c r="DG40" i="4"/>
  <c r="DH40" i="4" s="1"/>
  <c r="DI40" i="4" s="1"/>
  <c r="DX40" i="4" s="1"/>
  <c r="DF38" i="32"/>
  <c r="DW38" i="32" s="1"/>
  <c r="DG38" i="32"/>
  <c r="DH38" i="32" s="1"/>
  <c r="DI38" i="32" s="1"/>
  <c r="DX38" i="32" s="1"/>
  <c r="DF43" i="16"/>
  <c r="DW43" i="16" s="1"/>
  <c r="DG43" i="16"/>
  <c r="DH43" i="16" s="1"/>
  <c r="DI43" i="16" s="1"/>
  <c r="DX43" i="16" s="1"/>
  <c r="DF24" i="4"/>
  <c r="DW24" i="4" s="1"/>
  <c r="DG24" i="4"/>
  <c r="DH24" i="4" s="1"/>
  <c r="DI24" i="4" s="1"/>
  <c r="DX24" i="4" s="1"/>
  <c r="DF44" i="4"/>
  <c r="DW44" i="4" s="1"/>
  <c r="DG44" i="4"/>
  <c r="DH44" i="4" s="1"/>
  <c r="DI44" i="4" s="1"/>
  <c r="DX44" i="4" s="1"/>
  <c r="DG19" i="23"/>
  <c r="DH19" i="23" s="1"/>
  <c r="DI19" i="23" s="1"/>
  <c r="DX19" i="23" s="1"/>
  <c r="DF19" i="23"/>
  <c r="DW19" i="23" s="1"/>
  <c r="DG45" i="19"/>
  <c r="DH45" i="19" s="1"/>
  <c r="DI45" i="19" s="1"/>
  <c r="DX45" i="19" s="1"/>
  <c r="DF45" i="19"/>
  <c r="DW45" i="19" s="1"/>
  <c r="DF39" i="32"/>
  <c r="DW39" i="32" s="1"/>
  <c r="DG39" i="32"/>
  <c r="DH39" i="32" s="1"/>
  <c r="DI39" i="32" s="1"/>
  <c r="DX39" i="32" s="1"/>
  <c r="DG43" i="32"/>
  <c r="DH43" i="32" s="1"/>
  <c r="DI43" i="32" s="1"/>
  <c r="DX43" i="32" s="1"/>
  <c r="DF43" i="32"/>
  <c r="DW43" i="32" s="1"/>
  <c r="DG46" i="17"/>
  <c r="DH46" i="17" s="1"/>
  <c r="DI46" i="17" s="1"/>
  <c r="DX46" i="17" s="1"/>
  <c r="DF46" i="17"/>
  <c r="DW46" i="17" s="1"/>
  <c r="DG39" i="19"/>
  <c r="DH39" i="19" s="1"/>
  <c r="DI39" i="19" s="1"/>
  <c r="DX39" i="19" s="1"/>
  <c r="DF39" i="19"/>
  <c r="DW39" i="19" s="1"/>
  <c r="DG47" i="20"/>
  <c r="DH47" i="20" s="1"/>
  <c r="DI47" i="20" s="1"/>
  <c r="DX47" i="20" s="1"/>
  <c r="DF47" i="20"/>
  <c r="DW47" i="20" s="1"/>
  <c r="DF44" i="20"/>
  <c r="DW44" i="20" s="1"/>
  <c r="DG44" i="20"/>
  <c r="DH44" i="20" s="1"/>
  <c r="DI44" i="20" s="1"/>
  <c r="DX44" i="20" s="1"/>
  <c r="DG48" i="17"/>
  <c r="DH48" i="17" s="1"/>
  <c r="DI48" i="17" s="1"/>
  <c r="DX48" i="17" s="1"/>
  <c r="DF48" i="17"/>
  <c r="DW48" i="17" s="1"/>
  <c r="DG20" i="20"/>
  <c r="DH20" i="20" s="1"/>
  <c r="DI20" i="20" s="1"/>
  <c r="DX20" i="20" s="1"/>
  <c r="DF20" i="20"/>
  <c r="DW20" i="20" s="1"/>
  <c r="DG26" i="20"/>
  <c r="DH26" i="20" s="1"/>
  <c r="DI26" i="20" s="1"/>
  <c r="DX26" i="20" s="1"/>
  <c r="DF26" i="20"/>
  <c r="DW26" i="20" s="1"/>
  <c r="DF41" i="16"/>
  <c r="DW41" i="16" s="1"/>
  <c r="DG41" i="16"/>
  <c r="DH41" i="16" s="1"/>
  <c r="DI41" i="16" s="1"/>
  <c r="DX41" i="16" s="1"/>
  <c r="DG25" i="20"/>
  <c r="DH25" i="20" s="1"/>
  <c r="DI25" i="20" s="1"/>
  <c r="DX25" i="20" s="1"/>
  <c r="DF25" i="20"/>
  <c r="DW25" i="20" s="1"/>
  <c r="DG39" i="23"/>
  <c r="DH39" i="23" s="1"/>
  <c r="DI39" i="23" s="1"/>
  <c r="DX39" i="23" s="1"/>
  <c r="DF39" i="23"/>
  <c r="DW39" i="23" s="1"/>
  <c r="DG20" i="23"/>
  <c r="DH20" i="23" s="1"/>
  <c r="DI20" i="23" s="1"/>
  <c r="DX20" i="23" s="1"/>
  <c r="DF20" i="23"/>
  <c r="DW20" i="23" s="1"/>
  <c r="DF43" i="17"/>
  <c r="DW43" i="17" s="1"/>
  <c r="DG43" i="17"/>
  <c r="DH43" i="17" s="1"/>
  <c r="DI43" i="17" s="1"/>
  <c r="DX43" i="17" s="1"/>
  <c r="DG27" i="19"/>
  <c r="DH27" i="19" s="1"/>
  <c r="DI27" i="19" s="1"/>
  <c r="DX27" i="19" s="1"/>
  <c r="DF27" i="19"/>
  <c r="DW27" i="19" s="1"/>
  <c r="DF29" i="20"/>
  <c r="DW29" i="20" s="1"/>
  <c r="DG29" i="20"/>
  <c r="DH29" i="20" s="1"/>
  <c r="DI29" i="20" s="1"/>
  <c r="DX29" i="20" s="1"/>
  <c r="DG28" i="32"/>
  <c r="DH28" i="32" s="1"/>
  <c r="DI28" i="32" s="1"/>
  <c r="DX28" i="32" s="1"/>
  <c r="DF28" i="32"/>
  <c r="DW28" i="32" s="1"/>
  <c r="DG46" i="23"/>
  <c r="DH46" i="23" s="1"/>
  <c r="DI46" i="23" s="1"/>
  <c r="DX46" i="23" s="1"/>
  <c r="DF46" i="23"/>
  <c r="DW46" i="23" s="1"/>
  <c r="DG23" i="19"/>
  <c r="DH23" i="19" s="1"/>
  <c r="DI23" i="19" s="1"/>
  <c r="DX23" i="19" s="1"/>
  <c r="DF23" i="19"/>
  <c r="DW23" i="19" s="1"/>
  <c r="DG19" i="32"/>
  <c r="DH19" i="32" s="1"/>
  <c r="DI19" i="32" s="1"/>
  <c r="DX19" i="32" s="1"/>
  <c r="DF19" i="32"/>
  <c r="DW19" i="32" s="1"/>
  <c r="DG39" i="17"/>
  <c r="DH39" i="17" s="1"/>
  <c r="DI39" i="17" s="1"/>
  <c r="DX39" i="17" s="1"/>
  <c r="DF39" i="17"/>
  <c r="DW39" i="17" s="1"/>
  <c r="DG20" i="16"/>
  <c r="DH20" i="16" s="1"/>
  <c r="DI20" i="16" s="1"/>
  <c r="DX20" i="16" s="1"/>
  <c r="DF20" i="16"/>
  <c r="DW20" i="16" s="1"/>
  <c r="DF28" i="19"/>
  <c r="DW28" i="19" s="1"/>
  <c r="DG28" i="19"/>
  <c r="DH28" i="19" s="1"/>
  <c r="DI28" i="19" s="1"/>
  <c r="DX28" i="19" s="1"/>
  <c r="DF46" i="32"/>
  <c r="DW46" i="32" s="1"/>
  <c r="DG46" i="32"/>
  <c r="DH46" i="32" s="1"/>
  <c r="DI46" i="32" s="1"/>
  <c r="DX46" i="32" s="1"/>
  <c r="DF26" i="17"/>
  <c r="DW26" i="17" s="1"/>
  <c r="DG26" i="17"/>
  <c r="DH26" i="17" s="1"/>
  <c r="DI26" i="17" s="1"/>
  <c r="DX26" i="17" s="1"/>
  <c r="DG39" i="20"/>
  <c r="DH39" i="20" s="1"/>
  <c r="DI39" i="20" s="1"/>
  <c r="DX39" i="20" s="1"/>
  <c r="DF39" i="20"/>
  <c r="DW39" i="20" s="1"/>
  <c r="DF43" i="20"/>
  <c r="DW43" i="20" s="1"/>
  <c r="DG43" i="20"/>
  <c r="DH43" i="20" s="1"/>
  <c r="DI43" i="20" s="1"/>
  <c r="DX43" i="20" s="1"/>
  <c r="DG42" i="23"/>
  <c r="DH42" i="23" s="1"/>
  <c r="DI42" i="23" s="1"/>
  <c r="DX42" i="23" s="1"/>
  <c r="DF42" i="23"/>
  <c r="DW42" i="23" s="1"/>
  <c r="DG19" i="19"/>
  <c r="DH19" i="19" s="1"/>
  <c r="DI19" i="19" s="1"/>
  <c r="DX19" i="19" s="1"/>
  <c r="DF19" i="19"/>
  <c r="DW19" i="19" s="1"/>
  <c r="DG27" i="32"/>
  <c r="DH27" i="32" s="1"/>
  <c r="DI27" i="32" s="1"/>
  <c r="DX27" i="32" s="1"/>
  <c r="DF27" i="32"/>
  <c r="DW27" i="32" s="1"/>
  <c r="DG27" i="23"/>
  <c r="DH27" i="23" s="1"/>
  <c r="DI27" i="23" s="1"/>
  <c r="DX27" i="23" s="1"/>
  <c r="DF27" i="23"/>
  <c r="DW27" i="23" s="1"/>
  <c r="DG40" i="16"/>
  <c r="DH40" i="16" s="1"/>
  <c r="DI40" i="16" s="1"/>
  <c r="DX40" i="16" s="1"/>
  <c r="DF40" i="16"/>
  <c r="DW40" i="16" s="1"/>
  <c r="DG37" i="32"/>
  <c r="DH37" i="32" s="1"/>
  <c r="DI37" i="32" s="1"/>
  <c r="DX37" i="32" s="1"/>
  <c r="DF37" i="32"/>
  <c r="DW37" i="32" s="1"/>
  <c r="DF48" i="19"/>
  <c r="DW48" i="19" s="1"/>
  <c r="DG48" i="19"/>
  <c r="DH48" i="19" s="1"/>
  <c r="DI48" i="19" s="1"/>
  <c r="DX48" i="19" s="1"/>
  <c r="DG46" i="20"/>
  <c r="DH46" i="20" s="1"/>
  <c r="DI46" i="20" s="1"/>
  <c r="DX46" i="20" s="1"/>
  <c r="DF46" i="20"/>
  <c r="DW46" i="20" s="1"/>
  <c r="DF41" i="19"/>
  <c r="DW41" i="19" s="1"/>
  <c r="DG41" i="19"/>
  <c r="DH41" i="19" s="1"/>
  <c r="DI41" i="19" s="1"/>
  <c r="DX41" i="19" s="1"/>
  <c r="BY55" i="20"/>
  <c r="BG55" i="20" s="1"/>
  <c r="AS27" i="18"/>
  <c r="M27" i="18" s="1"/>
  <c r="AC27" i="18" s="1"/>
  <c r="AS29" i="18"/>
  <c r="BL52" i="19"/>
  <c r="V52" i="19" s="1"/>
  <c r="Z59" i="19" s="1"/>
  <c r="BN59" i="19" s="1"/>
  <c r="CC40" i="2" l="1"/>
  <c r="BX18" i="4"/>
  <c r="BX22" i="4"/>
  <c r="CC22" i="4"/>
  <c r="BX20" i="17"/>
  <c r="BS44" i="17"/>
  <c r="BN44" i="17"/>
  <c r="BX44" i="17" s="1"/>
  <c r="BN40" i="17"/>
  <c r="BS40" i="17"/>
  <c r="CC40" i="17"/>
  <c r="BS37" i="2"/>
  <c r="BN37" i="2"/>
  <c r="BX37" i="2"/>
  <c r="BS40" i="4"/>
  <c r="BN40" i="4"/>
  <c r="CC40" i="4" s="1"/>
  <c r="BS20" i="2"/>
  <c r="BN20" i="2"/>
  <c r="BS21" i="4"/>
  <c r="BN21" i="4"/>
  <c r="BS39" i="2"/>
  <c r="BN39" i="2"/>
  <c r="BN25" i="17"/>
  <c r="CC25" i="17" s="1"/>
  <c r="BS25" i="17"/>
  <c r="BS24" i="17"/>
  <c r="BX24" i="17" s="1"/>
  <c r="BN24" i="17"/>
  <c r="CC24" i="17"/>
  <c r="BS18" i="17"/>
  <c r="BN18" i="17"/>
  <c r="BN23" i="17"/>
  <c r="BS23" i="17"/>
  <c r="BX23" i="17" s="1"/>
  <c r="CC23" i="17"/>
  <c r="BN39" i="17"/>
  <c r="BS39" i="17"/>
  <c r="BN22" i="17"/>
  <c r="BS22" i="17"/>
  <c r="BS21" i="2"/>
  <c r="BN21" i="2"/>
  <c r="CC21" i="2" s="1"/>
  <c r="BN38" i="2"/>
  <c r="BS38" i="2"/>
  <c r="BX38" i="2" s="1"/>
  <c r="CC38" i="2"/>
  <c r="BS43" i="17"/>
  <c r="BN43" i="17"/>
  <c r="CC43" i="17"/>
  <c r="BX43" i="17"/>
  <c r="BS42" i="17"/>
  <c r="BN42" i="17"/>
  <c r="BN19" i="4"/>
  <c r="BS19" i="4"/>
  <c r="CC41" i="17"/>
  <c r="BN18" i="2"/>
  <c r="BS18" i="2"/>
  <c r="BX18" i="2" s="1"/>
  <c r="CC18" i="2"/>
  <c r="BS20" i="4"/>
  <c r="BN20" i="4"/>
  <c r="BS38" i="4"/>
  <c r="BN38" i="4"/>
  <c r="CC38" i="4" s="1"/>
  <c r="BS41" i="17"/>
  <c r="BX41" i="17" s="1"/>
  <c r="BS39" i="4"/>
  <c r="BN39" i="4"/>
  <c r="CC39" i="4" s="1"/>
  <c r="CC20" i="16"/>
  <c r="CC30" i="16" s="1"/>
  <c r="BN21" i="17"/>
  <c r="BS21" i="17"/>
  <c r="BN19" i="2"/>
  <c r="CC19" i="2" s="1"/>
  <c r="BS19" i="2"/>
  <c r="BX38" i="17"/>
  <c r="BX20" i="16"/>
  <c r="BX30" i="16" s="1"/>
  <c r="CC44" i="17"/>
  <c r="BS37" i="4"/>
  <c r="BX37" i="4" s="1"/>
  <c r="BN37" i="4"/>
  <c r="BX37" i="17"/>
  <c r="CC37" i="17"/>
  <c r="CC41" i="16"/>
  <c r="CC49" i="16" s="1"/>
  <c r="BX41" i="16"/>
  <c r="BX49" i="16" s="1"/>
  <c r="AS31" i="18"/>
  <c r="AS33" i="18"/>
  <c r="M29" i="18"/>
  <c r="BX19" i="2" l="1"/>
  <c r="BX39" i="4"/>
  <c r="BX19" i="4"/>
  <c r="BX21" i="4"/>
  <c r="CC19" i="4"/>
  <c r="BN30" i="17"/>
  <c r="BR9" i="16"/>
  <c r="BR11" i="16" s="1"/>
  <c r="AS29" i="15" s="1"/>
  <c r="AS31" i="15" s="1"/>
  <c r="AS33" i="15" s="1"/>
  <c r="BX20" i="4"/>
  <c r="BX30" i="4" s="1"/>
  <c r="CC20" i="4"/>
  <c r="BX22" i="17"/>
  <c r="CC22" i="17"/>
  <c r="BX25" i="17"/>
  <c r="CC37" i="2"/>
  <c r="BN49" i="2"/>
  <c r="CC37" i="4"/>
  <c r="CC49" i="4" s="1"/>
  <c r="BN49" i="4"/>
  <c r="BN30" i="2"/>
  <c r="CC39" i="17"/>
  <c r="BX39" i="17"/>
  <c r="BX39" i="2"/>
  <c r="BX49" i="2" s="1"/>
  <c r="BR10" i="2" s="1"/>
  <c r="CC39" i="2"/>
  <c r="CC21" i="4"/>
  <c r="BX40" i="17"/>
  <c r="BX38" i="4"/>
  <c r="CC18" i="17"/>
  <c r="BX18" i="17"/>
  <c r="BN30" i="4"/>
  <c r="BN49" i="17"/>
  <c r="CC20" i="2"/>
  <c r="CC30" i="2" s="1"/>
  <c r="BX20" i="2"/>
  <c r="CC21" i="17"/>
  <c r="BX21" i="17"/>
  <c r="CC42" i="17"/>
  <c r="CC49" i="17" s="1"/>
  <c r="BX42" i="17"/>
  <c r="BX21" i="2"/>
  <c r="BX40" i="4"/>
  <c r="AC29" i="18"/>
  <c r="M31" i="18"/>
  <c r="M33" i="18"/>
  <c r="BX49" i="17" l="1"/>
  <c r="BR10" i="17" s="1"/>
  <c r="BX30" i="17"/>
  <c r="BR9" i="17" s="1"/>
  <c r="CC30" i="17"/>
  <c r="BL52" i="16"/>
  <c r="V52" i="16" s="1"/>
  <c r="Z59" i="16" s="1"/>
  <c r="BN59" i="16" s="1"/>
  <c r="CC49" i="2"/>
  <c r="BX49" i="4"/>
  <c r="BR9" i="4" s="1"/>
  <c r="BR11" i="4" s="1"/>
  <c r="M58" i="27" s="1"/>
  <c r="BX30" i="2"/>
  <c r="BR9" i="2" s="1"/>
  <c r="BR11" i="2" s="1"/>
  <c r="CC30" i="4"/>
  <c r="M29" i="15"/>
  <c r="AC33" i="18"/>
  <c r="AC31" i="18"/>
  <c r="BR11" i="17" l="1"/>
  <c r="BY55" i="17" s="1"/>
  <c r="BG55" i="17" s="1"/>
  <c r="AS27" i="15"/>
  <c r="M27" i="15" s="1"/>
  <c r="AC27" i="15" s="1"/>
  <c r="BL52" i="4"/>
  <c r="V52" i="4" s="1"/>
  <c r="Z59" i="4" s="1"/>
  <c r="BN59" i="4" s="1"/>
  <c r="AS29" i="6"/>
  <c r="BY55" i="2"/>
  <c r="BG55" i="2" s="1"/>
  <c r="AS27" i="6"/>
  <c r="M27" i="6" s="1"/>
  <c r="AC27" i="6" s="1"/>
  <c r="AC29" i="15"/>
  <c r="AC31" i="15" s="1"/>
  <c r="M31" i="15"/>
  <c r="M33" i="15" s="1"/>
  <c r="AS31" i="6" l="1"/>
  <c r="AS33" i="6" s="1"/>
  <c r="M29" i="6"/>
  <c r="AC33" i="15"/>
  <c r="M31" i="6" l="1"/>
  <c r="M33" i="6" s="1"/>
  <c r="AC29" i="6"/>
  <c r="AC31" i="6" s="1"/>
  <c r="AC33" i="6" s="1"/>
</calcChain>
</file>

<file path=xl/sharedStrings.xml><?xml version="1.0" encoding="utf-8"?>
<sst xmlns="http://schemas.openxmlformats.org/spreadsheetml/2006/main" count="3584" uniqueCount="592">
  <si>
    <t>:</t>
  </si>
  <si>
    <t>VESSEL</t>
  </si>
  <si>
    <t>DATE</t>
  </si>
  <si>
    <t>1.  VESSEL HISTORY FROM CHIEF ENGINEER</t>
  </si>
  <si>
    <t>LAST PORT OF CALL</t>
  </si>
  <si>
    <t>BUNKERS ON DEPARTURE</t>
  </si>
  <si>
    <t>Point of Accuracy</t>
  </si>
  <si>
    <t>VESSEL'S</t>
  </si>
  <si>
    <t>G.O.V.</t>
  </si>
  <si>
    <t>TEMP.</t>
  </si>
  <si>
    <t>V.C.F.</t>
  </si>
  <si>
    <t>TEMP C</t>
  </si>
  <si>
    <t>TEMP F</t>
  </si>
  <si>
    <t>API</t>
  </si>
  <si>
    <t>TANK</t>
  </si>
  <si>
    <t>Actual</t>
  </si>
  <si>
    <t>TIME</t>
  </si>
  <si>
    <t>FOR VESSEL</t>
  </si>
  <si>
    <t>BBLS</t>
  </si>
  <si>
    <t>M3</t>
  </si>
  <si>
    <t>Spec. Grav.</t>
  </si>
  <si>
    <t>Density</t>
  </si>
  <si>
    <t>VCF TABLE 6B</t>
  </si>
  <si>
    <t>VCF TABLE 24B</t>
  </si>
  <si>
    <t>VCF TABLE 54B</t>
  </si>
  <si>
    <t>CARGO</t>
  </si>
  <si>
    <t>SAILING  -  DATE</t>
  </si>
  <si>
    <t>2.  INSPECTION ( ARRIVAL )</t>
  </si>
  <si>
    <t>3.  INSPECTION ( DEPARTURE )</t>
  </si>
  <si>
    <t>1.  BARGE HISTORY FROM TANKERMAN / OPERATOR</t>
  </si>
  <si>
    <t>T I M E   L O G</t>
  </si>
  <si>
    <t>TO</t>
  </si>
  <si>
    <t>HOUR</t>
  </si>
  <si>
    <t>EVENT</t>
  </si>
  <si>
    <t>INSPECTOR ON BOARD</t>
  </si>
  <si>
    <t>2.  ADDITIONAL INFORMATION AND COMMENTS</t>
  </si>
  <si>
    <t>VESSEL ARRIVED</t>
  </si>
  <si>
    <t>VESSEL ANCHORED</t>
  </si>
  <si>
    <t>COMMENCED OPENING BARGE SURVEY</t>
  </si>
  <si>
    <t>COMPLETED OPENING BARGE SURVEY</t>
  </si>
  <si>
    <t>CARGO HOSE CONNECTED</t>
  </si>
  <si>
    <t>COMPLETED BUNKERING OPERATIONS</t>
  </si>
  <si>
    <t>CARGO HOSE DISCONNECTED</t>
  </si>
  <si>
    <t>COMMENCED OPENING VESSEL SURVEY</t>
  </si>
  <si>
    <t>COMPLETED OPENING VESSEL SURVEY</t>
  </si>
  <si>
    <t>COMMENCED CLOSING VESSEL SURVEY</t>
  </si>
  <si>
    <t>COMPLETED CLOSING VESSEL SURVEY</t>
  </si>
  <si>
    <t>COMMENCED CLOSING BARGE SURVEY</t>
  </si>
  <si>
    <t>COMPLETED CLOSING BARGE SURVEY</t>
  </si>
  <si>
    <t>COMPLETED CLOSING CALCULATIONS</t>
  </si>
  <si>
    <t>COMPLETED OPENING CALCULATIONS</t>
  </si>
  <si>
    <t>FOR BARGE</t>
  </si>
  <si>
    <t>BARGE</t>
  </si>
  <si>
    <t>BUNKER BARGE ALONGSIDE</t>
  </si>
  <si>
    <t>BUNKER BARGE DEPARTED</t>
  </si>
  <si>
    <t>FT - IN</t>
  </si>
  <si>
    <t>°C</t>
  </si>
  <si>
    <t>°F</t>
  </si>
  <si>
    <t>L E T T E R   O F   P R O T E S T</t>
  </si>
  <si>
    <t>ON BEHALF OF OUR CLIENT(S), WE HAVE BEEN APPOINTED INSPECTORS ON THE ABOVE NAMED VESSEL.  ACTING FOR AND ON THEIR BEHALF, WE HEREBY NOTIFY YOU THAT ON THE LISTED DATE AND TIME THE FOLLOWING OCCURRED.</t>
  </si>
  <si>
    <t>WE HEREBY RESERVE THE RIGHT OF OUR PRINCIPALS TO REFER TO THIS MATTER AT A LATER DATE AND TAKE SUCH ACTION AS MAY BE DEEMED NECESSARY.</t>
  </si>
  <si>
    <t>KINDLY ACKNOWLEDGE RECEIPT ON THE COPY THEREOF AND RETURN IT TO US.  THE SIGNATURE THUS OBTAINED ARE FOR RECEIPT ONLY AND IN NO WAY ACKNOWLEDGE RESPONSIBILITY FOR THE INCIDENT.</t>
  </si>
  <si>
    <t>RECEIVED BY</t>
  </si>
  <si>
    <t>YOURS FAITHFULLY,</t>
  </si>
  <si>
    <t>To:</t>
  </si>
  <si>
    <t>Cc:</t>
  </si>
  <si>
    <t xml:space="preserve"> Vessel</t>
  </si>
  <si>
    <t xml:space="preserve"> Date</t>
  </si>
  <si>
    <t xml:space="preserve"> Port</t>
  </si>
  <si>
    <t xml:space="preserve"> Barge</t>
  </si>
  <si>
    <t xml:space="preserve"> Position</t>
  </si>
  <si>
    <t>-</t>
  </si>
  <si>
    <t>Longitude</t>
  </si>
  <si>
    <t>Latitude</t>
  </si>
  <si>
    <t xml:space="preserve"> Name</t>
  </si>
  <si>
    <t xml:space="preserve"> Signature</t>
  </si>
  <si>
    <t>Metric Tons            ( Vacuum )</t>
  </si>
  <si>
    <t>Metric Tons                 ( Air )</t>
  </si>
  <si>
    <t>WCF                    Table 56</t>
  </si>
  <si>
    <t>Reporting</t>
  </si>
  <si>
    <t xml:space="preserve"> For</t>
  </si>
  <si>
    <t>TOTALS</t>
  </si>
  <si>
    <t>M. TONS</t>
  </si>
  <si>
    <t>G.S.V.</t>
  </si>
  <si>
    <t>DENSITY</t>
  </si>
  <si>
    <t>SPEC GRAV</t>
  </si>
  <si>
    <t>Dens. @ 15°C       ( kg/L )</t>
  </si>
  <si>
    <t>( AIR )</t>
  </si>
  <si>
    <t>(*) Bunker Receipt issued in</t>
  </si>
  <si>
    <t>(*) Bunker Receipt based on</t>
  </si>
  <si>
    <t>Volume (Cubic Meters @ 15°C)</t>
  </si>
  <si>
    <t>Mass (Metric Tons in Vacuum)</t>
  </si>
  <si>
    <t>Weight (Metric Tons in Air)</t>
  </si>
  <si>
    <t>YES</t>
  </si>
  <si>
    <t>NO</t>
  </si>
  <si>
    <t>N</t>
  </si>
  <si>
    <t>S</t>
  </si>
  <si>
    <t>E</t>
  </si>
  <si>
    <t>W</t>
  </si>
  <si>
    <t>Rho60</t>
  </si>
  <si>
    <t>pIPTS68</t>
  </si>
  <si>
    <t>ITPS68</t>
  </si>
  <si>
    <t>Rho15</t>
  </si>
  <si>
    <t>List Box 11</t>
  </si>
  <si>
    <t>D A T A   E N T R Y   F O R M</t>
  </si>
  <si>
    <t>VESSEL NAME</t>
  </si>
  <si>
    <t>Program Version Number</t>
  </si>
  <si>
    <t>PORT</t>
  </si>
  <si>
    <t>FOR               INTERTEK               USE ONLY</t>
  </si>
  <si>
    <t>CUSTOMER NAME</t>
  </si>
  <si>
    <t>DO NOT                  ISSUE THIS                      PAGE TO               CUSTOMERS</t>
  </si>
  <si>
    <t>LOP Counter</t>
  </si>
  <si>
    <t>List Box 63</t>
  </si>
  <si>
    <t>R E P O R T  S E T U P   &amp;   G U I D E L I N E S</t>
  </si>
  <si>
    <t>1.</t>
  </si>
  <si>
    <t>2.</t>
  </si>
  <si>
    <t>Page Number Counter</t>
  </si>
  <si>
    <t>3.</t>
  </si>
  <si>
    <t>4.</t>
  </si>
  <si>
    <t>5.</t>
  </si>
  <si>
    <t>6.</t>
  </si>
  <si>
    <t>Letter(s)                   of                    Protest</t>
  </si>
  <si>
    <t>Page Numbers Required</t>
  </si>
  <si>
    <t>SELECT IF PAGE NUMBERS ARE NEEDED AT THE BOTTOM OF THE PAGES WITHIN THE REPORT</t>
  </si>
  <si>
    <t>TERMINAL/PORT</t>
  </si>
  <si>
    <t>CONTACT #1</t>
  </si>
  <si>
    <t>CONTACT #2</t>
  </si>
  <si>
    <t>COPY #1</t>
  </si>
  <si>
    <t>COPY #2</t>
  </si>
  <si>
    <t>COPY #3</t>
  </si>
  <si>
    <t>COPY #4</t>
  </si>
  <si>
    <t>INTERTEK INSPECTOR</t>
  </si>
  <si>
    <t>Table Counter</t>
  </si>
  <si>
    <t>Volume Correction Factor            Table</t>
  </si>
  <si>
    <t>VOLUME CORRECTION FACTOR TABLE</t>
  </si>
  <si>
    <t>LETTER(S) OF PROTEST</t>
  </si>
  <si>
    <t>PAGE NUMBERS REQUIRED</t>
  </si>
  <si>
    <t>ASTM D 1250 VCF TABLES</t>
  </si>
  <si>
    <t>Table 6B - 1980</t>
  </si>
  <si>
    <t>Table 24B - 1980</t>
  </si>
  <si>
    <t>Table 54B - 1980</t>
  </si>
  <si>
    <t>Table 6B - 2004</t>
  </si>
  <si>
    <t>Table 24B - 2004</t>
  </si>
  <si>
    <t>Table 54B - 2004</t>
  </si>
  <si>
    <t>SELECT THE APPROPRIATE ASTM D 1250 VOLUME CORRECTION TABLE TO BE USE FOR THE CUSTODY TRANSFER CALCULATIONS</t>
  </si>
  <si>
    <t>SELECT THE NUMBER OF LETTER OF PROTEST PAGES THAT ARE NEEDED</t>
  </si>
  <si>
    <t>T6B - 80</t>
  </si>
  <si>
    <t>T24B - 80</t>
  </si>
  <si>
    <t>T54B - 80</t>
  </si>
  <si>
    <t>T6B - 04</t>
  </si>
  <si>
    <t>T24B - 04</t>
  </si>
  <si>
    <t>T54B - 04</t>
  </si>
  <si>
    <t>Barge Measurements 2</t>
  </si>
  <si>
    <t>Vessel Measurements 2</t>
  </si>
  <si>
    <t>Bunker Certificate 2</t>
  </si>
  <si>
    <t>Bunker Certificate 1</t>
  </si>
  <si>
    <t>Vessel Measurements 1</t>
  </si>
  <si>
    <t>Barge Measurements 1</t>
  </si>
  <si>
    <t>Bunker Certificate 3</t>
  </si>
  <si>
    <t>SELECT TO IDENTIFY REVISED REPORT</t>
  </si>
  <si>
    <t>SELECT IF REPORT WAS REVISED AND WHICH REVISION NUMBER IS TO BE ISSUED</t>
  </si>
  <si>
    <t>Report               Revision               Number</t>
  </si>
  <si>
    <t>Revision Counter</t>
  </si>
  <si>
    <t>List Box 35</t>
  </si>
  <si>
    <t>List Box 17</t>
  </si>
  <si>
    <t>List Box 31</t>
  </si>
  <si>
    <t>MULTI-POINT INTERPOLATION TOOL</t>
  </si>
  <si>
    <t xml:space="preserve"> EST. CONSUMPTION</t>
  </si>
  <si>
    <t xml:space="preserve"> TOTAL TIME OF CARGO</t>
  </si>
  <si>
    <t>ESTIMATED CONSUMPTION TOOL</t>
  </si>
  <si>
    <t xml:space="preserve"> PER TANK AVERAGE</t>
  </si>
  <si>
    <t xml:space="preserve"> VOLUMETRIC AVERAGE</t>
  </si>
  <si>
    <t xml:space="preserve"> HOURS</t>
  </si>
  <si>
    <t xml:space="preserve"> MT</t>
  </si>
  <si>
    <t xml:space="preserve"> °C</t>
  </si>
  <si>
    <t>AVERAGE ARRIVAL TEMPERATURE</t>
  </si>
  <si>
    <t>AVERAGE DEPARTURE TEMPERATURE</t>
  </si>
  <si>
    <t xml:space="preserve"> Ref #</t>
  </si>
  <si>
    <t xml:space="preserve"> AVG CONS. AT ANCH.</t>
  </si>
  <si>
    <t>Barge Measurements 3</t>
  </si>
  <si>
    <t>Vessel Measurements 3</t>
  </si>
  <si>
    <t>TANK NUMBER</t>
  </si>
  <si>
    <t>SAMPLING POINT</t>
  </si>
  <si>
    <t>SAMPLING METHOD</t>
  </si>
  <si>
    <t>FOR INTERTEK</t>
  </si>
  <si>
    <t xml:space="preserve">Intertek </t>
  </si>
  <si>
    <t>Custody Transfer Meter on board the BUNKER BARGE</t>
  </si>
  <si>
    <t>delivered volume from the BUNKER BARGE</t>
  </si>
  <si>
    <t>received volume on the VESSEL</t>
  </si>
  <si>
    <t xml:space="preserve">  COMSUMPTION AT SEA</t>
  </si>
  <si>
    <t xml:space="preserve">  CONSUMPTION IN PORT</t>
  </si>
  <si>
    <t xml:space="preserve">  CONSUMPTION AT ANCHOR</t>
  </si>
  <si>
    <t xml:space="preserve"> M</t>
  </si>
  <si>
    <t xml:space="preserve"> Ft-In</t>
  </si>
  <si>
    <t xml:space="preserve">  CONSUMED DURING BUNKERS</t>
  </si>
  <si>
    <t xml:space="preserve">  QUANTITY RECEIVED</t>
  </si>
  <si>
    <t xml:space="preserve">  DRAFT FWD</t>
  </si>
  <si>
    <t>GRADE</t>
  </si>
  <si>
    <t>ULLAGE</t>
  </si>
  <si>
    <t>T6B-1980</t>
  </si>
  <si>
    <t>T24B-1980</t>
  </si>
  <si>
    <t>T54B-1980</t>
  </si>
  <si>
    <t>T6B-2004</t>
  </si>
  <si>
    <t>T24B-2004</t>
  </si>
  <si>
    <t>T54B-2004</t>
  </si>
  <si>
    <t>W.C.F.</t>
  </si>
  <si>
    <t>F.W.</t>
  </si>
  <si>
    <t>OBS.</t>
  </si>
  <si>
    <t>CORR.</t>
  </si>
  <si>
    <t>M.T.=</t>
  </si>
  <si>
    <t>G.S.V.=</t>
  </si>
  <si>
    <t>G.O.V.=</t>
  </si>
  <si>
    <t>T.O.V.=</t>
  </si>
  <si>
    <t>T.O.V.</t>
  </si>
  <si>
    <t>F.W. =</t>
  </si>
  <si>
    <t>REF. HT.</t>
  </si>
  <si>
    <t>Gauge Type</t>
  </si>
  <si>
    <t>Gauge UOM</t>
  </si>
  <si>
    <t>Volume UOM</t>
  </si>
  <si>
    <t>VCF Table</t>
  </si>
  <si>
    <t>Temp UOM</t>
  </si>
  <si>
    <t>Dens UOM</t>
  </si>
  <si>
    <t>VCF #</t>
  </si>
  <si>
    <t>Draft UOM</t>
  </si>
  <si>
    <t>Y/N Option</t>
  </si>
  <si>
    <t xml:space="preserve">                  Hide Columns</t>
  </si>
  <si>
    <t>INNAGE</t>
  </si>
  <si>
    <t xml:space="preserve">QUANTITY ON BARGE AT DEPARTURE FROM LAST PORT </t>
  </si>
  <si>
    <t>SAILING FROM LAST PORT</t>
  </si>
  <si>
    <t xml:space="preserve">  QUANTITY MEASURED ON BARGE PRIOR TO TRANFER</t>
  </si>
  <si>
    <t xml:space="preserve">  QUANTITY MEASURED ON BARGE AFTER TRANSFER</t>
  </si>
  <si>
    <t xml:space="preserve">  QUANTITY MEASURED</t>
  </si>
  <si>
    <t>S H I P C A R E   B U N K E R   S U R V E Y   -   V E S S E L   M E A S U R E M E N T S</t>
  </si>
  <si>
    <t>S H I P C A R E   B U N K E R   S U R V E Y   -   B A R G E   M E A S U R E M E N T S</t>
  </si>
  <si>
    <t xml:space="preserve">  TOTAL QUANTITY DELIVERED FOR BUNKER BARGE</t>
  </si>
  <si>
    <t>Calculations</t>
  </si>
  <si>
    <t>for Avg Temp</t>
  </si>
  <si>
    <t>INSPECTOR LEFT BASE</t>
  </si>
  <si>
    <t>INSPECTOR RETURNED TO BASE</t>
  </si>
  <si>
    <t>IMO NUMBER</t>
  </si>
  <si>
    <t>MASTER NAME</t>
  </si>
  <si>
    <t>C/E NAME</t>
  </si>
  <si>
    <t>SELECT THE NUMBER OF GRADES TRANSFERRED</t>
  </si>
  <si>
    <t>Number of Grades Transerred</t>
  </si>
  <si>
    <t>Grade Counter</t>
  </si>
  <si>
    <t>NUMBER OF GRADES TRANSFERRED</t>
  </si>
  <si>
    <t xml:space="preserve"> IMO No.</t>
  </si>
  <si>
    <t xml:space="preserve"> Supplier</t>
  </si>
  <si>
    <t>(please select)</t>
  </si>
  <si>
    <t>A) Bunker Receipt (*)</t>
  </si>
  <si>
    <t>B) Barge Delivery Quantity</t>
  </si>
  <si>
    <t>C) Vessel Received Quantity</t>
  </si>
  <si>
    <t>Difference (C-A)</t>
  </si>
  <si>
    <t>Difference %</t>
  </si>
  <si>
    <t>Intertek ShipCare Bunker report</t>
  </si>
  <si>
    <t>Dear Sir/Madam,</t>
  </si>
  <si>
    <t>INSPECTOR ARRIVED AT PORT</t>
  </si>
  <si>
    <t>INSPECTOR DISEMBARKED</t>
  </si>
  <si>
    <t>ARRIVAL FIGURES</t>
  </si>
  <si>
    <t>Name of Master:</t>
  </si>
  <si>
    <t>Name of Chief Engineer:</t>
  </si>
  <si>
    <t>SURVEYOR REMARKS:</t>
  </si>
  <si>
    <t>S U M M A R Y   R E P O R T</t>
  </si>
  <si>
    <t>A) Log Book Figure</t>
  </si>
  <si>
    <t>B) Surveyor Measured</t>
  </si>
  <si>
    <t>Difference (B-A)</t>
  </si>
  <si>
    <t>SAMPLING DEVICE</t>
  </si>
  <si>
    <t>ITS</t>
  </si>
  <si>
    <t>Date</t>
  </si>
  <si>
    <t>Time</t>
  </si>
  <si>
    <t xml:space="preserve">Summary Report </t>
  </si>
  <si>
    <t>Letter of Protest 1</t>
  </si>
  <si>
    <t>Time Log 1</t>
  </si>
  <si>
    <t>Time Log 2</t>
  </si>
  <si>
    <t>Letter of Protest 2</t>
  </si>
  <si>
    <t>Letter of Protest 3</t>
  </si>
  <si>
    <t>Letter of Protest 4</t>
  </si>
  <si>
    <t>Barge</t>
  </si>
  <si>
    <t>Vessel</t>
  </si>
  <si>
    <t>YOUR REFERENCE</t>
  </si>
  <si>
    <t>LOCAL REF</t>
  </si>
  <si>
    <t>SC REF</t>
  </si>
  <si>
    <t>OTHER (PLEASE ADVISE)</t>
  </si>
  <si>
    <t xml:space="preserve">BUNKER DELIVERY CHECKLIST </t>
  </si>
  <si>
    <t>BEFORE BUNKER DELIVERY</t>
  </si>
  <si>
    <t xml:space="preserve">Was the Barge draft and list verified? </t>
  </si>
  <si>
    <t xml:space="preserve">Was the vessel draft and list verified? </t>
  </si>
  <si>
    <t>Was there any other inspection company in attendance?</t>
  </si>
  <si>
    <t>If affirmative, name of company and Inspector:</t>
  </si>
  <si>
    <t>Did the inspector witness the gauging and temperatures of ALL cargo tanks onboard barge?</t>
  </si>
  <si>
    <t>Did a vessel representative witness all gauging?</t>
  </si>
  <si>
    <t>If affirmative, name and rank:</t>
  </si>
  <si>
    <t>Did the vessel representative contersigned the gauges taken?</t>
  </si>
  <si>
    <t>Did the other Inspection Company representative contersigned the gauges taken?</t>
  </si>
  <si>
    <t>Was the barge fitted with a cubitainer?</t>
  </si>
  <si>
    <t>Was the vessel fitted with a cubitainer?</t>
  </si>
  <si>
    <t>DURING BUNKERING</t>
  </si>
  <si>
    <t>Please indicate where samples were taken</t>
  </si>
  <si>
    <t>Please indicate method of sampling</t>
  </si>
  <si>
    <t>AFTER BUNKER DELIVERY</t>
  </si>
  <si>
    <t xml:space="preserve">Vessel list/trim correction verified? </t>
  </si>
  <si>
    <t>Were the hoses drained or air flushed prior to gauging?</t>
  </si>
  <si>
    <t>Were all samples contersigned by all parties?</t>
  </si>
  <si>
    <t>If  NO, please comment below.</t>
  </si>
  <si>
    <t>In case of a quantity dispute, was the barge re-gauged?</t>
  </si>
  <si>
    <t>Were findings recorded separate?</t>
  </si>
  <si>
    <t>In case of a quantity dispute, did the vessel logged a letter of protest?</t>
  </si>
  <si>
    <t>If affirmative, please comment below.</t>
  </si>
  <si>
    <t>Was any Density/Volume issue corrected and accounted for?</t>
  </si>
  <si>
    <t>Surveyors Comments:</t>
  </si>
  <si>
    <t>Check and record the following details from the tank calibration tables for the vessel &amp; barge:</t>
  </si>
  <si>
    <t>IMO</t>
  </si>
  <si>
    <t>Date of calibration</t>
  </si>
  <si>
    <t>Place of Calibration</t>
  </si>
  <si>
    <t>Checklist 1</t>
  </si>
  <si>
    <t>Checklist 2</t>
  </si>
  <si>
    <t>Checklist 3</t>
  </si>
  <si>
    <t>Terminal/Port</t>
  </si>
  <si>
    <t>Local REF</t>
  </si>
  <si>
    <t>Grade</t>
  </si>
  <si>
    <t xml:space="preserve"> Grade</t>
  </si>
  <si>
    <t>Nominated quantity:</t>
  </si>
  <si>
    <t>Delivered quantity:</t>
  </si>
  <si>
    <t>Instructions</t>
  </si>
  <si>
    <t xml:space="preserve">   • Any cells that are highlighted</t>
  </si>
  <si>
    <t>blue</t>
  </si>
  <si>
    <t>green</t>
  </si>
  <si>
    <t xml:space="preserve">Please review below instructions before attending the survey. If you have any questions or queries please </t>
  </si>
  <si>
    <t>need to be filled out by the surveyor.</t>
  </si>
  <si>
    <t>should automatically complete based on information already input.</t>
  </si>
  <si>
    <t xml:space="preserve">   • When cells are selected they will give information on what information is required.</t>
  </si>
  <si>
    <t>I N S T R U C T I O N S</t>
  </si>
  <si>
    <t xml:space="preserve">   • As soon as possible after job completion send the completed pro-forma invoice that was provided </t>
  </si>
  <si>
    <t xml:space="preserve">     ensuring to provide any supporting receipts.</t>
  </si>
  <si>
    <t>+44 1325 390 180 (UK)</t>
  </si>
  <si>
    <t>+65 6805 4796 (Singapore)</t>
  </si>
  <si>
    <t>+65 8180 4273 (Singapore)</t>
  </si>
  <si>
    <t xml:space="preserve">     with the nomination. This should show all final costs including any additional costs such as launch etc,</t>
  </si>
  <si>
    <t xml:space="preserve">     numbers:</t>
  </si>
  <si>
    <t xml:space="preserve">     all numbers are available 24hrs.</t>
  </si>
  <si>
    <t xml:space="preserve">     Please try and contact either UK or Singapore in their respective daytime hours, however </t>
  </si>
  <si>
    <t xml:space="preserve">     In the event of any discrepancy please try and contact us in real time on one of the following </t>
  </si>
  <si>
    <t xml:space="preserve">     If you do not have any reception, please request to use the vessel's communication systems.</t>
  </si>
  <si>
    <t xml:space="preserve">     If this request is denied please make a comment in the statement of facts.</t>
  </si>
  <si>
    <t>IN THE EVENT OF A DESCREPANCY</t>
  </si>
  <si>
    <t xml:space="preserve">   • Obtain log book figures from the vessel and input this information into the summary report tab.</t>
  </si>
  <si>
    <t>.</t>
  </si>
  <si>
    <t>( VAC )</t>
  </si>
  <si>
    <t>BUNKER RECEIVED TOTALS ( AIR )</t>
  </si>
  <si>
    <t xml:space="preserve">   • Measure and record all grades including non-nominated tanks, please use the additional tank tabs for </t>
  </si>
  <si>
    <t xml:space="preserve">     any additional barge or vessel tanks. </t>
  </si>
  <si>
    <t>BUNKER DELIVERED TOTALS ( AIR )</t>
  </si>
  <si>
    <r>
      <t>Sludge (m</t>
    </r>
    <r>
      <rPr>
        <b/>
        <vertAlign val="superscript"/>
        <sz val="8"/>
        <color indexed="8"/>
        <rFont val="Calibri"/>
        <family val="2"/>
      </rPr>
      <t>3</t>
    </r>
    <r>
      <rPr>
        <b/>
        <sz val="8"/>
        <color indexed="8"/>
        <rFont val="Calibri"/>
        <family val="2"/>
      </rPr>
      <t>)</t>
    </r>
  </si>
  <si>
    <r>
      <t>Vol. @ 15°C          ( m</t>
    </r>
    <r>
      <rPr>
        <b/>
        <vertAlign val="superscript"/>
        <sz val="10"/>
        <rFont val="Calibri"/>
        <family val="2"/>
      </rPr>
      <t>3</t>
    </r>
    <r>
      <rPr>
        <b/>
        <sz val="10"/>
        <rFont val="Calibri"/>
        <family val="2"/>
      </rPr>
      <t xml:space="preserve"> )</t>
    </r>
  </si>
  <si>
    <r>
      <t xml:space="preserve">Did you witness the gauging and temperatures of </t>
    </r>
    <r>
      <rPr>
        <b/>
        <sz val="10"/>
        <color indexed="8"/>
        <rFont val="Calibri"/>
        <family val="2"/>
      </rPr>
      <t>ALL</t>
    </r>
    <r>
      <rPr>
        <sz val="10"/>
        <color indexed="8"/>
        <rFont val="Calibri"/>
        <family val="2"/>
      </rPr>
      <t xml:space="preserve"> cargo tanks onboard barge?</t>
    </r>
  </si>
  <si>
    <r>
      <t xml:space="preserve">Did you witness the gauging and temperatures of </t>
    </r>
    <r>
      <rPr>
        <b/>
        <sz val="10"/>
        <color indexed="8"/>
        <rFont val="Calibri"/>
        <family val="2"/>
      </rPr>
      <t>ALL</t>
    </r>
    <r>
      <rPr>
        <sz val="10"/>
        <color indexed="8"/>
        <rFont val="Calibri"/>
        <family val="2"/>
      </rPr>
      <t xml:space="preserve"> cargo tanks onboard the vessel?</t>
    </r>
  </si>
  <si>
    <t>Vol. @ 15°C           ( m³ )</t>
  </si>
  <si>
    <t>Vol. @ 15°C          ( m3 )</t>
  </si>
  <si>
    <t>The Chief Engineer is advised not to carry out any internal transfer during the entire bunkering operation.</t>
  </si>
  <si>
    <t>INTERNAL TRANSFER OF BUNKERS</t>
  </si>
  <si>
    <t>SIGNING OF DOCUMENTS</t>
  </si>
  <si>
    <t>The samples collected will be subsequently sealed, labelled and distributed accordingly.</t>
  </si>
  <si>
    <t>The attending bunker surveyor will be witnessing and supervising the collection of the representative samples during the bunkering operations. The sampling shall be carried out on the vessel's bunker manifold as per the requirements set out in Singapore Standard SS 600 Code of Practice for Bunkering (latest edition).</t>
  </si>
  <si>
    <t>Hence, it is recommended that you could arrange for one of your engineers or representatives to accompany the bunker surveyor together with the bunker tanker's representatives to witness the gauging and inspection of the bunker tanker. The representation of all parties concerned is important to avoid disputes at a later stage and to verify findings that will be used for determining the quantities delivered.</t>
  </si>
  <si>
    <t>to conduct a survey of the bunker to be delivered to the ship.</t>
  </si>
  <si>
    <t>I / We* have been appointed by Messrs.</t>
  </si>
  <si>
    <t>at location</t>
  </si>
  <si>
    <t>To: The Chief Engineer of M.V.</t>
  </si>
  <si>
    <t>PART I: PRE-DELIVERY DECLARATION</t>
  </si>
  <si>
    <t>Date:</t>
  </si>
  <si>
    <t>Dear Sir,</t>
  </si>
  <si>
    <t>Tank No. / Compartment</t>
  </si>
  <si>
    <t>Declared before bunkering</t>
  </si>
  <si>
    <t>Remarks</t>
  </si>
  <si>
    <t>Declaration made by:</t>
  </si>
  <si>
    <t>Contents</t>
  </si>
  <si>
    <t>Fore peak tank</t>
  </si>
  <si>
    <t>Aft peak tank</t>
  </si>
  <si>
    <t>Cofferdam</t>
  </si>
  <si>
    <t>*Acknowledged with/without inspection by:</t>
  </si>
  <si>
    <t>Engine fuel tank</t>
  </si>
  <si>
    <t>Ballast tank</t>
  </si>
  <si>
    <t>Double bottom tank</t>
  </si>
  <si>
    <t>(To be completed only in the event of a quantity dispute)</t>
  </si>
  <si>
    <t>The following tanks/compartments were inspected:</t>
  </si>
  <si>
    <t>Verified by:</t>
  </si>
  <si>
    <t>Comments:</t>
  </si>
  <si>
    <t>Time:</t>
  </si>
  <si>
    <t>P R E - S U R V E Y   V E S S E L   A C K N O W L E D G E M E N T</t>
  </si>
  <si>
    <t>ACKNOWLEDGED BY:</t>
  </si>
  <si>
    <t>SIGNATURE OF CHIEF ENGINEER</t>
  </si>
  <si>
    <t>SIGNATURE OF BUNKER SURVEYOR</t>
  </si>
  <si>
    <t>BUNKER SURVEY</t>
  </si>
  <si>
    <t>with the bunker tanker's representatives to witness the gauging and inspection of the bunker tanker. The representation of all parties concerned is important to avoid disputes at a later stage and to verify findings that will be used for determining the quantities delivered.</t>
  </si>
  <si>
    <t>concerned is important to avoid disputes at a later stage and to verify findings that will be used for determining the quantities delivered.</t>
  </si>
  <si>
    <t>SAMPLING</t>
  </si>
  <si>
    <t xml:space="preserve">Please note that the attending bunker surveyor will be carrying out the survey as set out in Singapore Standard SS 600 Code of </t>
  </si>
  <si>
    <t>practice for bunkering (latest edition). This will enable us to determine the quantities received by the ship.</t>
  </si>
  <si>
    <t>operations. The sampling shall be carried out on the vessel's bunker manifold as per the requirements set out in Singapore Standard</t>
  </si>
  <si>
    <t>SS 600 Code of Practice for Bunkering (latest edition).</t>
  </si>
  <si>
    <t xml:space="preserve">The Chief Engineer is advised not to pre-sign any document relating to the bunkering operation until the contents corresponding to </t>
  </si>
  <si>
    <t>the job have been satisfactorily completed.</t>
  </si>
  <si>
    <t>Pre-Survey Vessel Acknowledgement</t>
  </si>
  <si>
    <t>INSPECTOR LICENCE NO</t>
  </si>
  <si>
    <t xml:space="preserve">N O N - C A R G O   T A N K   D E C L A R A T I O N / I N S P E C T I O N   F O R M   </t>
  </si>
  <si>
    <t>Non-Cargo Tank Declaration 1</t>
  </si>
  <si>
    <t>Name of Bunker Tanker:</t>
  </si>
  <si>
    <t>SB No:</t>
  </si>
  <si>
    <t xml:space="preserve">           We hereby declare the pre-bunkering gaugings and contents of the non-cargo tanks on our bunker tanker as stated below. You</t>
  </si>
  <si>
    <t>are invited to inspect the declared haugings and contents.</t>
  </si>
  <si>
    <t>Gauge</t>
  </si>
  <si>
    <t>Volume</t>
  </si>
  <si>
    <t>(                )</t>
  </si>
  <si>
    <t>Name in Full (Block Letters):</t>
  </si>
  <si>
    <t>Signature of Cargo Officer &amp; bunker tanker's stamp</t>
  </si>
  <si>
    <t>Signature of Chief Engineer &amp; vessel's stamp</t>
  </si>
  <si>
    <t>Signature of bunker surveyor</t>
  </si>
  <si>
    <t>Licence no:</t>
  </si>
  <si>
    <t>PART 2: TANK INSPECTION/GAUGING</t>
  </si>
  <si>
    <t>RECEIVING VESSEL</t>
  </si>
  <si>
    <t>DELIVERY BARGE</t>
  </si>
  <si>
    <t>CALIBRATION TABLES BY</t>
  </si>
  <si>
    <t>DATE OF CALIBRATION</t>
  </si>
  <si>
    <t>SOUNDING TAPE SERIAL #</t>
  </si>
  <si>
    <t>THERMOMETER SERIAL #</t>
  </si>
  <si>
    <t>SEA CONDITION</t>
  </si>
  <si>
    <t xml:space="preserve">  DRAFT AFT</t>
  </si>
  <si>
    <t>TRIM</t>
  </si>
  <si>
    <t>LIST</t>
  </si>
  <si>
    <t>CALM</t>
  </si>
  <si>
    <t>SLIGHT</t>
  </si>
  <si>
    <t>ROUGH</t>
  </si>
  <si>
    <t>°P</t>
  </si>
  <si>
    <t>°S</t>
  </si>
  <si>
    <t>TRIM CORRECTION APPLIED ON ARRIVAL</t>
  </si>
  <si>
    <t>LIST CORRECTION APPLIED ON ARRIVAL</t>
  </si>
  <si>
    <t>LIST CORRECTION APPLIED ON DEPARTURE</t>
  </si>
  <si>
    <t>SUPPLIER'S DENSITY / A.P.I.</t>
  </si>
  <si>
    <t>TOTAL GROSS STANDARD VOLUME RECEIVED</t>
  </si>
  <si>
    <t>W.C.F. (TABLE 56)</t>
  </si>
  <si>
    <t>METRIC TONS (IN AIR)</t>
  </si>
  <si>
    <t>REMARKS</t>
  </si>
  <si>
    <t>FOR OFFICIAL USE ONLY</t>
  </si>
  <si>
    <t>LABORATORY DENSITY / A.P.I.</t>
  </si>
  <si>
    <t>MODERATE</t>
  </si>
  <si>
    <t>DRIP SAMPLING CONTAINER SEAL #</t>
  </si>
  <si>
    <t>4.  METER READING</t>
  </si>
  <si>
    <t>NEEDLE VALVE SEAL #</t>
  </si>
  <si>
    <t>TANK NO</t>
  </si>
  <si>
    <t>TEMP °C</t>
  </si>
  <si>
    <t>OPENING</t>
  </si>
  <si>
    <t>CLOSING</t>
  </si>
  <si>
    <t>GSV</t>
  </si>
  <si>
    <t>M³</t>
  </si>
  <si>
    <t>READING</t>
  </si>
  <si>
    <t>@ 15°C</t>
  </si>
  <si>
    <t>SUPPLIER'S DENSITY @15 °C</t>
  </si>
  <si>
    <t>TOTAL GROSS STANDARD VOLUME DELIVERED</t>
  </si>
  <si>
    <t>SUFFICIENT TANK SPACE FOR LINE-CLEARING</t>
  </si>
  <si>
    <t>METRES</t>
  </si>
  <si>
    <t>feel free to contact us at shipcare.results@intertek.com</t>
  </si>
  <si>
    <t>IS THIS SURVEY OCCURING IN SINGAPORE AND NEEDS TO BE SS:600 OR TR:48 COMPLIANT</t>
  </si>
  <si>
    <t>SELECT WHETHER OR NOT THIS SURVEY IS OCCURING IN SINGAPORE</t>
  </si>
  <si>
    <t>Survey in Singapore?</t>
  </si>
  <si>
    <t>Singapore</t>
  </si>
  <si>
    <t xml:space="preserve">   • In the data entry tab, please select the number of grades delivered, time logs, letter of protest pages that are</t>
  </si>
  <si>
    <t xml:space="preserve">     required.</t>
  </si>
  <si>
    <t>S T A T E M E N T   O F   F A C T S</t>
  </si>
  <si>
    <t xml:space="preserve">   • Ensure a time log and checklist for each grade is completed.</t>
  </si>
  <si>
    <t xml:space="preserve">   • When report is complete please ensure that it is sent as soon as possible to shipcare.results@intertek.com</t>
  </si>
  <si>
    <t xml:space="preserve">      Please ensure to include the excel report, a copy of the BDN and a scanned copy of the  signed and </t>
  </si>
  <si>
    <t xml:space="preserve">      stamped field report. </t>
  </si>
  <si>
    <t>Vessel Measurements (additional tanks)</t>
  </si>
  <si>
    <t>Barge Measurements (additional tanks)</t>
  </si>
  <si>
    <t>TRIM CORRECTION APPLIED ON DEPARTURE</t>
  </si>
  <si>
    <t>TERMINAL or LOCATION</t>
  </si>
  <si>
    <t>Statement of Facts 1</t>
  </si>
  <si>
    <t>Statement of Facts 2</t>
  </si>
  <si>
    <t>Statement of Facts 3</t>
  </si>
  <si>
    <t>Drop Down 613</t>
  </si>
  <si>
    <t>1. TIMES</t>
  </si>
  <si>
    <t>COMMECED BUNKERING OPERATIONS</t>
  </si>
  <si>
    <t>Time Log 3</t>
  </si>
  <si>
    <t xml:space="preserve">   • Record the sample seals for each grade in the sample distribution tabs. For each sample request that it is </t>
  </si>
  <si>
    <t xml:space="preserve">      note of this in the statement of facts.</t>
  </si>
  <si>
    <t xml:space="preserve">      witnessed and countersealed by the surveyor, the vessel and the supplier. If this is refused please make a </t>
  </si>
  <si>
    <t>S H I P C A R E   B U N K E R   S U R V E Y   -   S A M P L E   R E C E I P T</t>
  </si>
  <si>
    <t>1. SAMPLING INFORMATION</t>
  </si>
  <si>
    <t>MANIFOLD SEAL</t>
  </si>
  <si>
    <t>QUANTITY</t>
  </si>
  <si>
    <t>BEFORE</t>
  </si>
  <si>
    <t>DURING</t>
  </si>
  <si>
    <t>AFTER</t>
  </si>
  <si>
    <t>SUPPLIER</t>
  </si>
  <si>
    <t>2. SAMPLE DISTRIBUTION AND SEAL DOCUMENTATION</t>
  </si>
  <si>
    <t>VESSEL'S SENT FOR ANALYSIS</t>
  </si>
  <si>
    <t>SUPPLIER RETAINED</t>
  </si>
  <si>
    <t xml:space="preserve">VESSEL RETAINED </t>
  </si>
  <si>
    <t>MARPOL</t>
  </si>
  <si>
    <t>ITS SURVEYOR                                (90 DAY RETENTION)</t>
  </si>
  <si>
    <t>ITS SURVEYOR SENT FOR ANALYSIS</t>
  </si>
  <si>
    <t>SUPPLIER / BARGE / BDN</t>
  </si>
  <si>
    <t>3. ADDITIONAL INFORMATION AND COMMENTS</t>
  </si>
  <si>
    <t>Sample Distribution 3</t>
  </si>
  <si>
    <t>Sample Distribution 2</t>
  </si>
  <si>
    <t>Sample Distribution 1</t>
  </si>
  <si>
    <t>GOV BEFORE BUNKERING</t>
  </si>
  <si>
    <t>GOV AFTER BUNKERING</t>
  </si>
  <si>
    <t>DENSITY STATED BY C/E</t>
  </si>
  <si>
    <t>DENSITY STATED BY BARGE</t>
  </si>
  <si>
    <t>WEIGHTED AVG DENSITY</t>
  </si>
  <si>
    <t>WEIGHTED AVERAGE DENSITY</t>
  </si>
  <si>
    <t>g/cm³</t>
  </si>
  <si>
    <t xml:space="preserve">   • Make sure to fill out times for all events especially surveyor left base and surveyor return to base times, </t>
  </si>
  <si>
    <t xml:space="preserve">      have the vessel crew sign this as supporting evidence for our attendance on board.     </t>
  </si>
  <si>
    <t>VESSEL CONSUMPTION RATES (PER DAY)</t>
  </si>
  <si>
    <t>WE, THE UNDERSIGNED, HEREBY CERTIFY THAT THE ABOVE MENTIONED ARE TRUE AND CORRECT.</t>
  </si>
  <si>
    <t xml:space="preserve">   • The surveyor must use their own calibrated guaging tape and thermometer when guaging the delivery barge</t>
  </si>
  <si>
    <t xml:space="preserve">     and receiving vessel.</t>
  </si>
  <si>
    <t>Vessel Manifold</t>
  </si>
  <si>
    <t>Barge Manifold</t>
  </si>
  <si>
    <t>N/A</t>
  </si>
  <si>
    <t>vessel manifold</t>
  </si>
  <si>
    <t>Cubitainer</t>
  </si>
  <si>
    <t>VLSFO (MT)</t>
  </si>
  <si>
    <t>ULSGO (MT)</t>
  </si>
  <si>
    <t>1S/2P/2S</t>
  </si>
  <si>
    <t>1P/S,5P/S</t>
  </si>
  <si>
    <t>ON FILE</t>
  </si>
  <si>
    <t>COMMENCED BUNKERING OPERATIONS</t>
  </si>
  <si>
    <t>Contionuous drip</t>
  </si>
  <si>
    <t>barge manifold</t>
  </si>
  <si>
    <t>Continuous Drip</t>
  </si>
  <si>
    <t>LINTEC REF #</t>
  </si>
  <si>
    <t>Intertek Lintec Bunker report</t>
  </si>
  <si>
    <t>HSFO (MT)</t>
  </si>
  <si>
    <t>ULSFO (MT)</t>
  </si>
  <si>
    <t>I N T E R T E K  L I N T E C   B U N K E R   S U R V E Y   -   V E S S E L   M E A S U R E M E N T S</t>
  </si>
  <si>
    <t>I N T E R T E K  L I N T E C   B U N K E R   S U R V E Y   -   B A R G E   M E A S U R E M E N T S</t>
  </si>
  <si>
    <t>I N T E R T E K  L I N T E C   B U N K E R   S U R V E Y    -   S A M P L E   R E C E I P T</t>
  </si>
  <si>
    <t xml:space="preserve">             I N T E R T E K  L I N T E C   B U N K E R   S U R V E Y   B U N K E R   S U R V E Y   -   S A M P L E   R E C E I P T</t>
  </si>
  <si>
    <t xml:space="preserve">                           I N T E R T E K  L I N T E C   B U N K E R   S U R V E Y    -   V E S S E L   M E A S U R E M E N T S   ( A D D I T I O N A L   T A N K S )</t>
  </si>
  <si>
    <t>I N T E R T E K  L I N T E C   B U N K E R   S U R V E Y  -   B A R G E   M E A S U R E M E N T S   ( A D D I T I O N A L  T A N K S )</t>
  </si>
  <si>
    <t>LTS-CUS-F-01 rev 2.0</t>
  </si>
  <si>
    <t>LSMGO</t>
  </si>
  <si>
    <t>İSTANBUL</t>
  </si>
  <si>
    <t>ANCHORAGE AREA</t>
  </si>
  <si>
    <t>MEHMET EROĞLU</t>
  </si>
  <si>
    <t>SC17124</t>
  </si>
  <si>
    <t>C.F.PETERS - BARGTEHEIDE</t>
  </si>
  <si>
    <t>H-13942</t>
  </si>
  <si>
    <t>SM-11</t>
  </si>
  <si>
    <t>M. EREĞLİ / TURKEY</t>
  </si>
  <si>
    <t>HFO STOR 1P</t>
  </si>
  <si>
    <t>HFO STOR 2S</t>
  </si>
  <si>
    <t>SETTLING 1P</t>
  </si>
  <si>
    <t>SETTLING 2P</t>
  </si>
  <si>
    <t>HFO DAY TK</t>
  </si>
  <si>
    <t>OVERFLOW</t>
  </si>
  <si>
    <t>MDO STOR 1P</t>
  </si>
  <si>
    <t>MDO STOR 2S</t>
  </si>
  <si>
    <t>MDO DAY 1</t>
  </si>
  <si>
    <t>MDO DAY 2</t>
  </si>
  <si>
    <t>400,000 MTON(AIR)</t>
  </si>
  <si>
    <t>Barge/Supplier did not counterseal vessel samples</t>
  </si>
  <si>
    <t>BDN samples were not double sealed by both parties</t>
  </si>
  <si>
    <t>Barge/Supplier did not include vessel seal numbers in the BDN</t>
  </si>
  <si>
    <t>DERINCE / TURKEY</t>
  </si>
  <si>
    <t>3P</t>
  </si>
  <si>
    <t>3S</t>
  </si>
  <si>
    <t>4P</t>
  </si>
  <si>
    <t>4S</t>
  </si>
  <si>
    <t>5P</t>
  </si>
  <si>
    <t>5S</t>
  </si>
  <si>
    <t>6P</t>
  </si>
  <si>
    <t>6S</t>
  </si>
  <si>
    <t>18:00</t>
  </si>
  <si>
    <t>GEMİ MÜHENDİSLERİ ODASI</t>
  </si>
  <si>
    <t>8315669</t>
  </si>
  <si>
    <t>HFO STOR 1P/2S</t>
  </si>
  <si>
    <t>3-4-5-6(P/S)</t>
  </si>
  <si>
    <t>A 1318074</t>
  </si>
  <si>
    <t>A 1318071</t>
  </si>
  <si>
    <t>A 1318072</t>
  </si>
  <si>
    <t>A 1318073</t>
  </si>
  <si>
    <t>12577357</t>
  </si>
  <si>
    <t>12577358 - 59</t>
  </si>
  <si>
    <t>600821</t>
  </si>
  <si>
    <t>600822</t>
  </si>
  <si>
    <t>600823 - 600824</t>
  </si>
  <si>
    <t>Bunker barge did not adhere to vessel's sampling procedure.</t>
  </si>
  <si>
    <t>Bunker barge refused to take vessel's sample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</si>
</sst>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
    <numFmt numFmtId="166" formatCode="[$-409]d\-mmm\-yyyy;@"/>
    <numFmt numFmtId="167" formatCode="0.0000"/>
    <numFmt numFmtId="168" formatCode="0.00000"/>
    <numFmt numFmtId="169" formatCode="[$-F400]h:mm:ss\ AM/PM"/>
    <numFmt numFmtId="170" formatCode="dd/mm/yyyy;@"/>
    <numFmt numFmtId="171" formatCode="_([$€-2]* #,##0.00_);_([$€-2]* \(#,##0.00\);_([$€-2]* &quot;-&quot;??_)"/>
    <numFmt numFmtId="172" formatCode="#0\'\-"/>
    <numFmt numFmtId="173" formatCode="#0\ ??/??"/>
    <numFmt numFmtId="174" formatCode="dd/mmm/yyyy"/>
    <numFmt numFmtId="175" formatCode="dd\-mmm\-yyyy"/>
    <numFmt numFmtId="176" formatCode="[$-409]d\-mmm\-yy;@"/>
  </numFmts>
  <fonts count="77" x14ac:knownFonts="1">
    <font>
      <sz val="10"/>
      <name val="Arial"/>
    </font>
    <font>
      <sz val="11"/>
      <color theme="1"/>
      <name val="Calibri"/>
      <family val="2"/>
      <scheme val="minor"/>
    </font>
    <font>
      <sz val="8"/>
      <name val="Arial"/>
      <family val="2"/>
    </font>
    <font>
      <u/>
      <sz val="10"/>
      <color indexed="12"/>
      <name val="Arial"/>
      <family val="2"/>
    </font>
    <font>
      <sz val="12"/>
      <name val="바탕체"/>
      <family val="3"/>
      <charset val="129"/>
    </font>
    <font>
      <sz val="10"/>
      <name val="Arial"/>
      <family val="2"/>
    </font>
    <font>
      <sz val="11"/>
      <color indexed="8"/>
      <name val="Calibri"/>
      <family val="2"/>
    </font>
    <font>
      <sz val="11"/>
      <color indexed="9"/>
      <name val="Calibri"/>
      <family val="2"/>
    </font>
    <font>
      <sz val="11"/>
      <color indexed="20"/>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b/>
      <sz val="11"/>
      <color indexed="63"/>
      <name val="Calibri"/>
      <family val="2"/>
    </font>
    <font>
      <sz val="11"/>
      <color indexed="10"/>
      <name val="Calibri"/>
      <family val="2"/>
    </font>
    <font>
      <sz val="11"/>
      <name val="Times New Roman"/>
      <family val="1"/>
    </font>
    <font>
      <sz val="10"/>
      <name val="Arial"/>
      <family val="2"/>
    </font>
    <font>
      <b/>
      <sz val="11"/>
      <color indexed="10"/>
      <name val="Calibri"/>
      <family val="2"/>
    </font>
    <font>
      <b/>
      <sz val="11"/>
      <color indexed="62"/>
      <name val="Calibri"/>
      <family val="2"/>
    </font>
    <font>
      <sz val="10"/>
      <name val="Courier"/>
      <family val="3"/>
    </font>
    <font>
      <b/>
      <sz val="18"/>
      <color indexed="62"/>
      <name val="Cambria"/>
      <family val="2"/>
    </font>
    <font>
      <b/>
      <sz val="15"/>
      <color indexed="62"/>
      <name val="Calibri"/>
      <family val="2"/>
    </font>
    <font>
      <b/>
      <sz val="13"/>
      <color indexed="62"/>
      <name val="Calibri"/>
      <family val="2"/>
    </font>
    <font>
      <b/>
      <sz val="11"/>
      <color indexed="8"/>
      <name val="Calibri"/>
      <family val="2"/>
    </font>
    <font>
      <u/>
      <sz val="10"/>
      <color indexed="12"/>
      <name val="Arial"/>
      <family val="2"/>
    </font>
    <font>
      <sz val="11"/>
      <color indexed="19"/>
      <name val="Calibri"/>
      <family val="2"/>
    </font>
    <font>
      <sz val="10"/>
      <name val="Helv"/>
    </font>
    <font>
      <u/>
      <sz val="11"/>
      <color indexed="12"/>
      <name val="Times New Roman"/>
      <family val="1"/>
    </font>
    <font>
      <sz val="11"/>
      <name val="Times New Roman"/>
      <family val="1"/>
    </font>
    <font>
      <sz val="10"/>
      <name val="Courier"/>
      <family val="3"/>
    </font>
    <font>
      <b/>
      <sz val="8"/>
      <color indexed="8"/>
      <name val="Calibri"/>
      <family val="2"/>
    </font>
    <font>
      <b/>
      <vertAlign val="superscript"/>
      <sz val="8"/>
      <color indexed="8"/>
      <name val="Calibri"/>
      <family val="2"/>
    </font>
    <font>
      <b/>
      <sz val="10"/>
      <name val="Calibri"/>
      <family val="2"/>
    </font>
    <font>
      <b/>
      <vertAlign val="superscript"/>
      <sz val="10"/>
      <name val="Calibri"/>
      <family val="2"/>
    </font>
    <font>
      <b/>
      <sz val="10"/>
      <color indexed="8"/>
      <name val="Calibri"/>
      <family val="2"/>
    </font>
    <font>
      <sz val="10"/>
      <color indexed="8"/>
      <name val="Calibri"/>
      <family val="2"/>
    </font>
    <font>
      <sz val="11"/>
      <name val="돋움"/>
      <family val="3"/>
      <charset val="129"/>
    </font>
    <font>
      <sz val="8"/>
      <name val="Calibri"/>
      <family val="2"/>
      <scheme val="minor"/>
    </font>
    <font>
      <sz val="16"/>
      <name val="Calibri"/>
      <family val="2"/>
      <scheme val="minor"/>
    </font>
    <font>
      <vertAlign val="superscript"/>
      <sz val="8"/>
      <name val="Calibri"/>
      <family val="2"/>
      <scheme val="minor"/>
    </font>
    <font>
      <b/>
      <sz val="10"/>
      <name val="Calibri"/>
      <family val="2"/>
      <scheme val="minor"/>
    </font>
    <font>
      <sz val="11"/>
      <color indexed="8"/>
      <name val="Calibri"/>
      <family val="2"/>
      <scheme val="minor"/>
    </font>
    <font>
      <sz val="8"/>
      <color indexed="8"/>
      <name val="Calibri"/>
      <family val="2"/>
      <scheme val="minor"/>
    </font>
    <font>
      <b/>
      <sz val="10"/>
      <color indexed="8"/>
      <name val="Calibri"/>
      <family val="2"/>
      <scheme val="minor"/>
    </font>
    <font>
      <sz val="10"/>
      <color indexed="8"/>
      <name val="Calibri"/>
      <family val="2"/>
      <scheme val="minor"/>
    </font>
    <font>
      <b/>
      <sz val="8"/>
      <color indexed="8"/>
      <name val="Calibri"/>
      <family val="2"/>
      <scheme val="minor"/>
    </font>
    <font>
      <sz val="9"/>
      <color indexed="8"/>
      <name val="Calibri"/>
      <family val="2"/>
      <scheme val="minor"/>
    </font>
    <font>
      <sz val="6"/>
      <color rgb="FF0000FF"/>
      <name val="Calibri"/>
      <family val="2"/>
      <scheme val="minor"/>
    </font>
    <font>
      <sz val="8"/>
      <color indexed="12"/>
      <name val="Calibri"/>
      <family val="2"/>
      <scheme val="minor"/>
    </font>
    <font>
      <sz val="6"/>
      <name val="Calibri"/>
      <family val="2"/>
      <scheme val="minor"/>
    </font>
    <font>
      <b/>
      <u/>
      <sz val="10"/>
      <name val="Calibri"/>
      <family val="2"/>
      <scheme val="minor"/>
    </font>
    <font>
      <b/>
      <sz val="8"/>
      <name val="Calibri"/>
      <family val="2"/>
      <scheme val="minor"/>
    </font>
    <font>
      <sz val="10"/>
      <name val="Calibri"/>
      <family val="2"/>
      <scheme val="minor"/>
    </font>
    <font>
      <sz val="6"/>
      <color indexed="12"/>
      <name val="Calibri"/>
      <family val="2"/>
      <scheme val="minor"/>
    </font>
    <font>
      <sz val="10"/>
      <color rgb="FFFF0000"/>
      <name val="Calibri"/>
      <family val="2"/>
      <scheme val="minor"/>
    </font>
    <font>
      <b/>
      <sz val="10"/>
      <color rgb="FFFF0000"/>
      <name val="Calibri"/>
      <family val="2"/>
      <scheme val="minor"/>
    </font>
    <font>
      <b/>
      <u/>
      <sz val="10"/>
      <color rgb="FFFF0000"/>
      <name val="Calibri"/>
      <family val="2"/>
      <scheme val="minor"/>
    </font>
    <font>
      <b/>
      <sz val="18"/>
      <name val="Calibri"/>
      <family val="2"/>
      <scheme val="minor"/>
    </font>
    <font>
      <b/>
      <u/>
      <sz val="10"/>
      <color indexed="8"/>
      <name val="Calibri"/>
      <family val="2"/>
      <scheme val="minor"/>
    </font>
    <font>
      <sz val="8"/>
      <color theme="0"/>
      <name val="Calibri"/>
      <family val="2"/>
      <scheme val="minor"/>
    </font>
    <font>
      <b/>
      <sz val="12"/>
      <name val="Calibri"/>
      <family val="2"/>
      <scheme val="minor"/>
    </font>
    <font>
      <b/>
      <sz val="10"/>
      <color indexed="12"/>
      <name val="Calibri"/>
      <family val="2"/>
      <scheme val="minor"/>
    </font>
    <font>
      <b/>
      <sz val="12"/>
      <color indexed="12"/>
      <name val="Calibri"/>
      <family val="2"/>
      <scheme val="minor"/>
    </font>
    <font>
      <sz val="8"/>
      <color theme="1"/>
      <name val="Calibri"/>
      <family val="2"/>
      <scheme val="minor"/>
    </font>
    <font>
      <sz val="8"/>
      <color rgb="FF0000FF"/>
      <name val="Calibri"/>
      <family val="2"/>
      <scheme val="minor"/>
    </font>
    <font>
      <sz val="6"/>
      <color indexed="8"/>
      <name val="Calibri"/>
      <family val="2"/>
      <scheme val="minor"/>
    </font>
    <font>
      <b/>
      <sz val="6"/>
      <color indexed="8"/>
      <name val="Calibri"/>
      <family val="2"/>
      <scheme val="minor"/>
    </font>
    <font>
      <sz val="72"/>
      <color indexed="8"/>
      <name val="Calibri"/>
      <family val="2"/>
      <scheme val="minor"/>
    </font>
    <font>
      <b/>
      <u/>
      <sz val="16"/>
      <color indexed="8"/>
      <name val="Calibri"/>
      <family val="2"/>
      <scheme val="minor"/>
    </font>
    <font>
      <b/>
      <sz val="16"/>
      <color rgb="FF000000"/>
      <name val="Calibri"/>
      <family val="2"/>
    </font>
    <font>
      <b/>
      <sz val="12"/>
      <color rgb="FF000000"/>
      <name val="Calibri"/>
      <family val="2"/>
    </font>
    <font>
      <b/>
      <sz val="12"/>
      <color rgb="FF000000"/>
      <name val="Arial"/>
      <family val="2"/>
    </font>
    <font>
      <sz val="8"/>
      <color rgb="FF000000"/>
      <name val="Tahoma"/>
      <family val="2"/>
    </font>
    <font>
      <b/>
      <sz val="16"/>
      <color rgb="FF000000"/>
      <name val="Arial"/>
      <family val="2"/>
    </font>
    <font>
      <b/>
      <sz val="8"/>
      <color theme="1"/>
      <name val="Calibri"/>
      <family val="2"/>
      <scheme val="minor"/>
    </font>
    <font>
      <u/>
      <sz val="8"/>
      <color indexed="12"/>
      <name val="Calibri"/>
      <family val="2"/>
      <scheme val="minor"/>
    </font>
    <font>
      <b/>
      <sz val="8"/>
      <color indexed="12"/>
      <name val="Calibri"/>
      <family val="2"/>
      <scheme val="minor"/>
    </font>
  </fonts>
  <fills count="22">
    <fill>
      <patternFill patternType="none"/>
    </fill>
    <fill>
      <patternFill patternType="gray125"/>
    </fill>
    <fill>
      <patternFill patternType="solid">
        <fgColor indexed="45"/>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51"/>
      </patternFill>
    </fill>
    <fill>
      <patternFill patternType="solid">
        <fgColor indexed="43"/>
      </patternFill>
    </fill>
    <fill>
      <patternFill patternType="solid">
        <fgColor indexed="49"/>
      </patternFill>
    </fill>
    <fill>
      <patternFill patternType="solid">
        <fgColor indexed="53"/>
      </patternFill>
    </fill>
    <fill>
      <patternFill patternType="solid">
        <fgColor indexed="10"/>
      </patternFill>
    </fill>
    <fill>
      <patternFill patternType="solid">
        <fgColor indexed="9"/>
      </patternFill>
    </fill>
    <fill>
      <patternFill patternType="solid">
        <fgColor indexed="55"/>
      </patternFill>
    </fill>
    <fill>
      <patternFill patternType="solid">
        <fgColor indexed="56"/>
      </patternFill>
    </fill>
    <fill>
      <patternFill patternType="solid">
        <fgColor indexed="54"/>
      </patternFill>
    </fill>
    <fill>
      <patternFill patternType="solid">
        <fgColor indexed="41"/>
        <bgColor indexed="64"/>
      </patternFill>
    </fill>
    <fill>
      <patternFill patternType="solid">
        <fgColor indexed="13"/>
        <bgColor indexed="64"/>
      </patternFill>
    </fill>
    <fill>
      <patternFill patternType="solid">
        <fgColor rgb="FF99FFCC"/>
        <bgColor indexed="64"/>
      </patternFill>
    </fill>
    <fill>
      <patternFill patternType="solid">
        <fgColor rgb="FFCCCCFF"/>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64"/>
      </left>
      <right/>
      <top style="thin">
        <color indexed="64"/>
      </top>
      <bottom style="dashDotDot">
        <color theme="0" tint="-0.14999847407452621"/>
      </bottom>
      <diagonal/>
    </border>
    <border>
      <left/>
      <right/>
      <top style="thin">
        <color indexed="64"/>
      </top>
      <bottom style="dashDotDot">
        <color theme="0" tint="-0.14999847407452621"/>
      </bottom>
      <diagonal/>
    </border>
    <border>
      <left/>
      <right style="thin">
        <color indexed="64"/>
      </right>
      <top style="thin">
        <color indexed="64"/>
      </top>
      <bottom style="dashDotDot">
        <color theme="0" tint="-0.14999847407452621"/>
      </bottom>
      <diagonal/>
    </border>
    <border>
      <left style="thin">
        <color indexed="64"/>
      </left>
      <right/>
      <top style="dashDotDot">
        <color theme="0" tint="-0.14999847407452621"/>
      </top>
      <bottom style="dashDotDot">
        <color theme="0" tint="-0.14999847407452621"/>
      </bottom>
      <diagonal/>
    </border>
    <border>
      <left/>
      <right/>
      <top style="dashDotDot">
        <color theme="0" tint="-0.14999847407452621"/>
      </top>
      <bottom style="dashDotDot">
        <color theme="0" tint="-0.14999847407452621"/>
      </bottom>
      <diagonal/>
    </border>
    <border>
      <left/>
      <right style="thin">
        <color indexed="64"/>
      </right>
      <top style="dashDotDot">
        <color theme="0" tint="-0.14999847407452621"/>
      </top>
      <bottom style="dashDotDot">
        <color theme="0" tint="-0.14999847407452621"/>
      </bottom>
      <diagonal/>
    </border>
    <border>
      <left style="thin">
        <color indexed="64"/>
      </left>
      <right/>
      <top style="dashDotDot">
        <color theme="0" tint="-0.14999847407452621"/>
      </top>
      <bottom style="thin">
        <color indexed="64"/>
      </bottom>
      <diagonal/>
    </border>
    <border>
      <left/>
      <right/>
      <top style="dashDotDot">
        <color theme="0" tint="-0.14999847407452621"/>
      </top>
      <bottom style="thin">
        <color indexed="64"/>
      </bottom>
      <diagonal/>
    </border>
    <border>
      <left/>
      <right style="thin">
        <color indexed="64"/>
      </right>
      <top style="dashDotDot">
        <color theme="0" tint="-0.14999847407452621"/>
      </top>
      <bottom style="thin">
        <color indexed="64"/>
      </bottom>
      <diagonal/>
    </border>
  </borders>
  <cellStyleXfs count="62">
    <xf numFmtId="0" fontId="0" fillId="0" borderId="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5" borderId="0" applyNumberFormat="0" applyBorder="0" applyAlignment="0" applyProtection="0"/>
    <xf numFmtId="0" fontId="6" fillId="4" borderId="0" applyNumberFormat="0" applyBorder="0" applyAlignment="0" applyProtection="0"/>
    <xf numFmtId="0" fontId="6" fillId="8" borderId="0" applyNumberFormat="0" applyBorder="0" applyAlignment="0" applyProtection="0"/>
    <xf numFmtId="0" fontId="6" fillId="4" borderId="0" applyNumberFormat="0" applyBorder="0" applyAlignment="0" applyProtection="0"/>
    <xf numFmtId="0" fontId="6" fillId="7" borderId="0" applyNumberFormat="0" applyBorder="0" applyAlignment="0" applyProtection="0"/>
    <xf numFmtId="0" fontId="6" fillId="10" borderId="0" applyNumberFormat="0" applyBorder="0" applyAlignment="0" applyProtection="0"/>
    <xf numFmtId="0" fontId="6" fillId="2" borderId="0" applyNumberFormat="0" applyBorder="0" applyAlignment="0" applyProtection="0"/>
    <xf numFmtId="0" fontId="6" fillId="4" borderId="0" applyNumberFormat="0" applyBorder="0" applyAlignment="0" applyProtection="0"/>
    <xf numFmtId="0" fontId="6" fillId="8"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2" borderId="0" applyNumberFormat="0" applyBorder="0" applyAlignment="0" applyProtection="0"/>
    <xf numFmtId="0" fontId="7" fillId="4" borderId="0" applyNumberFormat="0" applyBorder="0" applyAlignment="0" applyProtection="0"/>
    <xf numFmtId="0" fontId="7" fillId="7" borderId="0" applyNumberFormat="0" applyBorder="0" applyAlignment="0" applyProtection="0"/>
    <xf numFmtId="0" fontId="11" fillId="4" borderId="0" applyNumberFormat="0" applyBorder="0" applyAlignment="0" applyProtection="0"/>
    <xf numFmtId="0" fontId="17" fillId="14" borderId="1" applyNumberFormat="0" applyAlignment="0" applyProtection="0"/>
    <xf numFmtId="0" fontId="9" fillId="15" borderId="2" applyNumberFormat="0" applyAlignment="0" applyProtection="0"/>
    <xf numFmtId="0" fontId="14" fillId="0" borderId="3" applyNumberFormat="0" applyFill="0" applyAlignment="0" applyProtection="0"/>
    <xf numFmtId="0" fontId="18" fillId="0" borderId="0" applyNumberFormat="0" applyFill="0" applyBorder="0" applyAlignment="0" applyProtection="0"/>
    <xf numFmtId="0" fontId="7" fillId="16"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7" borderId="0" applyNumberFormat="0" applyBorder="0" applyAlignment="0" applyProtection="0"/>
    <xf numFmtId="0" fontId="7" fillId="11" borderId="0" applyNumberFormat="0" applyBorder="0" applyAlignment="0" applyProtection="0"/>
    <xf numFmtId="0" fontId="7" fillId="13" borderId="0" applyNumberFormat="0" applyBorder="0" applyAlignment="0" applyProtection="0"/>
    <xf numFmtId="0" fontId="12" fillId="10" borderId="1" applyNumberFormat="0" applyAlignment="0" applyProtection="0"/>
    <xf numFmtId="171" fontId="15" fillId="0" borderId="0" applyFont="0" applyFill="0" applyBorder="0" applyAlignment="0" applyProtection="0"/>
    <xf numFmtId="171" fontId="28" fillId="0" borderId="0" applyFont="0" applyFill="0" applyBorder="0" applyAlignment="0" applyProtection="0"/>
    <xf numFmtId="171" fontId="15" fillId="0" borderId="0" applyFont="0" applyFill="0" applyBorder="0" applyAlignment="0" applyProtection="0"/>
    <xf numFmtId="172" fontId="26" fillId="0" borderId="0">
      <alignment horizontal="right"/>
    </xf>
    <xf numFmtId="0" fontId="27"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24"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173" fontId="26" fillId="0" borderId="0">
      <alignment horizontal="left"/>
    </xf>
    <xf numFmtId="0" fontId="8" fillId="3" borderId="0" applyNumberFormat="0" applyBorder="0" applyAlignment="0" applyProtection="0"/>
    <xf numFmtId="12" fontId="26" fillId="0" borderId="0">
      <alignment horizontal="center"/>
    </xf>
    <xf numFmtId="0" fontId="25" fillId="10" borderId="0" applyNumberFormat="0" applyBorder="0" applyAlignment="0" applyProtection="0"/>
    <xf numFmtId="0" fontId="19" fillId="0" borderId="0"/>
    <xf numFmtId="0" fontId="29" fillId="0" borderId="0"/>
    <xf numFmtId="0" fontId="19" fillId="0" borderId="0"/>
    <xf numFmtId="0" fontId="5" fillId="0" borderId="0"/>
    <xf numFmtId="0" fontId="16" fillId="0" borderId="0"/>
    <xf numFmtId="0" fontId="15" fillId="0" borderId="0"/>
    <xf numFmtId="0" fontId="16" fillId="0" borderId="0"/>
    <xf numFmtId="0" fontId="15" fillId="8" borderId="4" applyNumberFormat="0" applyFont="0" applyAlignment="0" applyProtection="0"/>
    <xf numFmtId="0" fontId="13" fillId="14" borderId="5" applyNumberFormat="0" applyAlignment="0" applyProtection="0"/>
    <xf numFmtId="0" fontId="14" fillId="0" borderId="0" applyNumberFormat="0" applyFill="0" applyBorder="0" applyAlignment="0" applyProtection="0"/>
    <xf numFmtId="0" fontId="10" fillId="0" borderId="0" applyNumberFormat="0" applyFill="0" applyBorder="0" applyAlignment="0" applyProtection="0"/>
    <xf numFmtId="0" fontId="20" fillId="0" borderId="0" applyNumberFormat="0" applyFill="0" applyBorder="0" applyAlignment="0" applyProtection="0"/>
    <xf numFmtId="0" fontId="21" fillId="0" borderId="6" applyNumberFormat="0" applyFill="0" applyAlignment="0" applyProtection="0"/>
    <xf numFmtId="0" fontId="22" fillId="0" borderId="7" applyNumberFormat="0" applyFill="0" applyAlignment="0" applyProtection="0"/>
    <xf numFmtId="0" fontId="18" fillId="0" borderId="8" applyNumberFormat="0" applyFill="0" applyAlignment="0" applyProtection="0"/>
    <xf numFmtId="0" fontId="23" fillId="0" borderId="9" applyNumberFormat="0" applyFill="0" applyAlignment="0" applyProtection="0"/>
    <xf numFmtId="0" fontId="36" fillId="0" borderId="0"/>
    <xf numFmtId="0" fontId="4" fillId="0" borderId="0"/>
    <xf numFmtId="0" fontId="1" fillId="0" borderId="0"/>
  </cellStyleXfs>
  <cellXfs count="567">
    <xf numFmtId="0" fontId="0" fillId="0" borderId="0" xfId="0"/>
    <xf numFmtId="0" fontId="37" fillId="18" borderId="10" xfId="0" applyFont="1" applyFill="1" applyBorder="1" applyAlignment="1" applyProtection="1">
      <alignment horizontal="center" vertical="center"/>
      <protection hidden="1"/>
    </xf>
    <xf numFmtId="0" fontId="37" fillId="0" borderId="11" xfId="0" applyFont="1" applyBorder="1" applyAlignment="1" applyProtection="1">
      <alignment horizontal="center" vertical="center"/>
      <protection hidden="1"/>
    </xf>
    <xf numFmtId="49" fontId="37" fillId="0" borderId="0" xfId="0" applyNumberFormat="1" applyFont="1" applyAlignment="1" applyProtection="1">
      <alignment vertical="center"/>
      <protection hidden="1"/>
    </xf>
    <xf numFmtId="0" fontId="37" fillId="0" borderId="0" xfId="0" applyFont="1" applyProtection="1">
      <protection hidden="1"/>
    </xf>
    <xf numFmtId="0" fontId="37" fillId="0" borderId="12" xfId="0" applyFont="1" applyBorder="1" applyAlignment="1" applyProtection="1">
      <alignment vertical="center"/>
      <protection hidden="1"/>
    </xf>
    <xf numFmtId="0" fontId="37" fillId="0" borderId="0" xfId="0" applyFont="1" applyAlignment="1" applyProtection="1">
      <alignment vertical="center"/>
      <protection hidden="1"/>
    </xf>
    <xf numFmtId="0" fontId="37" fillId="0" borderId="13" xfId="0" applyFont="1" applyBorder="1" applyAlignment="1" applyProtection="1">
      <alignment vertical="center"/>
      <protection hidden="1"/>
    </xf>
    <xf numFmtId="49" fontId="37" fillId="0" borderId="0" xfId="0" applyNumberFormat="1" applyFont="1" applyAlignment="1" applyProtection="1">
      <alignment horizontal="center" vertical="center"/>
      <protection hidden="1"/>
    </xf>
    <xf numFmtId="0" fontId="37" fillId="0" borderId="14" xfId="0" applyFont="1" applyBorder="1" applyAlignment="1" applyProtection="1">
      <alignment vertical="center"/>
      <protection hidden="1"/>
    </xf>
    <xf numFmtId="0" fontId="37" fillId="0" borderId="15" xfId="0" applyFont="1" applyBorder="1" applyAlignment="1" applyProtection="1">
      <alignment vertical="center"/>
      <protection hidden="1"/>
    </xf>
    <xf numFmtId="0" fontId="37" fillId="0" borderId="16" xfId="0" applyFont="1" applyBorder="1" applyAlignment="1" applyProtection="1">
      <alignment vertical="center"/>
      <protection hidden="1"/>
    </xf>
    <xf numFmtId="49" fontId="37" fillId="0" borderId="12" xfId="0" applyNumberFormat="1" applyFont="1" applyBorder="1" applyAlignment="1" applyProtection="1">
      <alignment horizontal="center" vertical="center"/>
      <protection hidden="1"/>
    </xf>
    <xf numFmtId="0" fontId="37" fillId="0" borderId="0" xfId="0" applyFont="1" applyAlignment="1" applyProtection="1">
      <alignment vertical="center" wrapText="1"/>
      <protection hidden="1"/>
    </xf>
    <xf numFmtId="0" fontId="38" fillId="0" borderId="0" xfId="0" applyFont="1" applyAlignment="1" applyProtection="1">
      <alignment vertical="center"/>
      <protection hidden="1"/>
    </xf>
    <xf numFmtId="0" fontId="37" fillId="0" borderId="0" xfId="0" applyFont="1" applyAlignment="1" applyProtection="1">
      <alignment vertical="top" wrapText="1"/>
      <protection hidden="1"/>
    </xf>
    <xf numFmtId="0" fontId="39" fillId="0" borderId="0" xfId="0" applyFont="1" applyAlignment="1" applyProtection="1">
      <alignment vertical="center"/>
      <protection hidden="1"/>
    </xf>
    <xf numFmtId="0" fontId="40" fillId="0" borderId="0" xfId="0" applyFont="1" applyAlignment="1" applyProtection="1">
      <alignment vertical="center"/>
      <protection hidden="1"/>
    </xf>
    <xf numFmtId="0" fontId="40" fillId="0" borderId="15" xfId="0" applyFont="1" applyBorder="1" applyAlignment="1" applyProtection="1">
      <alignment vertical="center"/>
      <protection hidden="1"/>
    </xf>
    <xf numFmtId="165" fontId="40" fillId="0" borderId="0" xfId="0" applyNumberFormat="1" applyFont="1" applyAlignment="1" applyProtection="1">
      <alignment vertical="center"/>
      <protection hidden="1"/>
    </xf>
    <xf numFmtId="2" fontId="37" fillId="0" borderId="17" xfId="0" applyNumberFormat="1" applyFont="1" applyBorder="1" applyAlignment="1" applyProtection="1">
      <alignment horizontal="center" vertical="center"/>
      <protection hidden="1"/>
    </xf>
    <xf numFmtId="0" fontId="37" fillId="0" borderId="18" xfId="0" applyFont="1" applyBorder="1" applyAlignment="1" applyProtection="1">
      <alignment vertical="center"/>
      <protection hidden="1"/>
    </xf>
    <xf numFmtId="165" fontId="37" fillId="0" borderId="0" xfId="0" applyNumberFormat="1" applyFont="1" applyAlignment="1" applyProtection="1">
      <alignment horizontal="center" vertical="center"/>
      <protection hidden="1"/>
    </xf>
    <xf numFmtId="165" fontId="37" fillId="0" borderId="15" xfId="0" applyNumberFormat="1" applyFont="1" applyBorder="1" applyAlignment="1" applyProtection="1">
      <alignment horizontal="center" vertical="center"/>
      <protection hidden="1"/>
    </xf>
    <xf numFmtId="0" fontId="37" fillId="19" borderId="19" xfId="0" applyFont="1" applyFill="1" applyBorder="1" applyAlignment="1" applyProtection="1">
      <alignment horizontal="center" vertical="center"/>
      <protection hidden="1"/>
    </xf>
    <xf numFmtId="0" fontId="37" fillId="19" borderId="11" xfId="0" applyFont="1" applyFill="1" applyBorder="1" applyAlignment="1" applyProtection="1">
      <alignment horizontal="center" vertical="center"/>
      <protection hidden="1"/>
    </xf>
    <xf numFmtId="2" fontId="37" fillId="0" borderId="0" xfId="0" applyNumberFormat="1" applyFont="1" applyAlignment="1" applyProtection="1">
      <alignment horizontal="center" vertical="center"/>
      <protection hidden="1"/>
    </xf>
    <xf numFmtId="0" fontId="37" fillId="19" borderId="20" xfId="0" applyFont="1" applyFill="1" applyBorder="1" applyAlignment="1" applyProtection="1">
      <alignment horizontal="center" vertical="center"/>
      <protection hidden="1"/>
    </xf>
    <xf numFmtId="2" fontId="37" fillId="0" borderId="20" xfId="0" applyNumberFormat="1" applyFont="1" applyBorder="1" applyAlignment="1" applyProtection="1">
      <alignment horizontal="center" vertical="center"/>
      <protection hidden="1"/>
    </xf>
    <xf numFmtId="165" fontId="37" fillId="0" borderId="20" xfId="0" applyNumberFormat="1" applyFont="1" applyBorder="1" applyAlignment="1" applyProtection="1">
      <alignment horizontal="center" vertical="center"/>
      <protection hidden="1"/>
    </xf>
    <xf numFmtId="2" fontId="37" fillId="0" borderId="19" xfId="0" applyNumberFormat="1" applyFont="1" applyBorder="1" applyAlignment="1" applyProtection="1">
      <alignment horizontal="center" vertical="center"/>
      <protection hidden="1"/>
    </xf>
    <xf numFmtId="164" fontId="37" fillId="0" borderId="13" xfId="0" applyNumberFormat="1" applyFont="1" applyBorder="1" applyAlignment="1" applyProtection="1">
      <alignment horizontal="center" vertical="center"/>
      <protection hidden="1"/>
    </xf>
    <xf numFmtId="164" fontId="37" fillId="0" borderId="20" xfId="0" applyNumberFormat="1" applyFont="1" applyBorder="1" applyAlignment="1" applyProtection="1">
      <alignment horizontal="center" vertical="center"/>
      <protection hidden="1"/>
    </xf>
    <xf numFmtId="164" fontId="37" fillId="0" borderId="19" xfId="0" applyNumberFormat="1" applyFont="1" applyBorder="1" applyAlignment="1" applyProtection="1">
      <alignment horizontal="center" vertical="center"/>
      <protection hidden="1"/>
    </xf>
    <xf numFmtId="164" fontId="37" fillId="0" borderId="12" xfId="0" applyNumberFormat="1" applyFont="1" applyBorder="1" applyAlignment="1" applyProtection="1">
      <alignment horizontal="center" vertical="center"/>
      <protection hidden="1"/>
    </xf>
    <xf numFmtId="167" fontId="37" fillId="0" borderId="0" xfId="0" applyNumberFormat="1" applyFont="1" applyAlignment="1" applyProtection="1">
      <alignment horizontal="center" vertical="center"/>
      <protection hidden="1"/>
    </xf>
    <xf numFmtId="167" fontId="37" fillId="0" borderId="19" xfId="0" applyNumberFormat="1" applyFont="1" applyBorder="1" applyAlignment="1" applyProtection="1">
      <alignment horizontal="center" vertical="center"/>
      <protection hidden="1"/>
    </xf>
    <xf numFmtId="165" fontId="37" fillId="0" borderId="18" xfId="0" applyNumberFormat="1" applyFont="1" applyBorder="1" applyAlignment="1" applyProtection="1">
      <alignment horizontal="center" vertical="center"/>
      <protection hidden="1"/>
    </xf>
    <xf numFmtId="167" fontId="37" fillId="0" borderId="20" xfId="0" applyNumberFormat="1" applyFont="1" applyBorder="1" applyAlignment="1" applyProtection="1">
      <alignment horizontal="center" vertical="center"/>
      <protection hidden="1"/>
    </xf>
    <xf numFmtId="165" fontId="37" fillId="0" borderId="19" xfId="0" applyNumberFormat="1" applyFont="1" applyBorder="1" applyAlignment="1" applyProtection="1">
      <alignment horizontal="center" vertical="center"/>
      <protection hidden="1"/>
    </xf>
    <xf numFmtId="168" fontId="37" fillId="0" borderId="19" xfId="0" applyNumberFormat="1" applyFont="1" applyBorder="1" applyAlignment="1" applyProtection="1">
      <alignment horizontal="center" vertical="center"/>
      <protection hidden="1"/>
    </xf>
    <xf numFmtId="165" fontId="37" fillId="0" borderId="13" xfId="0" applyNumberFormat="1" applyFont="1" applyBorder="1" applyAlignment="1" applyProtection="1">
      <alignment horizontal="center" vertical="center"/>
      <protection hidden="1"/>
    </xf>
    <xf numFmtId="168" fontId="37" fillId="0" borderId="20" xfId="0" applyNumberFormat="1" applyFont="1" applyBorder="1" applyAlignment="1" applyProtection="1">
      <alignment horizontal="center" vertical="center"/>
      <protection hidden="1"/>
    </xf>
    <xf numFmtId="164" fontId="37" fillId="0" borderId="17" xfId="0" applyNumberFormat="1" applyFont="1" applyBorder="1" applyAlignment="1" applyProtection="1">
      <alignment horizontal="center" vertical="center"/>
      <protection hidden="1"/>
    </xf>
    <xf numFmtId="164" fontId="37" fillId="0" borderId="15" xfId="0" applyNumberFormat="1" applyFont="1" applyBorder="1" applyAlignment="1" applyProtection="1">
      <alignment horizontal="center" vertical="center"/>
      <protection hidden="1"/>
    </xf>
    <xf numFmtId="2" fontId="37" fillId="0" borderId="11" xfId="0" applyNumberFormat="1" applyFont="1" applyBorder="1" applyAlignment="1" applyProtection="1">
      <alignment horizontal="center" vertical="center"/>
      <protection hidden="1"/>
    </xf>
    <xf numFmtId="165" fontId="37" fillId="0" borderId="11" xfId="0" applyNumberFormat="1" applyFont="1" applyBorder="1" applyAlignment="1" applyProtection="1">
      <alignment horizontal="center" vertical="center"/>
      <protection hidden="1"/>
    </xf>
    <xf numFmtId="164" fontId="37" fillId="0" borderId="16" xfId="0" applyNumberFormat="1" applyFont="1" applyBorder="1" applyAlignment="1" applyProtection="1">
      <alignment horizontal="center" vertical="center"/>
      <protection hidden="1"/>
    </xf>
    <xf numFmtId="164" fontId="37" fillId="0" borderId="11" xfId="0" applyNumberFormat="1" applyFont="1" applyBorder="1" applyAlignment="1" applyProtection="1">
      <alignment horizontal="center" vertical="center"/>
      <protection hidden="1"/>
    </xf>
    <xf numFmtId="164" fontId="37" fillId="0" borderId="14" xfId="0" applyNumberFormat="1" applyFont="1" applyBorder="1" applyAlignment="1" applyProtection="1">
      <alignment horizontal="center" vertical="center"/>
      <protection hidden="1"/>
    </xf>
    <xf numFmtId="167" fontId="37" fillId="0" borderId="11" xfId="0" applyNumberFormat="1" applyFont="1" applyBorder="1" applyAlignment="1" applyProtection="1">
      <alignment horizontal="center" vertical="center"/>
      <protection hidden="1"/>
    </xf>
    <xf numFmtId="165" fontId="37" fillId="0" borderId="16" xfId="0" applyNumberFormat="1" applyFont="1" applyBorder="1" applyAlignment="1" applyProtection="1">
      <alignment horizontal="center" vertical="center"/>
      <protection hidden="1"/>
    </xf>
    <xf numFmtId="168" fontId="37" fillId="0" borderId="11" xfId="0" applyNumberFormat="1" applyFont="1" applyBorder="1" applyAlignment="1" applyProtection="1">
      <alignment horizontal="center" vertical="center"/>
      <protection hidden="1"/>
    </xf>
    <xf numFmtId="0" fontId="37" fillId="19" borderId="0" xfId="0" applyFont="1" applyFill="1" applyAlignment="1" applyProtection="1">
      <alignment horizontal="center" vertical="center"/>
      <protection hidden="1"/>
    </xf>
    <xf numFmtId="0" fontId="37" fillId="19" borderId="13" xfId="0" applyFont="1" applyFill="1" applyBorder="1" applyAlignment="1" applyProtection="1">
      <alignment horizontal="center" vertical="center"/>
      <protection hidden="1"/>
    </xf>
    <xf numFmtId="165" fontId="37" fillId="0" borderId="0" xfId="0" applyNumberFormat="1" applyFont="1" applyAlignment="1" applyProtection="1">
      <alignment vertical="center"/>
      <protection hidden="1"/>
    </xf>
    <xf numFmtId="168" fontId="37" fillId="0" borderId="0" xfId="0" applyNumberFormat="1" applyFont="1" applyAlignment="1" applyProtection="1">
      <alignment horizontal="center" vertical="center"/>
      <protection hidden="1"/>
    </xf>
    <xf numFmtId="0" fontId="41" fillId="0" borderId="0" xfId="48" applyFont="1" applyProtection="1">
      <protection hidden="1"/>
    </xf>
    <xf numFmtId="0" fontId="42" fillId="0" borderId="0" xfId="48" applyFont="1" applyAlignment="1" applyProtection="1">
      <alignment vertical="center"/>
      <protection hidden="1"/>
    </xf>
    <xf numFmtId="0" fontId="41" fillId="0" borderId="0" xfId="48" applyFont="1" applyAlignment="1" applyProtection="1">
      <alignment vertical="center"/>
      <protection hidden="1"/>
    </xf>
    <xf numFmtId="0" fontId="43" fillId="0" borderId="0" xfId="48" applyFont="1" applyAlignment="1" applyProtection="1">
      <alignment vertical="center"/>
      <protection hidden="1"/>
    </xf>
    <xf numFmtId="0" fontId="44" fillId="0" borderId="0" xfId="48" applyFont="1" applyAlignment="1" applyProtection="1">
      <alignment vertical="center"/>
      <protection hidden="1"/>
    </xf>
    <xf numFmtId="0" fontId="43" fillId="0" borderId="0" xfId="48" applyFont="1" applyAlignment="1" applyProtection="1">
      <alignment horizontal="center" vertical="center"/>
      <protection hidden="1"/>
    </xf>
    <xf numFmtId="0" fontId="43" fillId="0" borderId="0" xfId="47" applyFont="1" applyAlignment="1" applyProtection="1">
      <alignment horizontal="left"/>
      <protection hidden="1"/>
    </xf>
    <xf numFmtId="0" fontId="43" fillId="0" borderId="12" xfId="48" applyFont="1" applyBorder="1" applyAlignment="1" applyProtection="1">
      <alignment horizontal="center" vertical="center"/>
      <protection hidden="1"/>
    </xf>
    <xf numFmtId="0" fontId="43" fillId="0" borderId="17" xfId="48" applyFont="1" applyBorder="1" applyAlignment="1" applyProtection="1">
      <alignment horizontal="center" vertical="center"/>
      <protection hidden="1"/>
    </xf>
    <xf numFmtId="0" fontId="43" fillId="0" borderId="13" xfId="48" applyFont="1" applyBorder="1" applyAlignment="1" applyProtection="1">
      <alignment horizontal="center" vertical="center"/>
      <protection hidden="1"/>
    </xf>
    <xf numFmtId="0" fontId="43" fillId="0" borderId="12" xfId="48" applyFont="1" applyBorder="1" applyAlignment="1" applyProtection="1">
      <alignment horizontal="right" vertical="top"/>
      <protection hidden="1"/>
    </xf>
    <xf numFmtId="0" fontId="44" fillId="0" borderId="0" xfId="48" applyFont="1" applyAlignment="1" applyProtection="1">
      <alignment vertical="center" wrapText="1"/>
      <protection hidden="1"/>
    </xf>
    <xf numFmtId="0" fontId="40" fillId="0" borderId="0" xfId="49" applyFont="1" applyAlignment="1" applyProtection="1">
      <alignment horizontal="center" vertical="center"/>
      <protection hidden="1"/>
    </xf>
    <xf numFmtId="0" fontId="44" fillId="0" borderId="13" xfId="48" applyFont="1" applyBorder="1" applyAlignment="1" applyProtection="1">
      <alignment vertical="center"/>
      <protection hidden="1"/>
    </xf>
    <xf numFmtId="0" fontId="44" fillId="0" borderId="0" xfId="48" applyFont="1" applyAlignment="1" applyProtection="1">
      <alignment vertical="top" wrapText="1"/>
      <protection hidden="1"/>
    </xf>
    <xf numFmtId="49" fontId="43" fillId="0" borderId="12" xfId="48" applyNumberFormat="1" applyFont="1" applyBorder="1" applyAlignment="1" applyProtection="1">
      <alignment horizontal="right" vertical="top"/>
      <protection hidden="1"/>
    </xf>
    <xf numFmtId="49" fontId="44" fillId="0" borderId="0" xfId="48" applyNumberFormat="1" applyFont="1" applyAlignment="1" applyProtection="1">
      <alignment vertical="top"/>
      <protection hidden="1"/>
    </xf>
    <xf numFmtId="0" fontId="44" fillId="0" borderId="0" xfId="48" applyFont="1" applyProtection="1">
      <protection hidden="1"/>
    </xf>
    <xf numFmtId="49" fontId="43" fillId="0" borderId="14" xfId="48" applyNumberFormat="1" applyFont="1" applyBorder="1" applyAlignment="1" applyProtection="1">
      <alignment horizontal="right" vertical="top"/>
      <protection hidden="1"/>
    </xf>
    <xf numFmtId="0" fontId="44" fillId="0" borderId="15" xfId="48" applyFont="1" applyBorder="1" applyAlignment="1" applyProtection="1">
      <alignment vertical="center"/>
      <protection hidden="1"/>
    </xf>
    <xf numFmtId="0" fontId="44" fillId="0" borderId="15" xfId="48" applyFont="1" applyBorder="1" applyAlignment="1" applyProtection="1">
      <alignment vertical="top"/>
      <protection hidden="1"/>
    </xf>
    <xf numFmtId="0" fontId="44" fillId="0" borderId="15" xfId="48" applyFont="1" applyBorder="1" applyAlignment="1" applyProtection="1">
      <alignment vertical="top" wrapText="1"/>
      <protection hidden="1"/>
    </xf>
    <xf numFmtId="0" fontId="44" fillId="0" borderId="15" xfId="48" applyFont="1" applyBorder="1" applyAlignment="1" applyProtection="1">
      <alignment vertical="center" wrapText="1"/>
      <protection hidden="1"/>
    </xf>
    <xf numFmtId="0" fontId="40" fillId="0" borderId="15" xfId="49" applyFont="1" applyBorder="1" applyAlignment="1" applyProtection="1">
      <alignment horizontal="center" vertical="center"/>
      <protection hidden="1"/>
    </xf>
    <xf numFmtId="0" fontId="44" fillId="0" borderId="16" xfId="48" applyFont="1" applyBorder="1" applyAlignment="1" applyProtection="1">
      <alignment vertical="center"/>
      <protection hidden="1"/>
    </xf>
    <xf numFmtId="0" fontId="45" fillId="0" borderId="0" xfId="48" applyFont="1" applyAlignment="1" applyProtection="1">
      <alignment vertical="center"/>
      <protection hidden="1"/>
    </xf>
    <xf numFmtId="0" fontId="46" fillId="0" borderId="0" xfId="48" applyFont="1" applyAlignment="1" applyProtection="1">
      <alignment vertical="center"/>
      <protection hidden="1"/>
    </xf>
    <xf numFmtId="0" fontId="44" fillId="0" borderId="0" xfId="48" applyFont="1" applyAlignment="1" applyProtection="1">
      <alignment horizontal="center" vertical="center"/>
      <protection hidden="1"/>
    </xf>
    <xf numFmtId="0" fontId="42" fillId="0" borderId="0" xfId="48" applyFont="1" applyAlignment="1" applyProtection="1">
      <alignment horizontal="right" vertical="center"/>
      <protection hidden="1"/>
    </xf>
    <xf numFmtId="0" fontId="47" fillId="0" borderId="0" xfId="48" applyFont="1" applyAlignment="1" applyProtection="1">
      <alignment vertical="center"/>
      <protection hidden="1"/>
    </xf>
    <xf numFmtId="0" fontId="37" fillId="0" borderId="20" xfId="0" applyFont="1" applyBorder="1" applyAlignment="1" applyProtection="1">
      <alignment horizontal="center" vertical="center"/>
      <protection hidden="1"/>
    </xf>
    <xf numFmtId="2" fontId="37" fillId="0" borderId="0" xfId="0" applyNumberFormat="1" applyFont="1" applyAlignment="1" applyProtection="1">
      <alignment vertical="center"/>
      <protection hidden="1"/>
    </xf>
    <xf numFmtId="2" fontId="37" fillId="0" borderId="0" xfId="0" applyNumberFormat="1" applyFont="1" applyProtection="1">
      <protection hidden="1"/>
    </xf>
    <xf numFmtId="0" fontId="37" fillId="0" borderId="0" xfId="0" applyFont="1" applyAlignment="1" applyProtection="1">
      <alignment horizontal="left" vertical="center"/>
      <protection hidden="1"/>
    </xf>
    <xf numFmtId="0" fontId="37" fillId="0" borderId="0" xfId="0" applyFont="1" applyAlignment="1" applyProtection="1">
      <alignment horizontal="center" vertical="center"/>
      <protection hidden="1"/>
    </xf>
    <xf numFmtId="0" fontId="37" fillId="19" borderId="10" xfId="0" applyFont="1" applyFill="1" applyBorder="1" applyAlignment="1" applyProtection="1">
      <alignment horizontal="center" vertical="center"/>
      <protection hidden="1"/>
    </xf>
    <xf numFmtId="0" fontId="37" fillId="19" borderId="15" xfId="0" applyFont="1" applyFill="1" applyBorder="1" applyAlignment="1" applyProtection="1">
      <alignment horizontal="center" vertical="center"/>
      <protection hidden="1"/>
    </xf>
    <xf numFmtId="0" fontId="37" fillId="19" borderId="16" xfId="0" applyFont="1" applyFill="1" applyBorder="1" applyAlignment="1" applyProtection="1">
      <alignment horizontal="center" vertical="center"/>
      <protection hidden="1"/>
    </xf>
    <xf numFmtId="0" fontId="37" fillId="0" borderId="21" xfId="0" applyFont="1" applyBorder="1" applyAlignment="1" applyProtection="1">
      <alignment horizontal="left" vertical="center"/>
      <protection hidden="1"/>
    </xf>
    <xf numFmtId="20" fontId="37" fillId="0" borderId="21" xfId="0" applyNumberFormat="1" applyFont="1" applyBorder="1" applyAlignment="1" applyProtection="1">
      <alignment horizontal="left" vertical="center"/>
      <protection hidden="1"/>
    </xf>
    <xf numFmtId="0" fontId="37" fillId="0" borderId="21" xfId="0" applyFont="1" applyBorder="1" applyAlignment="1" applyProtection="1">
      <alignment vertical="center"/>
      <protection hidden="1"/>
    </xf>
    <xf numFmtId="0" fontId="37" fillId="0" borderId="21" xfId="0" applyFont="1" applyBorder="1" applyProtection="1">
      <protection hidden="1"/>
    </xf>
    <xf numFmtId="0" fontId="51" fillId="0" borderId="0" xfId="0" applyFont="1" applyAlignment="1" applyProtection="1">
      <alignment horizontal="left" vertical="center"/>
      <protection hidden="1"/>
    </xf>
    <xf numFmtId="0" fontId="37" fillId="0" borderId="10" xfId="0" applyFont="1" applyBorder="1" applyAlignment="1" applyProtection="1">
      <alignment horizontal="center" vertical="center"/>
      <protection hidden="1"/>
    </xf>
    <xf numFmtId="49" fontId="37" fillId="0" borderId="14" xfId="0" applyNumberFormat="1" applyFont="1" applyBorder="1" applyAlignment="1" applyProtection="1">
      <alignment horizontal="center" vertical="center"/>
      <protection hidden="1"/>
    </xf>
    <xf numFmtId="0" fontId="37" fillId="0" borderId="0" xfId="46" applyFont="1" applyAlignment="1" applyProtection="1">
      <alignment horizontal="left" vertical="center"/>
      <protection hidden="1"/>
    </xf>
    <xf numFmtId="2" fontId="37" fillId="0" borderId="0" xfId="0" applyNumberFormat="1" applyFont="1" applyAlignment="1" applyProtection="1">
      <alignment horizontal="left" vertical="center"/>
      <protection hidden="1"/>
    </xf>
    <xf numFmtId="0" fontId="44" fillId="0" borderId="15" xfId="48" applyFont="1" applyBorder="1" applyAlignment="1" applyProtection="1">
      <alignment horizontal="left" vertical="top"/>
      <protection hidden="1"/>
    </xf>
    <xf numFmtId="0" fontId="44" fillId="0" borderId="0" xfId="48" applyFont="1" applyAlignment="1" applyProtection="1">
      <alignment horizontal="left" vertical="top"/>
      <protection hidden="1"/>
    </xf>
    <xf numFmtId="0" fontId="44" fillId="0" borderId="0" xfId="48" applyFont="1" applyAlignment="1" applyProtection="1">
      <alignment vertical="top"/>
      <protection hidden="1"/>
    </xf>
    <xf numFmtId="0" fontId="37" fillId="0" borderId="19" xfId="0" applyFont="1" applyBorder="1" applyAlignment="1" applyProtection="1">
      <alignment horizontal="center" vertical="center"/>
      <protection hidden="1"/>
    </xf>
    <xf numFmtId="0" fontId="37" fillId="0" borderId="22" xfId="0" applyFont="1" applyBorder="1" applyAlignment="1" applyProtection="1">
      <alignment vertical="center"/>
      <protection hidden="1"/>
    </xf>
    <xf numFmtId="0" fontId="37" fillId="0" borderId="17" xfId="0" applyFont="1" applyBorder="1" applyAlignment="1" applyProtection="1">
      <alignment vertical="center"/>
      <protection hidden="1"/>
    </xf>
    <xf numFmtId="0" fontId="52" fillId="0" borderId="0" xfId="0" applyFont="1"/>
    <xf numFmtId="0" fontId="37" fillId="0" borderId="20" xfId="0" applyFont="1" applyBorder="1" applyAlignment="1">
      <alignment horizontal="center" vertical="center"/>
    </xf>
    <xf numFmtId="0" fontId="37" fillId="0" borderId="19" xfId="0" applyFont="1" applyBorder="1" applyAlignment="1">
      <alignment horizontal="center" vertical="center"/>
    </xf>
    <xf numFmtId="0" fontId="48" fillId="0" borderId="23" xfId="0" applyFont="1" applyBorder="1" applyAlignment="1">
      <alignment horizontal="center" vertical="center"/>
    </xf>
    <xf numFmtId="0" fontId="48" fillId="0" borderId="24" xfId="0" applyFont="1" applyBorder="1" applyAlignment="1">
      <alignment horizontal="center" vertical="center"/>
    </xf>
    <xf numFmtId="0" fontId="48" fillId="0" borderId="25" xfId="0" applyFont="1" applyBorder="1" applyAlignment="1">
      <alignment horizontal="center" vertical="center"/>
    </xf>
    <xf numFmtId="0" fontId="48" fillId="0" borderId="19" xfId="0" applyFont="1" applyBorder="1" applyAlignment="1">
      <alignment horizontal="center" vertical="center"/>
    </xf>
    <xf numFmtId="0" fontId="48" fillId="0" borderId="0" xfId="0" applyFont="1" applyAlignment="1">
      <alignment horizontal="center" vertical="center"/>
    </xf>
    <xf numFmtId="0" fontId="48" fillId="0" borderId="13" xfId="0" applyFont="1" applyBorder="1" applyAlignment="1">
      <alignment horizontal="center" vertical="center"/>
    </xf>
    <xf numFmtId="0" fontId="48" fillId="0" borderId="20" xfId="0" applyFont="1" applyBorder="1" applyAlignment="1">
      <alignment horizontal="center" vertical="center"/>
    </xf>
    <xf numFmtId="0" fontId="48" fillId="0" borderId="11" xfId="0" applyFont="1" applyBorder="1" applyAlignment="1">
      <alignment horizontal="center" vertical="center"/>
    </xf>
    <xf numFmtId="0" fontId="48" fillId="0" borderId="15" xfId="0" applyFont="1" applyBorder="1" applyAlignment="1">
      <alignment horizontal="center" vertical="center"/>
    </xf>
    <xf numFmtId="0" fontId="48" fillId="0" borderId="16" xfId="0" applyFont="1" applyBorder="1" applyAlignment="1">
      <alignment horizontal="center" vertical="center"/>
    </xf>
    <xf numFmtId="0" fontId="53" fillId="0" borderId="0" xfId="0" applyFont="1" applyAlignment="1">
      <alignment vertical="center"/>
    </xf>
    <xf numFmtId="0" fontId="48" fillId="0" borderId="0" xfId="0" applyFont="1" applyAlignment="1">
      <alignment vertical="center"/>
    </xf>
    <xf numFmtId="0" fontId="48" fillId="0" borderId="0" xfId="0" applyFont="1" applyAlignment="1">
      <alignment vertical="top"/>
    </xf>
    <xf numFmtId="0" fontId="48" fillId="0" borderId="12" xfId="0" applyFont="1" applyBorder="1" applyAlignment="1">
      <alignment vertical="top"/>
    </xf>
    <xf numFmtId="0" fontId="44" fillId="0" borderId="0" xfId="48" applyFont="1" applyAlignment="1">
      <alignment horizontal="left" vertical="top"/>
    </xf>
    <xf numFmtId="0" fontId="44" fillId="0" borderId="0" xfId="48" applyFont="1" applyAlignment="1">
      <alignment horizontal="left" vertical="top" wrapText="1"/>
    </xf>
    <xf numFmtId="0" fontId="44" fillId="0" borderId="15" xfId="48" applyFont="1" applyBorder="1" applyAlignment="1">
      <alignment horizontal="left" vertical="top"/>
    </xf>
    <xf numFmtId="0" fontId="47" fillId="0" borderId="0" xfId="48" applyFont="1" applyProtection="1">
      <protection hidden="1"/>
    </xf>
    <xf numFmtId="49" fontId="48" fillId="0" borderId="0" xfId="0" applyNumberFormat="1" applyFont="1" applyAlignment="1">
      <alignment vertical="center"/>
    </xf>
    <xf numFmtId="0" fontId="37" fillId="0" borderId="0" xfId="61" applyFont="1" applyAlignment="1" applyProtection="1">
      <alignment horizontal="left" vertical="center"/>
      <protection hidden="1"/>
    </xf>
    <xf numFmtId="0" fontId="37" fillId="0" borderId="0" xfId="61" applyFont="1" applyAlignment="1" applyProtection="1">
      <alignment vertical="center"/>
      <protection hidden="1"/>
    </xf>
    <xf numFmtId="0" fontId="63" fillId="0" borderId="0" xfId="61" applyFont="1"/>
    <xf numFmtId="0" fontId="63" fillId="0" borderId="0" xfId="61" applyFont="1" applyAlignment="1">
      <alignment vertical="center"/>
    </xf>
    <xf numFmtId="0" fontId="63" fillId="0" borderId="0" xfId="61" applyFont="1" applyAlignment="1">
      <alignment horizontal="center" vertical="center"/>
    </xf>
    <xf numFmtId="0" fontId="51" fillId="0" borderId="14" xfId="0" applyFont="1" applyBorder="1" applyAlignment="1" applyProtection="1">
      <alignment vertical="center"/>
      <protection hidden="1"/>
    </xf>
    <xf numFmtId="0" fontId="51" fillId="0" borderId="15" xfId="0" applyFont="1" applyBorder="1" applyAlignment="1" applyProtection="1">
      <alignment vertical="center"/>
      <protection hidden="1"/>
    </xf>
    <xf numFmtId="165" fontId="37" fillId="0" borderId="17" xfId="0" applyNumberFormat="1" applyFont="1" applyBorder="1" applyAlignment="1" applyProtection="1">
      <alignment horizontal="center" vertical="center"/>
      <protection hidden="1"/>
    </xf>
    <xf numFmtId="167" fontId="51" fillId="0" borderId="15" xfId="0" applyNumberFormat="1" applyFont="1" applyBorder="1" applyAlignment="1" applyProtection="1">
      <alignment horizontal="center" vertical="center"/>
      <protection hidden="1"/>
    </xf>
    <xf numFmtId="0" fontId="37" fillId="0" borderId="0" xfId="0" applyFont="1" applyAlignment="1" applyProtection="1">
      <alignment horizontal="left" vertical="center"/>
      <protection hidden="1"/>
    </xf>
    <xf numFmtId="0" fontId="37" fillId="0" borderId="0" xfId="0" applyFont="1" applyAlignment="1" applyProtection="1">
      <alignment vertical="center"/>
      <protection hidden="1"/>
    </xf>
    <xf numFmtId="0" fontId="52" fillId="0" borderId="0" xfId="0" applyFont="1" applyAlignment="1">
      <alignment horizontal="left"/>
    </xf>
    <xf numFmtId="0" fontId="52" fillId="21" borderId="0" xfId="0" applyFont="1" applyFill="1" applyAlignment="1">
      <alignment horizontal="center"/>
    </xf>
    <xf numFmtId="0" fontId="52" fillId="0" borderId="0" xfId="0" applyFont="1" applyAlignment="1">
      <alignment horizontal="center"/>
    </xf>
    <xf numFmtId="0" fontId="52" fillId="20" borderId="0" xfId="0" applyFont="1" applyFill="1" applyAlignment="1">
      <alignment horizontal="center"/>
    </xf>
    <xf numFmtId="0" fontId="50" fillId="0" borderId="0" xfId="0" applyFont="1" applyAlignment="1">
      <alignment horizontal="center"/>
    </xf>
    <xf numFmtId="0" fontId="49" fillId="0" borderId="0" xfId="0" applyFont="1" applyAlignment="1" applyProtection="1">
      <alignment horizontal="left" vertical="center"/>
      <protection hidden="1"/>
    </xf>
    <xf numFmtId="0" fontId="49" fillId="0" borderId="0" xfId="0" applyFont="1" applyAlignment="1" applyProtection="1">
      <alignment horizontal="right" vertical="center"/>
      <protection hidden="1"/>
    </xf>
    <xf numFmtId="0" fontId="55" fillId="0" borderId="0" xfId="0" applyFont="1" applyAlignment="1">
      <alignment horizontal="left"/>
    </xf>
    <xf numFmtId="49" fontId="55" fillId="0" borderId="0" xfId="0" applyNumberFormat="1" applyFont="1" applyAlignment="1">
      <alignment horizontal="center"/>
    </xf>
    <xf numFmtId="0" fontId="56" fillId="0" borderId="0" xfId="0" applyFont="1" applyAlignment="1">
      <alignment horizontal="center"/>
    </xf>
    <xf numFmtId="0" fontId="54" fillId="0" borderId="0" xfId="0" applyFont="1" applyAlignment="1">
      <alignment horizontal="left"/>
    </xf>
    <xf numFmtId="0" fontId="37" fillId="0" borderId="0" xfId="0" applyFont="1" applyAlignment="1" applyProtection="1">
      <alignment horizontal="center" vertical="center"/>
      <protection hidden="1"/>
    </xf>
    <xf numFmtId="0" fontId="37" fillId="0" borderId="0" xfId="0" applyFont="1" applyAlignment="1" applyProtection="1">
      <alignment horizontal="left" vertical="center"/>
      <protection hidden="1"/>
    </xf>
    <xf numFmtId="49" fontId="48" fillId="0" borderId="0" xfId="0" applyNumberFormat="1" applyFont="1" applyAlignment="1">
      <alignment horizontal="left" vertical="center"/>
    </xf>
    <xf numFmtId="49" fontId="48" fillId="0" borderId="13" xfId="0" applyNumberFormat="1" applyFont="1" applyBorder="1" applyAlignment="1">
      <alignment horizontal="left" vertical="center"/>
    </xf>
    <xf numFmtId="0" fontId="37" fillId="19" borderId="10" xfId="0" applyFont="1" applyFill="1" applyBorder="1" applyAlignment="1" applyProtection="1">
      <alignment horizontal="center" vertical="center"/>
      <protection hidden="1"/>
    </xf>
    <xf numFmtId="0" fontId="37" fillId="0" borderId="17" xfId="0" applyFont="1" applyBorder="1" applyAlignment="1" applyProtection="1">
      <alignment horizontal="left" vertical="center"/>
      <protection hidden="1"/>
    </xf>
    <xf numFmtId="175" fontId="48" fillId="0" borderId="17" xfId="0" applyNumberFormat="1" applyFont="1" applyBorder="1" applyAlignment="1">
      <alignment horizontal="left" vertical="center"/>
    </xf>
    <xf numFmtId="0" fontId="57" fillId="0" borderId="10" xfId="0" applyFont="1" applyBorder="1" applyAlignment="1" applyProtection="1">
      <alignment horizontal="center" vertical="center" wrapText="1"/>
      <protection hidden="1"/>
    </xf>
    <xf numFmtId="0" fontId="37" fillId="0" borderId="15" xfId="0" applyFont="1" applyBorder="1" applyAlignment="1" applyProtection="1">
      <alignment horizontal="left" vertical="center"/>
      <protection hidden="1"/>
    </xf>
    <xf numFmtId="1" fontId="48" fillId="0" borderId="0" xfId="0" applyNumberFormat="1" applyFont="1" applyAlignment="1">
      <alignment horizontal="left" vertical="center"/>
    </xf>
    <xf numFmtId="0" fontId="50" fillId="0" borderId="0" xfId="0" applyFont="1" applyAlignment="1" applyProtection="1">
      <alignment horizontal="center" vertical="center"/>
      <protection hidden="1"/>
    </xf>
    <xf numFmtId="0" fontId="37" fillId="0" borderId="0" xfId="0" applyFont="1" applyAlignment="1" applyProtection="1">
      <alignment horizontal="justify" vertical="top" wrapText="1"/>
      <protection hidden="1"/>
    </xf>
    <xf numFmtId="0" fontId="37" fillId="19" borderId="22" xfId="0" applyFont="1" applyFill="1" applyBorder="1" applyAlignment="1" applyProtection="1">
      <alignment horizontal="center" vertical="center" wrapText="1"/>
      <protection hidden="1"/>
    </xf>
    <xf numFmtId="0" fontId="37" fillId="19" borderId="17" xfId="0" applyFont="1" applyFill="1" applyBorder="1" applyAlignment="1" applyProtection="1">
      <alignment horizontal="center" vertical="center" wrapText="1"/>
      <protection hidden="1"/>
    </xf>
    <xf numFmtId="0" fontId="37" fillId="19" borderId="18" xfId="0" applyFont="1" applyFill="1" applyBorder="1" applyAlignment="1" applyProtection="1">
      <alignment horizontal="center" vertical="center" wrapText="1"/>
      <protection hidden="1"/>
    </xf>
    <xf numFmtId="0" fontId="37" fillId="19" borderId="12" xfId="0" applyFont="1" applyFill="1" applyBorder="1" applyAlignment="1" applyProtection="1">
      <alignment horizontal="center" vertical="center" wrapText="1"/>
      <protection hidden="1"/>
    </xf>
    <xf numFmtId="0" fontId="37" fillId="19" borderId="0" xfId="0" applyFont="1" applyFill="1" applyAlignment="1" applyProtection="1">
      <alignment horizontal="center" vertical="center" wrapText="1"/>
      <protection hidden="1"/>
    </xf>
    <xf numFmtId="0" fontId="37" fillId="19" borderId="13" xfId="0" applyFont="1" applyFill="1" applyBorder="1" applyAlignment="1" applyProtection="1">
      <alignment horizontal="center" vertical="center" wrapText="1"/>
      <protection hidden="1"/>
    </xf>
    <xf numFmtId="0" fontId="37" fillId="19" borderId="14" xfId="0" applyFont="1" applyFill="1" applyBorder="1" applyAlignment="1" applyProtection="1">
      <alignment horizontal="center" vertical="center" wrapText="1"/>
      <protection hidden="1"/>
    </xf>
    <xf numFmtId="0" fontId="37" fillId="19" borderId="15" xfId="0" applyFont="1" applyFill="1" applyBorder="1" applyAlignment="1" applyProtection="1">
      <alignment horizontal="center" vertical="center" wrapText="1"/>
      <protection hidden="1"/>
    </xf>
    <xf numFmtId="0" fontId="37" fillId="19" borderId="16" xfId="0" applyFont="1" applyFill="1" applyBorder="1" applyAlignment="1" applyProtection="1">
      <alignment horizontal="center" vertical="center" wrapText="1"/>
      <protection hidden="1"/>
    </xf>
    <xf numFmtId="0" fontId="38" fillId="0" borderId="22" xfId="0" applyFont="1" applyBorder="1" applyAlignment="1" applyProtection="1">
      <alignment horizontal="center" vertical="center"/>
      <protection hidden="1"/>
    </xf>
    <xf numFmtId="0" fontId="38" fillId="0" borderId="17" xfId="0" applyFont="1" applyBorder="1" applyAlignment="1" applyProtection="1">
      <alignment horizontal="center" vertical="center"/>
      <protection hidden="1"/>
    </xf>
    <xf numFmtId="0" fontId="38" fillId="0" borderId="18" xfId="0" applyFont="1" applyBorder="1" applyAlignment="1" applyProtection="1">
      <alignment horizontal="center" vertical="center"/>
      <protection hidden="1"/>
    </xf>
    <xf numFmtId="0" fontId="38" fillId="0" borderId="12" xfId="0" applyFont="1" applyBorder="1" applyAlignment="1" applyProtection="1">
      <alignment horizontal="center" vertical="center"/>
      <protection hidden="1"/>
    </xf>
    <xf numFmtId="0" fontId="38" fillId="0" borderId="0" xfId="0" applyFont="1" applyAlignment="1" applyProtection="1">
      <alignment horizontal="center" vertical="center"/>
      <protection hidden="1"/>
    </xf>
    <xf numFmtId="0" fontId="38" fillId="0" borderId="13" xfId="0" applyFont="1" applyBorder="1" applyAlignment="1" applyProtection="1">
      <alignment horizontal="center" vertical="center"/>
      <protection hidden="1"/>
    </xf>
    <xf numFmtId="0" fontId="48" fillId="0" borderId="0" xfId="36" applyFont="1" applyAlignment="1" applyProtection="1">
      <alignment horizontal="left" vertical="center"/>
    </xf>
    <xf numFmtId="0" fontId="48" fillId="0" borderId="0" xfId="0" applyFont="1" applyAlignment="1">
      <alignment horizontal="left" vertical="center"/>
    </xf>
    <xf numFmtId="0" fontId="57" fillId="0" borderId="22" xfId="0" applyFont="1" applyBorder="1" applyAlignment="1" applyProtection="1">
      <alignment horizontal="center" vertical="center" wrapText="1"/>
      <protection hidden="1"/>
    </xf>
    <xf numFmtId="0" fontId="57" fillId="0" borderId="17" xfId="0" applyFont="1" applyBorder="1" applyAlignment="1" applyProtection="1">
      <alignment horizontal="center" vertical="center" wrapText="1"/>
      <protection hidden="1"/>
    </xf>
    <xf numFmtId="0" fontId="57" fillId="0" borderId="18" xfId="0" applyFont="1" applyBorder="1" applyAlignment="1" applyProtection="1">
      <alignment horizontal="center" vertical="center" wrapText="1"/>
      <protection hidden="1"/>
    </xf>
    <xf numFmtId="0" fontId="57" fillId="0" borderId="12" xfId="0" applyFont="1" applyBorder="1" applyAlignment="1" applyProtection="1">
      <alignment horizontal="center" vertical="center" wrapText="1"/>
      <protection hidden="1"/>
    </xf>
    <xf numFmtId="0" fontId="57" fillId="0" borderId="0" xfId="0" applyFont="1" applyAlignment="1" applyProtection="1">
      <alignment horizontal="center" vertical="center" wrapText="1"/>
      <protection hidden="1"/>
    </xf>
    <xf numFmtId="0" fontId="57" fillId="0" borderId="13" xfId="0" applyFont="1" applyBorder="1" applyAlignment="1" applyProtection="1">
      <alignment horizontal="center" vertical="center" wrapText="1"/>
      <protection hidden="1"/>
    </xf>
    <xf numFmtId="0" fontId="57" fillId="0" borderId="14" xfId="0" applyFont="1" applyBorder="1" applyAlignment="1" applyProtection="1">
      <alignment horizontal="center" vertical="center" wrapText="1"/>
      <protection hidden="1"/>
    </xf>
    <xf numFmtId="0" fontId="57" fillId="0" borderId="15" xfId="0" applyFont="1" applyBorder="1" applyAlignment="1" applyProtection="1">
      <alignment horizontal="center" vertical="center" wrapText="1"/>
      <protection hidden="1"/>
    </xf>
    <xf numFmtId="0" fontId="57" fillId="0" borderId="16" xfId="0" applyFont="1" applyBorder="1" applyAlignment="1" applyProtection="1">
      <alignment horizontal="center" vertical="center" wrapText="1"/>
      <protection hidden="1"/>
    </xf>
    <xf numFmtId="0" fontId="37" fillId="19" borderId="23" xfId="0" applyFont="1" applyFill="1" applyBorder="1" applyAlignment="1" applyProtection="1">
      <alignment horizontal="center" vertical="center"/>
      <protection hidden="1"/>
    </xf>
    <xf numFmtId="0" fontId="37" fillId="19" borderId="24" xfId="0" applyFont="1" applyFill="1" applyBorder="1" applyAlignment="1" applyProtection="1">
      <alignment horizontal="center" vertical="center"/>
      <protection hidden="1"/>
    </xf>
    <xf numFmtId="0" fontId="37" fillId="19" borderId="25" xfId="0" applyFont="1" applyFill="1" applyBorder="1" applyAlignment="1" applyProtection="1">
      <alignment horizontal="center" vertical="center"/>
      <protection hidden="1"/>
    </xf>
    <xf numFmtId="0" fontId="37" fillId="0" borderId="12" xfId="0" applyFont="1" applyBorder="1" applyAlignment="1" applyProtection="1">
      <alignment horizontal="center" vertical="center"/>
      <protection hidden="1"/>
    </xf>
    <xf numFmtId="0" fontId="37" fillId="0" borderId="0" xfId="0" applyFont="1" applyAlignment="1" applyProtection="1">
      <alignment vertical="center"/>
      <protection hidden="1"/>
    </xf>
    <xf numFmtId="0" fontId="37" fillId="0" borderId="22" xfId="0" applyFont="1" applyBorder="1" applyAlignment="1" applyProtection="1">
      <alignment horizontal="center" vertical="center"/>
      <protection hidden="1"/>
    </xf>
    <xf numFmtId="0" fontId="37" fillId="0" borderId="17" xfId="0" applyFont="1" applyBorder="1" applyAlignment="1" applyProtection="1">
      <alignment horizontal="center" vertical="center"/>
      <protection hidden="1"/>
    </xf>
    <xf numFmtId="0" fontId="37" fillId="0" borderId="18" xfId="0" applyFont="1" applyBorder="1" applyAlignment="1" applyProtection="1">
      <alignment horizontal="center" vertical="center"/>
      <protection hidden="1"/>
    </xf>
    <xf numFmtId="49" fontId="37" fillId="0" borderId="0" xfId="0" applyNumberFormat="1" applyFont="1" applyAlignment="1" applyProtection="1">
      <alignment horizontal="left" vertical="center"/>
      <protection hidden="1"/>
    </xf>
    <xf numFmtId="0" fontId="37" fillId="19" borderId="23" xfId="0" applyFont="1" applyFill="1" applyBorder="1" applyAlignment="1" applyProtection="1">
      <alignment horizontal="center"/>
      <protection hidden="1"/>
    </xf>
    <xf numFmtId="0" fontId="37" fillId="19" borderId="25" xfId="0" applyFont="1" applyFill="1" applyBorder="1" applyAlignment="1" applyProtection="1">
      <alignment horizontal="center"/>
      <protection hidden="1"/>
    </xf>
    <xf numFmtId="49" fontId="48" fillId="0" borderId="15" xfId="0" applyNumberFormat="1" applyFont="1" applyBorder="1" applyAlignment="1">
      <alignment horizontal="left" vertical="center"/>
    </xf>
    <xf numFmtId="0" fontId="37" fillId="0" borderId="0" xfId="0" applyFont="1" applyAlignment="1" applyProtection="1">
      <alignment horizontal="center" vertical="center" wrapText="1"/>
      <protection hidden="1"/>
    </xf>
    <xf numFmtId="0" fontId="37" fillId="0" borderId="0" xfId="0" applyFont="1" applyAlignment="1">
      <alignment horizontal="left" vertical="top" wrapText="1"/>
    </xf>
    <xf numFmtId="0" fontId="48" fillId="0" borderId="0" xfId="0" applyFont="1" applyAlignment="1">
      <alignment horizontal="left" vertical="top" wrapText="1"/>
    </xf>
    <xf numFmtId="0" fontId="51" fillId="0" borderId="0" xfId="0" applyFont="1" applyAlignment="1">
      <alignment horizontal="left" vertical="top" wrapText="1"/>
    </xf>
    <xf numFmtId="175" fontId="37" fillId="0" borderId="15" xfId="0" applyNumberFormat="1" applyFont="1" applyBorder="1" applyAlignment="1" applyProtection="1">
      <alignment horizontal="center" vertical="center"/>
      <protection hidden="1"/>
    </xf>
    <xf numFmtId="0" fontId="37" fillId="0" borderId="15" xfId="0" applyFont="1" applyBorder="1" applyAlignment="1" applyProtection="1">
      <alignment horizontal="center" vertical="center"/>
      <protection hidden="1"/>
    </xf>
    <xf numFmtId="0" fontId="37" fillId="0" borderId="0" xfId="0" applyFont="1" applyAlignment="1" applyProtection="1">
      <alignment horizontal="left" vertical="top" wrapText="1"/>
      <protection hidden="1"/>
    </xf>
    <xf numFmtId="0" fontId="53" fillId="0" borderId="0" xfId="0" applyFont="1" applyAlignment="1">
      <alignment horizontal="center" vertical="center"/>
    </xf>
    <xf numFmtId="0" fontId="47" fillId="0" borderId="0" xfId="0" applyFont="1" applyAlignment="1" applyProtection="1">
      <alignment horizontal="center"/>
      <protection hidden="1"/>
    </xf>
    <xf numFmtId="0" fontId="47" fillId="0" borderId="15" xfId="0" applyFont="1" applyBorder="1" applyAlignment="1" applyProtection="1">
      <alignment horizontal="center"/>
      <protection hidden="1"/>
    </xf>
    <xf numFmtId="0" fontId="37" fillId="0" borderId="0" xfId="0" applyFont="1" applyAlignment="1" applyProtection="1">
      <alignment horizontal="center" vertical="top" wrapText="1"/>
      <protection hidden="1"/>
    </xf>
    <xf numFmtId="0" fontId="53" fillId="0" borderId="0" xfId="0" applyFont="1" applyAlignment="1">
      <alignment horizontal="center"/>
    </xf>
    <xf numFmtId="0" fontId="53" fillId="0" borderId="15" xfId="0" applyFont="1" applyBorder="1" applyAlignment="1">
      <alignment horizontal="center"/>
    </xf>
    <xf numFmtId="0" fontId="49" fillId="0" borderId="0" xfId="0" applyFont="1" applyAlignment="1" applyProtection="1">
      <alignment horizontal="right"/>
      <protection hidden="1"/>
    </xf>
    <xf numFmtId="0" fontId="53" fillId="0" borderId="17" xfId="0" applyFont="1" applyBorder="1" applyAlignment="1">
      <alignment horizontal="center" vertical="center"/>
    </xf>
    <xf numFmtId="0" fontId="51" fillId="0" borderId="0" xfId="0" applyFont="1" applyAlignment="1" applyProtection="1">
      <alignment horizontal="left" vertical="center"/>
      <protection hidden="1"/>
    </xf>
    <xf numFmtId="0" fontId="37" fillId="0" borderId="24" xfId="0" applyFont="1" applyBorder="1" applyAlignment="1" applyProtection="1">
      <alignment horizontal="center" vertical="center"/>
      <protection hidden="1"/>
    </xf>
    <xf numFmtId="0" fontId="42" fillId="0" borderId="0" xfId="0" applyFont="1" applyAlignment="1">
      <alignment horizontal="center" vertical="top" wrapText="1"/>
    </xf>
    <xf numFmtId="0" fontId="42" fillId="0" borderId="0" xfId="0" applyFont="1" applyAlignment="1">
      <alignment horizontal="left" vertical="top" wrapText="1"/>
    </xf>
    <xf numFmtId="0" fontId="37" fillId="0" borderId="0" xfId="0" applyFont="1" applyAlignment="1">
      <alignment horizontal="center" vertical="top" wrapText="1"/>
    </xf>
    <xf numFmtId="0" fontId="48" fillId="0" borderId="0" xfId="0" applyFont="1" applyAlignment="1">
      <alignment horizontal="center" vertical="top" wrapText="1"/>
    </xf>
    <xf numFmtId="0" fontId="42" fillId="0" borderId="26" xfId="0" applyFont="1" applyBorder="1" applyAlignment="1">
      <alignment horizontal="center" vertical="top" wrapText="1"/>
    </xf>
    <xf numFmtId="165" fontId="42" fillId="0" borderId="16" xfId="0" applyNumberFormat="1" applyFont="1" applyBorder="1" applyAlignment="1">
      <alignment horizontal="center" vertical="top" wrapText="1"/>
    </xf>
    <xf numFmtId="165" fontId="42" fillId="0" borderId="11" xfId="0" applyNumberFormat="1" applyFont="1" applyBorder="1" applyAlignment="1">
      <alignment horizontal="center" vertical="top" wrapText="1"/>
    </xf>
    <xf numFmtId="0" fontId="45" fillId="0" borderId="27" xfId="0" applyFont="1" applyBorder="1" applyAlignment="1">
      <alignment horizontal="center" vertical="top" wrapText="1"/>
    </xf>
    <xf numFmtId="0" fontId="45" fillId="0" borderId="28" xfId="0" applyFont="1" applyBorder="1" applyAlignment="1">
      <alignment horizontal="center" vertical="top" wrapText="1"/>
    </xf>
    <xf numFmtId="0" fontId="45" fillId="0" borderId="29" xfId="0" applyFont="1" applyBorder="1" applyAlignment="1">
      <alignment horizontal="center" vertical="top" wrapText="1"/>
    </xf>
    <xf numFmtId="165" fontId="42" fillId="0" borderId="10" xfId="0" applyNumberFormat="1" applyFont="1" applyBorder="1" applyAlignment="1">
      <alignment horizontal="center" vertical="top" wrapText="1"/>
    </xf>
    <xf numFmtId="20" fontId="42" fillId="0" borderId="16" xfId="0" applyNumberFormat="1" applyFont="1" applyBorder="1" applyAlignment="1">
      <alignment horizontal="center" vertical="top" wrapText="1"/>
    </xf>
    <xf numFmtId="20" fontId="42" fillId="0" borderId="11" xfId="0" applyNumberFormat="1" applyFont="1" applyBorder="1" applyAlignment="1">
      <alignment horizontal="center" vertical="top" wrapText="1"/>
    </xf>
    <xf numFmtId="20" fontId="42" fillId="0" borderId="10" xfId="0" applyNumberFormat="1" applyFont="1" applyBorder="1" applyAlignment="1">
      <alignment horizontal="center" vertical="top" wrapText="1"/>
    </xf>
    <xf numFmtId="49" fontId="59" fillId="0" borderId="0" xfId="0" applyNumberFormat="1" applyFont="1" applyAlignment="1">
      <alignment horizontal="center" vertical="top" wrapText="1"/>
    </xf>
    <xf numFmtId="166" fontId="48" fillId="0" borderId="0" xfId="0" applyNumberFormat="1" applyFont="1" applyAlignment="1">
      <alignment horizontal="left" vertical="center"/>
    </xf>
    <xf numFmtId="0" fontId="58" fillId="0" borderId="0" xfId="0" applyFont="1" applyAlignment="1">
      <alignment horizontal="center" vertical="top" wrapText="1"/>
    </xf>
    <xf numFmtId="170" fontId="42" fillId="0" borderId="16" xfId="0" applyNumberFormat="1" applyFont="1" applyBorder="1" applyAlignment="1">
      <alignment horizontal="center" vertical="top" wrapText="1"/>
    </xf>
    <xf numFmtId="170" fontId="42" fillId="0" borderId="11" xfId="0" applyNumberFormat="1" applyFont="1" applyBorder="1" applyAlignment="1">
      <alignment horizontal="center" vertical="top" wrapText="1"/>
    </xf>
    <xf numFmtId="170" fontId="42" fillId="0" borderId="10" xfId="0" applyNumberFormat="1" applyFont="1" applyBorder="1" applyAlignment="1">
      <alignment horizontal="center" vertical="top" wrapText="1"/>
    </xf>
    <xf numFmtId="0" fontId="60" fillId="0" borderId="0" xfId="0" applyFont="1" applyAlignment="1" applyProtection="1">
      <alignment horizontal="center" vertical="center"/>
      <protection hidden="1"/>
    </xf>
    <xf numFmtId="0" fontId="40" fillId="0" borderId="0" xfId="0" applyFont="1" applyAlignment="1" applyProtection="1">
      <alignment horizontal="left" vertical="center"/>
      <protection hidden="1"/>
    </xf>
    <xf numFmtId="0" fontId="40" fillId="0" borderId="10" xfId="0" applyFont="1" applyBorder="1" applyAlignment="1" applyProtection="1">
      <alignment horizontal="left" vertical="center" wrapText="1"/>
      <protection hidden="1"/>
    </xf>
    <xf numFmtId="0" fontId="40" fillId="0" borderId="10" xfId="0" applyFont="1" applyBorder="1" applyAlignment="1" applyProtection="1">
      <alignment horizontal="center" vertical="center" wrapText="1"/>
      <protection hidden="1"/>
    </xf>
    <xf numFmtId="0" fontId="40" fillId="0" borderId="19" xfId="0" applyFont="1" applyBorder="1" applyAlignment="1" applyProtection="1">
      <alignment horizontal="center" vertical="center" wrapText="1"/>
      <protection hidden="1"/>
    </xf>
    <xf numFmtId="0" fontId="40" fillId="0" borderId="0" xfId="0" applyFont="1" applyAlignment="1" applyProtection="1">
      <alignment horizontal="center" vertical="center"/>
      <protection hidden="1"/>
    </xf>
    <xf numFmtId="0" fontId="40" fillId="0" borderId="15" xfId="0" applyFont="1" applyBorder="1" applyAlignment="1" applyProtection="1">
      <alignment horizontal="center" vertical="center"/>
      <protection hidden="1"/>
    </xf>
    <xf numFmtId="0" fontId="40" fillId="0" borderId="14" xfId="0" applyFont="1" applyBorder="1" applyAlignment="1" applyProtection="1">
      <alignment horizontal="left" vertical="center"/>
      <protection hidden="1"/>
    </xf>
    <xf numFmtId="0" fontId="40" fillId="0" borderId="15" xfId="0" applyFont="1" applyBorder="1" applyAlignment="1" applyProtection="1">
      <alignment horizontal="left" vertical="center"/>
      <protection hidden="1"/>
    </xf>
    <xf numFmtId="166" fontId="40" fillId="0" borderId="15" xfId="0" applyNumberFormat="1" applyFont="1" applyBorder="1" applyAlignment="1" applyProtection="1">
      <alignment horizontal="left" vertical="center"/>
      <protection hidden="1"/>
    </xf>
    <xf numFmtId="0" fontId="40" fillId="0" borderId="12" xfId="0" applyFont="1" applyBorder="1" applyAlignment="1" applyProtection="1">
      <alignment horizontal="left" vertical="center"/>
      <protection hidden="1"/>
    </xf>
    <xf numFmtId="0" fontId="40" fillId="0" borderId="13" xfId="0" applyFont="1" applyBorder="1" applyAlignment="1" applyProtection="1">
      <alignment horizontal="left" vertical="center"/>
      <protection hidden="1"/>
    </xf>
    <xf numFmtId="0" fontId="61" fillId="0" borderId="0" xfId="0" applyFont="1" applyAlignment="1">
      <alignment horizontal="left" vertical="center"/>
    </xf>
    <xf numFmtId="165" fontId="60" fillId="0" borderId="11" xfId="0" applyNumberFormat="1" applyFont="1" applyBorder="1" applyAlignment="1" applyProtection="1">
      <alignment horizontal="center" vertical="center"/>
      <protection hidden="1"/>
    </xf>
    <xf numFmtId="165" fontId="60" fillId="0" borderId="10" xfId="0" applyNumberFormat="1" applyFont="1" applyBorder="1" applyAlignment="1" applyProtection="1">
      <alignment horizontal="center" vertical="center"/>
      <protection hidden="1"/>
    </xf>
    <xf numFmtId="165" fontId="62" fillId="0" borderId="10" xfId="0" applyNumberFormat="1" applyFont="1" applyBorder="1" applyAlignment="1">
      <alignment horizontal="center" vertical="center"/>
    </xf>
    <xf numFmtId="0" fontId="40" fillId="0" borderId="30" xfId="0" applyFont="1" applyBorder="1" applyAlignment="1" applyProtection="1">
      <alignment horizontal="center" vertical="center"/>
      <protection hidden="1"/>
    </xf>
    <xf numFmtId="167" fontId="60" fillId="0" borderId="10" xfId="0" applyNumberFormat="1" applyFont="1" applyBorder="1" applyAlignment="1" applyProtection="1">
      <alignment horizontal="center" vertical="center"/>
      <protection hidden="1"/>
    </xf>
    <xf numFmtId="167" fontId="60" fillId="0" borderId="23" xfId="0" applyNumberFormat="1" applyFont="1" applyBorder="1" applyAlignment="1" applyProtection="1">
      <alignment horizontal="center" vertical="center"/>
      <protection hidden="1"/>
    </xf>
    <xf numFmtId="167" fontId="62" fillId="0" borderId="10" xfId="0" applyNumberFormat="1" applyFont="1" applyBorder="1" applyAlignment="1">
      <alignment horizontal="center" vertical="center"/>
    </xf>
    <xf numFmtId="0" fontId="60" fillId="0" borderId="0" xfId="0" applyFont="1" applyAlignment="1" applyProtection="1">
      <alignment horizontal="center"/>
      <protection hidden="1"/>
    </xf>
    <xf numFmtId="49" fontId="60" fillId="0" borderId="0" xfId="0" applyNumberFormat="1" applyFont="1" applyAlignment="1" applyProtection="1">
      <alignment horizontal="center" vertical="top"/>
      <protection hidden="1"/>
    </xf>
    <xf numFmtId="0" fontId="60" fillId="0" borderId="0" xfId="0" applyFont="1" applyAlignment="1" applyProtection="1">
      <alignment horizontal="center" vertical="top"/>
      <protection hidden="1"/>
    </xf>
    <xf numFmtId="0" fontId="40" fillId="0" borderId="22" xfId="0" applyFont="1" applyBorder="1" applyAlignment="1" applyProtection="1">
      <alignment horizontal="left" vertical="center"/>
      <protection hidden="1"/>
    </xf>
    <xf numFmtId="0" fontId="40" fillId="0" borderId="17" xfId="0" applyFont="1" applyBorder="1" applyAlignment="1" applyProtection="1">
      <alignment horizontal="left" vertical="center"/>
      <protection hidden="1"/>
    </xf>
    <xf numFmtId="0" fontId="40" fillId="0" borderId="18" xfId="0" applyFont="1" applyBorder="1" applyAlignment="1" applyProtection="1">
      <alignment horizontal="left" vertical="center"/>
      <protection hidden="1"/>
    </xf>
    <xf numFmtId="0" fontId="40" fillId="0" borderId="17" xfId="0" applyFont="1" applyBorder="1" applyAlignment="1" applyProtection="1">
      <alignment horizontal="center" vertical="center"/>
      <protection hidden="1"/>
    </xf>
    <xf numFmtId="166" fontId="40" fillId="0" borderId="0" xfId="0" applyNumberFormat="1" applyFont="1" applyAlignment="1" applyProtection="1">
      <alignment horizontal="left" vertical="center"/>
      <protection hidden="1"/>
    </xf>
    <xf numFmtId="166" fontId="40" fillId="0" borderId="13" xfId="0" applyNumberFormat="1" applyFont="1" applyBorder="1" applyAlignment="1" applyProtection="1">
      <alignment horizontal="left" vertical="center"/>
      <protection hidden="1"/>
    </xf>
    <xf numFmtId="1" fontId="61" fillId="0" borderId="0" xfId="0" applyNumberFormat="1" applyFont="1" applyAlignment="1">
      <alignment horizontal="right" vertical="center"/>
    </xf>
    <xf numFmtId="1" fontId="61" fillId="0" borderId="15" xfId="0" applyNumberFormat="1" applyFont="1" applyBorder="1" applyAlignment="1">
      <alignment horizontal="right" vertical="center"/>
    </xf>
    <xf numFmtId="49" fontId="61" fillId="0" borderId="0" xfId="0" applyNumberFormat="1" applyFont="1" applyAlignment="1">
      <alignment horizontal="left" vertical="center"/>
    </xf>
    <xf numFmtId="49" fontId="61" fillId="0" borderId="13" xfId="0" applyNumberFormat="1" applyFont="1" applyBorder="1" applyAlignment="1">
      <alignment horizontal="left" vertical="center"/>
    </xf>
    <xf numFmtId="49" fontId="61" fillId="0" borderId="15" xfId="0" applyNumberFormat="1" applyFont="1" applyBorder="1" applyAlignment="1">
      <alignment horizontal="left" vertical="center"/>
    </xf>
    <xf numFmtId="49" fontId="61" fillId="0" borderId="16" xfId="0" applyNumberFormat="1" applyFont="1" applyBorder="1" applyAlignment="1">
      <alignment horizontal="left" vertical="center"/>
    </xf>
    <xf numFmtId="164" fontId="61" fillId="0" borderId="0" xfId="0" applyNumberFormat="1" applyFont="1" applyAlignment="1">
      <alignment horizontal="right" vertical="center"/>
    </xf>
    <xf numFmtId="164" fontId="61" fillId="0" borderId="15" xfId="0" applyNumberFormat="1" applyFont="1" applyBorder="1" applyAlignment="1">
      <alignment horizontal="right" vertical="center"/>
    </xf>
    <xf numFmtId="0" fontId="40" fillId="0" borderId="13" xfId="0" applyFont="1" applyBorder="1" applyAlignment="1" applyProtection="1">
      <alignment horizontal="center" vertical="center"/>
      <protection hidden="1"/>
    </xf>
    <xf numFmtId="49" fontId="61" fillId="0" borderId="24" xfId="0" applyNumberFormat="1" applyFont="1" applyBorder="1" applyAlignment="1">
      <alignment horizontal="left" vertical="center"/>
    </xf>
    <xf numFmtId="0" fontId="61" fillId="0" borderId="13" xfId="0" applyFont="1" applyBorder="1" applyAlignment="1">
      <alignment horizontal="left" vertical="center"/>
    </xf>
    <xf numFmtId="0" fontId="61" fillId="0" borderId="17" xfId="0" applyFont="1" applyBorder="1" applyAlignment="1">
      <alignment horizontal="left" vertical="center"/>
    </xf>
    <xf numFmtId="0" fontId="61" fillId="0" borderId="18" xfId="0" applyFont="1" applyBorder="1" applyAlignment="1">
      <alignment horizontal="left" vertical="center"/>
    </xf>
    <xf numFmtId="166" fontId="61" fillId="0" borderId="24" xfId="0" applyNumberFormat="1" applyFont="1" applyBorder="1" applyAlignment="1">
      <alignment horizontal="left" vertical="center"/>
    </xf>
    <xf numFmtId="0" fontId="40" fillId="0" borderId="12" xfId="0" applyFont="1" applyBorder="1" applyAlignment="1" applyProtection="1">
      <alignment horizontal="center" vertical="center"/>
      <protection hidden="1"/>
    </xf>
    <xf numFmtId="0" fontId="61" fillId="0" borderId="0" xfId="0" applyFont="1" applyAlignment="1">
      <alignment horizontal="center" vertical="center"/>
    </xf>
    <xf numFmtId="0" fontId="61" fillId="0" borderId="15" xfId="0" applyFont="1" applyBorder="1" applyAlignment="1">
      <alignment horizontal="center" vertical="center"/>
    </xf>
    <xf numFmtId="0" fontId="40" fillId="0" borderId="14" xfId="0" applyFont="1" applyBorder="1" applyAlignment="1" applyProtection="1">
      <alignment horizontal="center" vertical="center"/>
      <protection hidden="1"/>
    </xf>
    <xf numFmtId="0" fontId="40" fillId="0" borderId="16" xfId="0" applyFont="1" applyBorder="1" applyAlignment="1" applyProtection="1">
      <alignment horizontal="center" vertical="center"/>
      <protection hidden="1"/>
    </xf>
    <xf numFmtId="0" fontId="63" fillId="0" borderId="15" xfId="0" applyFont="1" applyBorder="1" applyAlignment="1">
      <alignment horizontal="left" vertical="top"/>
    </xf>
    <xf numFmtId="0" fontId="37" fillId="0" borderId="10" xfId="0" applyFont="1" applyBorder="1" applyAlignment="1">
      <alignment horizontal="center" vertical="center"/>
    </xf>
    <xf numFmtId="0" fontId="37" fillId="0" borderId="10" xfId="0" applyFont="1" applyBorder="1" applyAlignment="1">
      <alignment horizontal="left" vertical="center"/>
    </xf>
    <xf numFmtId="0" fontId="48" fillId="0" borderId="12" xfId="0" applyFont="1" applyBorder="1" applyAlignment="1">
      <alignment horizontal="center" vertical="top"/>
    </xf>
    <xf numFmtId="0" fontId="48" fillId="0" borderId="0" xfId="0" applyFont="1" applyAlignment="1">
      <alignment horizontal="center" vertical="top"/>
    </xf>
    <xf numFmtId="0" fontId="48" fillId="0" borderId="15" xfId="0" applyFont="1" applyBorder="1" applyAlignment="1">
      <alignment horizontal="center" vertical="top"/>
    </xf>
    <xf numFmtId="0" fontId="64" fillId="0" borderId="0" xfId="0" applyFont="1" applyAlignment="1">
      <alignment horizontal="center" vertical="top"/>
    </xf>
    <xf numFmtId="20" fontId="48" fillId="0" borderId="15" xfId="0" applyNumberFormat="1" applyFont="1" applyBorder="1" applyAlignment="1">
      <alignment horizontal="center" vertical="top"/>
    </xf>
    <xf numFmtId="174" fontId="48" fillId="0" borderId="15" xfId="0" applyNumberFormat="1" applyFont="1" applyBorder="1" applyAlignment="1">
      <alignment horizontal="center" vertical="top"/>
    </xf>
    <xf numFmtId="0" fontId="37" fillId="0" borderId="23" xfId="0" applyFont="1" applyBorder="1" applyAlignment="1">
      <alignment horizontal="center" vertical="center"/>
    </xf>
    <xf numFmtId="0" fontId="37" fillId="0" borderId="0" xfId="0" applyFont="1" applyAlignment="1">
      <alignment horizontal="left" vertical="top"/>
    </xf>
    <xf numFmtId="0" fontId="37" fillId="0" borderId="22" xfId="0" applyFont="1" applyBorder="1" applyAlignment="1">
      <alignment horizontal="center" vertical="center"/>
    </xf>
    <xf numFmtId="0" fontId="37" fillId="0" borderId="17" xfId="0" applyFont="1" applyBorder="1" applyAlignment="1">
      <alignment horizontal="center" vertical="center"/>
    </xf>
    <xf numFmtId="0" fontId="37" fillId="0" borderId="18" xfId="0" applyFont="1" applyBorder="1" applyAlignment="1">
      <alignment horizontal="center" vertical="center"/>
    </xf>
    <xf numFmtId="0" fontId="63" fillId="0" borderId="0" xfId="0" applyFont="1" applyAlignment="1">
      <alignment horizontal="left" vertical="top"/>
    </xf>
    <xf numFmtId="0" fontId="51" fillId="0" borderId="0" xfId="0" applyFont="1" applyAlignment="1" applyProtection="1">
      <alignment horizontal="center" vertical="center"/>
      <protection hidden="1"/>
    </xf>
    <xf numFmtId="0" fontId="37" fillId="0" borderId="14" xfId="0" applyFont="1" applyBorder="1" applyAlignment="1">
      <alignment horizontal="center" vertical="center"/>
    </xf>
    <xf numFmtId="0" fontId="37" fillId="0" borderId="15" xfId="0" applyFont="1" applyBorder="1" applyAlignment="1">
      <alignment horizontal="center" vertical="center"/>
    </xf>
    <xf numFmtId="0" fontId="37" fillId="0" borderId="16" xfId="0" applyFont="1" applyBorder="1" applyAlignment="1">
      <alignment horizontal="center" vertical="center"/>
    </xf>
    <xf numFmtId="165" fontId="48" fillId="0" borderId="10" xfId="0" applyNumberFormat="1" applyFont="1" applyBorder="1" applyAlignment="1">
      <alignment horizontal="center" vertical="center"/>
    </xf>
    <xf numFmtId="168" fontId="48" fillId="0" borderId="10" xfId="0" applyNumberFormat="1" applyFont="1" applyBorder="1" applyAlignment="1">
      <alignment horizontal="center" vertical="center"/>
    </xf>
    <xf numFmtId="168" fontId="37" fillId="0" borderId="10" xfId="0" applyNumberFormat="1" applyFont="1" applyBorder="1" applyAlignment="1" applyProtection="1">
      <alignment horizontal="center" vertical="center"/>
      <protection hidden="1"/>
    </xf>
    <xf numFmtId="165" fontId="37" fillId="0" borderId="10" xfId="0" applyNumberFormat="1" applyFont="1" applyBorder="1" applyAlignment="1" applyProtection="1">
      <alignment horizontal="center" vertical="center"/>
      <protection hidden="1"/>
    </xf>
    <xf numFmtId="164" fontId="48" fillId="0" borderId="10" xfId="0" applyNumberFormat="1" applyFont="1" applyBorder="1" applyAlignment="1">
      <alignment horizontal="center" vertical="center"/>
    </xf>
    <xf numFmtId="167" fontId="48" fillId="0" borderId="10" xfId="0" applyNumberFormat="1" applyFont="1" applyBorder="1" applyAlignment="1">
      <alignment horizontal="center" vertical="center"/>
    </xf>
    <xf numFmtId="176" fontId="37" fillId="0" borderId="0" xfId="0" applyNumberFormat="1" applyFont="1" applyAlignment="1" applyProtection="1">
      <alignment horizontal="left" vertical="center"/>
      <protection hidden="1"/>
    </xf>
    <xf numFmtId="165" fontId="37" fillId="0" borderId="0" xfId="0" applyNumberFormat="1" applyFont="1" applyAlignment="1" applyProtection="1">
      <alignment horizontal="left" vertical="center"/>
      <protection hidden="1"/>
    </xf>
    <xf numFmtId="168" fontId="37" fillId="0" borderId="17" xfId="0" applyNumberFormat="1" applyFont="1" applyBorder="1" applyAlignment="1" applyProtection="1">
      <alignment horizontal="left" vertical="center"/>
      <protection hidden="1"/>
    </xf>
    <xf numFmtId="49" fontId="48" fillId="0" borderId="10" xfId="0" applyNumberFormat="1" applyFont="1" applyBorder="1" applyAlignment="1">
      <alignment horizontal="left" vertical="center"/>
    </xf>
    <xf numFmtId="164" fontId="37" fillId="0" borderId="10" xfId="0" applyNumberFormat="1" applyFont="1" applyBorder="1" applyAlignment="1" applyProtection="1">
      <alignment horizontal="left" vertical="center"/>
      <protection hidden="1"/>
    </xf>
    <xf numFmtId="0" fontId="51" fillId="0" borderId="10" xfId="0" applyFont="1" applyBorder="1" applyAlignment="1" applyProtection="1">
      <alignment horizontal="left" vertical="center"/>
      <protection hidden="1"/>
    </xf>
    <xf numFmtId="165" fontId="37" fillId="0" borderId="23" xfId="0" applyNumberFormat="1" applyFont="1" applyBorder="1" applyAlignment="1" applyProtection="1">
      <alignment horizontal="center" vertical="center"/>
      <protection hidden="1"/>
    </xf>
    <xf numFmtId="165" fontId="37" fillId="0" borderId="24" xfId="0" applyNumberFormat="1" applyFont="1" applyBorder="1" applyAlignment="1" applyProtection="1">
      <alignment horizontal="center" vertical="center"/>
      <protection hidden="1"/>
    </xf>
    <xf numFmtId="165" fontId="37" fillId="0" borderId="25" xfId="0" applyNumberFormat="1" applyFont="1" applyBorder="1" applyAlignment="1" applyProtection="1">
      <alignment horizontal="center" vertical="center"/>
      <protection hidden="1"/>
    </xf>
    <xf numFmtId="0" fontId="37" fillId="19" borderId="22" xfId="0" applyFont="1" applyFill="1" applyBorder="1" applyAlignment="1" applyProtection="1">
      <alignment horizontal="center" vertical="center"/>
      <protection hidden="1"/>
    </xf>
    <xf numFmtId="0" fontId="37" fillId="19" borderId="17" xfId="0" applyFont="1" applyFill="1" applyBorder="1" applyAlignment="1" applyProtection="1">
      <alignment horizontal="center" vertical="center"/>
      <protection hidden="1"/>
    </xf>
    <xf numFmtId="0" fontId="37" fillId="19" borderId="18" xfId="0" applyFont="1" applyFill="1" applyBorder="1" applyAlignment="1" applyProtection="1">
      <alignment horizontal="center" vertical="center"/>
      <protection hidden="1"/>
    </xf>
    <xf numFmtId="0" fontId="37" fillId="19" borderId="14" xfId="0" applyFont="1" applyFill="1" applyBorder="1" applyAlignment="1" applyProtection="1">
      <alignment horizontal="center" vertical="center"/>
      <protection hidden="1"/>
    </xf>
    <xf numFmtId="0" fontId="37" fillId="19" borderId="15" xfId="0" applyFont="1" applyFill="1" applyBorder="1" applyAlignment="1" applyProtection="1">
      <alignment horizontal="center" vertical="center"/>
      <protection hidden="1"/>
    </xf>
    <xf numFmtId="0" fontId="37" fillId="19" borderId="16" xfId="0" applyFont="1" applyFill="1" applyBorder="1" applyAlignment="1" applyProtection="1">
      <alignment horizontal="center" vertical="center"/>
      <protection hidden="1"/>
    </xf>
    <xf numFmtId="0" fontId="37" fillId="0" borderId="22" xfId="0" applyFont="1" applyBorder="1" applyAlignment="1" applyProtection="1">
      <alignment horizontal="left" vertical="center"/>
      <protection hidden="1"/>
    </xf>
    <xf numFmtId="0" fontId="37" fillId="0" borderId="12" xfId="0" applyFont="1" applyBorder="1" applyAlignment="1" applyProtection="1">
      <alignment horizontal="left" vertical="center"/>
      <protection hidden="1"/>
    </xf>
    <xf numFmtId="0" fontId="37" fillId="0" borderId="14" xfId="0" applyFont="1" applyBorder="1" applyAlignment="1" applyProtection="1">
      <alignment horizontal="left" vertical="center"/>
      <protection hidden="1"/>
    </xf>
    <xf numFmtId="167" fontId="37" fillId="0" borderId="10" xfId="0" applyNumberFormat="1" applyFont="1" applyBorder="1" applyAlignment="1" applyProtection="1">
      <alignment horizontal="center" vertical="center"/>
      <protection hidden="1"/>
    </xf>
    <xf numFmtId="0" fontId="37" fillId="0" borderId="14" xfId="0" applyFont="1" applyBorder="1" applyAlignment="1" applyProtection="1">
      <alignment horizontal="center" vertical="center"/>
      <protection hidden="1"/>
    </xf>
    <xf numFmtId="0" fontId="37" fillId="0" borderId="16" xfId="0" applyFont="1" applyBorder="1" applyAlignment="1" applyProtection="1">
      <alignment horizontal="center" vertical="center"/>
      <protection hidden="1"/>
    </xf>
    <xf numFmtId="165" fontId="37" fillId="0" borderId="0" xfId="0" applyNumberFormat="1" applyFont="1" applyAlignment="1" applyProtection="1">
      <alignment horizontal="right" vertical="center"/>
      <protection hidden="1"/>
    </xf>
    <xf numFmtId="0" fontId="51" fillId="0" borderId="21" xfId="0" applyFont="1" applyBorder="1" applyAlignment="1" applyProtection="1">
      <alignment horizontal="left" vertical="center"/>
      <protection hidden="1"/>
    </xf>
    <xf numFmtId="0" fontId="37" fillId="0" borderId="22" xfId="0" applyFont="1" applyBorder="1" applyAlignment="1" applyProtection="1">
      <alignment horizontal="center" vertical="center" wrapText="1"/>
      <protection hidden="1"/>
    </xf>
    <xf numFmtId="0" fontId="37" fillId="0" borderId="17" xfId="0" applyFont="1" applyBorder="1" applyAlignment="1" applyProtection="1">
      <alignment horizontal="center" vertical="center" wrapText="1"/>
      <protection hidden="1"/>
    </xf>
    <xf numFmtId="0" fontId="37" fillId="0" borderId="18" xfId="0" applyFont="1" applyBorder="1" applyAlignment="1" applyProtection="1">
      <alignment horizontal="center" vertical="center" wrapText="1"/>
      <protection hidden="1"/>
    </xf>
    <xf numFmtId="2" fontId="48" fillId="0" borderId="0" xfId="0" applyNumberFormat="1" applyFont="1" applyAlignment="1">
      <alignment horizontal="left" vertical="center"/>
    </xf>
    <xf numFmtId="0" fontId="37" fillId="0" borderId="0" xfId="0" applyFont="1" applyAlignment="1" applyProtection="1">
      <alignment horizontal="right" vertical="center"/>
      <protection hidden="1"/>
    </xf>
    <xf numFmtId="2" fontId="37" fillId="0" borderId="0" xfId="0" applyNumberFormat="1" applyFont="1" applyAlignment="1" applyProtection="1">
      <alignment horizontal="left" vertical="center"/>
      <protection hidden="1"/>
    </xf>
    <xf numFmtId="0" fontId="37" fillId="0" borderId="21" xfId="0" applyFont="1" applyBorder="1" applyAlignment="1" applyProtection="1">
      <alignment horizontal="left" vertical="center"/>
      <protection hidden="1"/>
    </xf>
    <xf numFmtId="176" fontId="37" fillId="0" borderId="21" xfId="0" applyNumberFormat="1" applyFont="1" applyBorder="1" applyAlignment="1" applyProtection="1">
      <alignment horizontal="left" vertical="center"/>
      <protection hidden="1"/>
    </xf>
    <xf numFmtId="164" fontId="48" fillId="0" borderId="10" xfId="0" applyNumberFormat="1" applyFont="1" applyBorder="1" applyAlignment="1">
      <alignment horizontal="left" vertical="center"/>
    </xf>
    <xf numFmtId="0" fontId="37" fillId="0" borderId="10" xfId="0" applyFont="1" applyBorder="1" applyAlignment="1" applyProtection="1">
      <alignment horizontal="left" vertical="center"/>
      <protection hidden="1"/>
    </xf>
    <xf numFmtId="0" fontId="48" fillId="0" borderId="14" xfId="0" applyFont="1" applyBorder="1" applyAlignment="1">
      <alignment horizontal="center" vertical="center"/>
    </xf>
    <xf numFmtId="0" fontId="48" fillId="0" borderId="15" xfId="0" applyFont="1" applyBorder="1" applyAlignment="1">
      <alignment horizontal="center" vertical="center"/>
    </xf>
    <xf numFmtId="0" fontId="48" fillId="0" borderId="16" xfId="0" applyFont="1" applyBorder="1" applyAlignment="1">
      <alignment horizontal="center" vertical="center"/>
    </xf>
    <xf numFmtId="169" fontId="48" fillId="0" borderId="0" xfId="0" applyNumberFormat="1" applyFont="1" applyAlignment="1">
      <alignment horizontal="left" vertical="center"/>
    </xf>
    <xf numFmtId="169" fontId="48" fillId="0" borderId="15" xfId="0" applyNumberFormat="1" applyFont="1" applyBorder="1" applyAlignment="1">
      <alignment horizontal="left" vertical="center"/>
    </xf>
    <xf numFmtId="169" fontId="37" fillId="0" borderId="0" xfId="0" applyNumberFormat="1" applyFont="1" applyAlignment="1">
      <alignment horizontal="left" vertical="center"/>
    </xf>
    <xf numFmtId="169" fontId="37" fillId="0" borderId="15" xfId="0" applyNumberFormat="1" applyFont="1" applyBorder="1" applyAlignment="1">
      <alignment horizontal="left" vertical="center"/>
    </xf>
    <xf numFmtId="168" fontId="48" fillId="0" borderId="15" xfId="0" applyNumberFormat="1" applyFont="1" applyBorder="1" applyAlignment="1">
      <alignment horizontal="center" vertical="center"/>
    </xf>
    <xf numFmtId="2" fontId="48" fillId="0" borderId="15" xfId="0" applyNumberFormat="1" applyFont="1" applyBorder="1" applyAlignment="1">
      <alignment horizontal="left" vertical="center"/>
    </xf>
    <xf numFmtId="0" fontId="37" fillId="0" borderId="14" xfId="0" applyFont="1" applyBorder="1" applyAlignment="1" applyProtection="1">
      <alignment horizontal="left" vertical="center" wrapText="1"/>
      <protection hidden="1"/>
    </xf>
    <xf numFmtId="0" fontId="37" fillId="0" borderId="15" xfId="0" applyFont="1" applyBorder="1" applyAlignment="1" applyProtection="1">
      <alignment horizontal="left" vertical="center" wrapText="1"/>
      <protection hidden="1"/>
    </xf>
    <xf numFmtId="166" fontId="37" fillId="0" borderId="15" xfId="0" applyNumberFormat="1" applyFont="1" applyBorder="1" applyAlignment="1">
      <alignment horizontal="left" vertical="center"/>
    </xf>
    <xf numFmtId="0" fontId="37" fillId="0" borderId="22" xfId="0" applyFont="1" applyBorder="1" applyAlignment="1" applyProtection="1">
      <alignment horizontal="left" vertical="center" wrapText="1"/>
      <protection hidden="1"/>
    </xf>
    <xf numFmtId="0" fontId="37" fillId="0" borderId="17" xfId="0" applyFont="1" applyBorder="1" applyAlignment="1" applyProtection="1">
      <alignment horizontal="left" vertical="center" wrapText="1"/>
      <protection hidden="1"/>
    </xf>
    <xf numFmtId="0" fontId="37" fillId="0" borderId="18" xfId="0" applyFont="1" applyBorder="1" applyAlignment="1" applyProtection="1">
      <alignment horizontal="left" vertical="center"/>
      <protection hidden="1"/>
    </xf>
    <xf numFmtId="0" fontId="37" fillId="0" borderId="16" xfId="0" applyFont="1" applyBorder="1" applyAlignment="1" applyProtection="1">
      <alignment horizontal="left" vertical="center"/>
      <protection hidden="1"/>
    </xf>
    <xf numFmtId="0" fontId="37" fillId="0" borderId="26" xfId="0" applyFont="1" applyBorder="1" applyAlignment="1" applyProtection="1">
      <alignment horizontal="center" vertical="center"/>
      <protection hidden="1"/>
    </xf>
    <xf numFmtId="165" fontId="48" fillId="0" borderId="0" xfId="0" applyNumberFormat="1" applyFont="1" applyAlignment="1">
      <alignment horizontal="right" vertical="center"/>
    </xf>
    <xf numFmtId="20" fontId="37" fillId="0" borderId="21" xfId="0" applyNumberFormat="1" applyFont="1" applyBorder="1" applyAlignment="1" applyProtection="1">
      <alignment horizontal="left" vertical="center"/>
      <protection hidden="1"/>
    </xf>
    <xf numFmtId="0" fontId="37" fillId="0" borderId="13" xfId="0" applyFont="1" applyBorder="1" applyAlignment="1" applyProtection="1">
      <alignment horizontal="left" vertical="center"/>
      <protection hidden="1"/>
    </xf>
    <xf numFmtId="0" fontId="37" fillId="0" borderId="13" xfId="0" applyFont="1" applyBorder="1" applyAlignment="1" applyProtection="1">
      <alignment horizontal="center" vertical="center"/>
      <protection hidden="1"/>
    </xf>
    <xf numFmtId="0" fontId="57" fillId="18" borderId="22" xfId="0" applyFont="1" applyFill="1" applyBorder="1" applyAlignment="1" applyProtection="1">
      <alignment horizontal="left" vertical="center"/>
      <protection hidden="1"/>
    </xf>
    <xf numFmtId="0" fontId="57" fillId="18" borderId="17" xfId="0" applyFont="1" applyFill="1" applyBorder="1" applyAlignment="1" applyProtection="1">
      <alignment horizontal="left" vertical="center"/>
      <protection hidden="1"/>
    </xf>
    <xf numFmtId="0" fontId="57" fillId="18" borderId="18" xfId="0" applyFont="1" applyFill="1" applyBorder="1" applyAlignment="1" applyProtection="1">
      <alignment horizontal="left" vertical="center"/>
      <protection hidden="1"/>
    </xf>
    <xf numFmtId="0" fontId="57" fillId="18" borderId="14" xfId="0" applyFont="1" applyFill="1" applyBorder="1" applyAlignment="1" applyProtection="1">
      <alignment horizontal="left" vertical="center"/>
      <protection hidden="1"/>
    </xf>
    <xf numFmtId="0" fontId="57" fillId="18" borderId="15" xfId="0" applyFont="1" applyFill="1" applyBorder="1" applyAlignment="1" applyProtection="1">
      <alignment horizontal="left" vertical="center"/>
      <protection hidden="1"/>
    </xf>
    <xf numFmtId="0" fontId="57" fillId="18" borderId="16" xfId="0" applyFont="1" applyFill="1" applyBorder="1" applyAlignment="1" applyProtection="1">
      <alignment horizontal="left" vertical="center"/>
      <protection hidden="1"/>
    </xf>
    <xf numFmtId="0" fontId="51" fillId="0" borderId="10" xfId="0" applyFont="1" applyBorder="1" applyAlignment="1">
      <alignment horizontal="center" vertical="center"/>
    </xf>
    <xf numFmtId="0" fontId="49" fillId="0" borderId="0" xfId="0" applyFont="1" applyAlignment="1" applyProtection="1">
      <alignment horizontal="center"/>
      <protection hidden="1"/>
    </xf>
    <xf numFmtId="0" fontId="52" fillId="0" borderId="17" xfId="0" applyFont="1" applyBorder="1" applyAlignment="1">
      <alignment vertical="center"/>
    </xf>
    <xf numFmtId="0" fontId="52" fillId="0" borderId="18" xfId="0" applyFont="1" applyBorder="1" applyAlignment="1">
      <alignment vertical="center"/>
    </xf>
    <xf numFmtId="0" fontId="52" fillId="0" borderId="14" xfId="0" applyFont="1" applyBorder="1" applyAlignment="1">
      <alignment vertical="center"/>
    </xf>
    <xf numFmtId="0" fontId="52" fillId="0" borderId="15" xfId="0" applyFont="1" applyBorder="1" applyAlignment="1">
      <alignment vertical="center"/>
    </xf>
    <xf numFmtId="0" fontId="52" fillId="0" borderId="16" xfId="0" applyFont="1" applyBorder="1" applyAlignment="1">
      <alignment vertical="center"/>
    </xf>
    <xf numFmtId="0" fontId="37" fillId="0" borderId="26" xfId="0" applyFont="1" applyBorder="1" applyAlignment="1" applyProtection="1">
      <alignment horizontal="left" vertical="center"/>
      <protection hidden="1"/>
    </xf>
    <xf numFmtId="165" fontId="51" fillId="0" borderId="0" xfId="0" applyNumberFormat="1" applyFont="1" applyAlignment="1" applyProtection="1">
      <alignment horizontal="right" vertical="center"/>
      <protection hidden="1"/>
    </xf>
    <xf numFmtId="165" fontId="40" fillId="0" borderId="0" xfId="0" applyNumberFormat="1" applyFont="1"/>
    <xf numFmtId="0" fontId="37" fillId="0" borderId="16" xfId="0" applyFont="1" applyBorder="1" applyAlignment="1" applyProtection="1">
      <alignment horizontal="left" vertical="center" wrapText="1"/>
      <protection hidden="1"/>
    </xf>
    <xf numFmtId="0" fontId="48" fillId="0" borderId="22" xfId="0" applyFont="1" applyBorder="1" applyAlignment="1">
      <alignment horizontal="center" vertical="center"/>
    </xf>
    <xf numFmtId="0" fontId="48" fillId="0" borderId="17" xfId="0" applyFont="1" applyBorder="1" applyAlignment="1">
      <alignment horizontal="center" vertical="center"/>
    </xf>
    <xf numFmtId="0" fontId="48" fillId="0" borderId="18" xfId="0" applyFont="1" applyBorder="1" applyAlignment="1">
      <alignment horizontal="center" vertical="center"/>
    </xf>
    <xf numFmtId="0" fontId="37" fillId="0" borderId="18" xfId="0" applyFont="1" applyBorder="1" applyAlignment="1" applyProtection="1">
      <alignment horizontal="left" vertical="center" wrapText="1"/>
      <protection hidden="1"/>
    </xf>
    <xf numFmtId="0" fontId="51" fillId="0" borderId="10" xfId="0" applyFont="1" applyBorder="1" applyAlignment="1" applyProtection="1">
      <alignment horizontal="center" vertical="center"/>
      <protection hidden="1"/>
    </xf>
    <xf numFmtId="0" fontId="49" fillId="0" borderId="10" xfId="0" applyFont="1" applyBorder="1" applyAlignment="1" applyProtection="1">
      <alignment horizontal="center" vertical="center" wrapText="1"/>
      <protection hidden="1"/>
    </xf>
    <xf numFmtId="167" fontId="37" fillId="0" borderId="17" xfId="0" applyNumberFormat="1" applyFont="1" applyBorder="1" applyAlignment="1" applyProtection="1">
      <alignment horizontal="left" vertical="center"/>
      <protection hidden="1"/>
    </xf>
    <xf numFmtId="175" fontId="37" fillId="0" borderId="0" xfId="0" applyNumberFormat="1" applyFont="1" applyAlignment="1" applyProtection="1">
      <alignment horizontal="left" vertical="center"/>
      <protection hidden="1"/>
    </xf>
    <xf numFmtId="175" fontId="37" fillId="0" borderId="21" xfId="0" applyNumberFormat="1" applyFont="1" applyBorder="1" applyAlignment="1" applyProtection="1">
      <alignment horizontal="left" vertical="center"/>
      <protection hidden="1"/>
    </xf>
    <xf numFmtId="0" fontId="50" fillId="0" borderId="0" xfId="0" applyFont="1" applyAlignment="1" applyProtection="1">
      <alignment horizontal="right" vertical="center"/>
      <protection hidden="1"/>
    </xf>
    <xf numFmtId="0" fontId="37" fillId="0" borderId="15" xfId="0" applyFont="1" applyBorder="1" applyAlignment="1" applyProtection="1">
      <alignment vertical="center"/>
      <protection hidden="1"/>
    </xf>
    <xf numFmtId="0" fontId="51" fillId="0" borderId="21" xfId="0" applyFont="1" applyBorder="1" applyAlignment="1" applyProtection="1">
      <alignment vertical="center"/>
      <protection hidden="1"/>
    </xf>
    <xf numFmtId="0" fontId="37" fillId="0" borderId="21" xfId="0" applyFont="1" applyBorder="1" applyAlignment="1" applyProtection="1">
      <alignment vertical="center"/>
      <protection hidden="1"/>
    </xf>
    <xf numFmtId="176" fontId="37" fillId="0" borderId="21" xfId="0" applyNumberFormat="1" applyFont="1" applyBorder="1" applyAlignment="1" applyProtection="1">
      <alignment vertical="center"/>
      <protection hidden="1"/>
    </xf>
    <xf numFmtId="20" fontId="37" fillId="0" borderId="21" xfId="0" applyNumberFormat="1" applyFont="1" applyBorder="1" applyAlignment="1" applyProtection="1">
      <alignment vertical="center"/>
      <protection hidden="1"/>
    </xf>
    <xf numFmtId="20" fontId="48" fillId="0" borderId="0" xfId="0" applyNumberFormat="1" applyFont="1" applyAlignment="1">
      <alignment horizontal="left" vertical="center"/>
    </xf>
    <xf numFmtId="20" fontId="48" fillId="0" borderId="13" xfId="0" applyNumberFormat="1" applyFont="1" applyBorder="1" applyAlignment="1">
      <alignment horizontal="left" vertical="center"/>
    </xf>
    <xf numFmtId="0" fontId="48" fillId="0" borderId="13" xfId="0" applyFont="1" applyBorder="1" applyAlignment="1">
      <alignment horizontal="left" vertical="center"/>
    </xf>
    <xf numFmtId="2" fontId="48" fillId="0" borderId="0" xfId="0" applyNumberFormat="1" applyFont="1" applyAlignment="1">
      <alignment vertical="center"/>
    </xf>
    <xf numFmtId="169" fontId="37" fillId="0" borderId="0" xfId="0" applyNumberFormat="1" applyFont="1" applyAlignment="1">
      <alignment vertical="center"/>
    </xf>
    <xf numFmtId="169" fontId="37" fillId="0" borderId="15" xfId="0" applyNumberFormat="1" applyFont="1" applyBorder="1" applyAlignment="1">
      <alignment vertical="center"/>
    </xf>
    <xf numFmtId="2" fontId="48" fillId="0" borderId="15" xfId="0" applyNumberFormat="1" applyFont="1" applyBorder="1" applyAlignment="1">
      <alignment vertical="center"/>
    </xf>
    <xf numFmtId="166" fontId="37" fillId="0" borderId="15" xfId="0" applyNumberFormat="1" applyFont="1" applyBorder="1" applyAlignment="1">
      <alignment vertical="center"/>
    </xf>
    <xf numFmtId="169" fontId="48" fillId="0" borderId="0" xfId="0" applyNumberFormat="1" applyFont="1" applyAlignment="1">
      <alignment vertical="center"/>
    </xf>
    <xf numFmtId="169" fontId="48" fillId="0" borderId="15" xfId="0" applyNumberFormat="1" applyFont="1" applyBorder="1" applyAlignment="1">
      <alignment vertical="center"/>
    </xf>
    <xf numFmtId="2" fontId="37" fillId="0" borderId="0" xfId="0" applyNumberFormat="1" applyFont="1" applyAlignment="1" applyProtection="1">
      <alignment vertical="center"/>
      <protection hidden="1"/>
    </xf>
    <xf numFmtId="167" fontId="48" fillId="0" borderId="23" xfId="0" applyNumberFormat="1" applyFont="1" applyBorder="1" applyAlignment="1">
      <alignment horizontal="center" vertical="center"/>
    </xf>
    <xf numFmtId="167" fontId="48" fillId="0" borderId="24" xfId="0" applyNumberFormat="1" applyFont="1" applyBorder="1" applyAlignment="1">
      <alignment horizontal="center" vertical="center"/>
    </xf>
    <xf numFmtId="167" fontId="48" fillId="0" borderId="25" xfId="0" applyNumberFormat="1" applyFont="1" applyBorder="1" applyAlignment="1">
      <alignment horizontal="center" vertical="center"/>
    </xf>
    <xf numFmtId="0" fontId="52" fillId="0" borderId="17" xfId="0" applyFont="1" applyBorder="1"/>
    <xf numFmtId="0" fontId="52" fillId="0" borderId="18" xfId="0" applyFont="1" applyBorder="1"/>
    <xf numFmtId="0" fontId="52" fillId="0" borderId="14" xfId="0" applyFont="1" applyBorder="1"/>
    <xf numFmtId="0" fontId="52" fillId="0" borderId="15" xfId="0" applyFont="1" applyBorder="1"/>
    <xf numFmtId="0" fontId="52" fillId="0" borderId="16" xfId="0" applyFont="1" applyBorder="1"/>
    <xf numFmtId="20" fontId="37" fillId="0" borderId="21" xfId="0" applyNumberFormat="1" applyFont="1" applyBorder="1" applyProtection="1">
      <protection hidden="1"/>
    </xf>
    <xf numFmtId="2" fontId="37" fillId="0" borderId="0" xfId="0" applyNumberFormat="1" applyFont="1" applyProtection="1">
      <protection hidden="1"/>
    </xf>
    <xf numFmtId="2" fontId="48" fillId="0" borderId="0" xfId="0" applyNumberFormat="1" applyFont="1"/>
    <xf numFmtId="0" fontId="37" fillId="0" borderId="15" xfId="0" applyFont="1" applyBorder="1" applyProtection="1">
      <protection hidden="1"/>
    </xf>
    <xf numFmtId="0" fontId="37" fillId="0" borderId="10" xfId="0" applyFont="1" applyBorder="1" applyAlignment="1" applyProtection="1">
      <alignment horizontal="center" vertical="center"/>
      <protection hidden="1"/>
    </xf>
    <xf numFmtId="49" fontId="37" fillId="0" borderId="14" xfId="0" applyNumberFormat="1" applyFont="1" applyBorder="1" applyAlignment="1" applyProtection="1">
      <alignment horizontal="center" vertical="center"/>
      <protection hidden="1"/>
    </xf>
    <xf numFmtId="49" fontId="37" fillId="0" borderId="15" xfId="0" applyNumberFormat="1" applyFont="1" applyBorder="1" applyAlignment="1" applyProtection="1">
      <alignment horizontal="center" vertical="center"/>
      <protection hidden="1"/>
    </xf>
    <xf numFmtId="49" fontId="37" fillId="0" borderId="16" xfId="0" applyNumberFormat="1" applyFont="1" applyBorder="1" applyAlignment="1" applyProtection="1">
      <alignment horizontal="center" vertical="center"/>
      <protection hidden="1"/>
    </xf>
    <xf numFmtId="0" fontId="51" fillId="0" borderId="21" xfId="0" applyFont="1" applyBorder="1" applyProtection="1">
      <protection hidden="1"/>
    </xf>
    <xf numFmtId="0" fontId="37" fillId="0" borderId="0" xfId="46" applyFont="1" applyAlignment="1" applyProtection="1">
      <alignment horizontal="left" vertical="center"/>
      <protection hidden="1"/>
    </xf>
    <xf numFmtId="0" fontId="37" fillId="0" borderId="0" xfId="46" applyFont="1" applyAlignment="1" applyProtection="1">
      <alignment horizontal="center" vertical="center"/>
      <protection hidden="1"/>
    </xf>
    <xf numFmtId="0" fontId="37" fillId="0" borderId="10" xfId="0" applyFont="1" applyBorder="1" applyAlignment="1" applyProtection="1">
      <alignment horizontal="center" vertical="center" wrapText="1"/>
      <protection hidden="1"/>
    </xf>
    <xf numFmtId="2" fontId="48" fillId="0" borderId="15" xfId="0" applyNumberFormat="1" applyFont="1" applyBorder="1"/>
    <xf numFmtId="166" fontId="37" fillId="0" borderId="15" xfId="0" applyNumberFormat="1" applyFont="1" applyBorder="1"/>
    <xf numFmtId="169" fontId="37" fillId="0" borderId="0" xfId="0" applyNumberFormat="1" applyFont="1"/>
    <xf numFmtId="0" fontId="37" fillId="0" borderId="21" xfId="0" applyFont="1" applyBorder="1" applyProtection="1">
      <protection hidden="1"/>
    </xf>
    <xf numFmtId="176" fontId="37" fillId="0" borderId="21" xfId="0" applyNumberFormat="1" applyFont="1" applyBorder="1" applyProtection="1">
      <protection hidden="1"/>
    </xf>
    <xf numFmtId="0" fontId="37" fillId="0" borderId="0" xfId="0" applyFont="1" applyProtection="1">
      <protection hidden="1"/>
    </xf>
    <xf numFmtId="169" fontId="48" fillId="0" borderId="0" xfId="0" applyNumberFormat="1" applyFont="1"/>
    <xf numFmtId="169" fontId="48" fillId="0" borderId="15" xfId="0" applyNumberFormat="1" applyFont="1" applyBorder="1"/>
    <xf numFmtId="169" fontId="37" fillId="0" borderId="15" xfId="0" applyNumberFormat="1" applyFont="1" applyBorder="1"/>
    <xf numFmtId="175" fontId="37" fillId="0" borderId="21" xfId="0" applyNumberFormat="1" applyFont="1" applyBorder="1" applyAlignment="1" applyProtection="1">
      <alignment vertical="center"/>
      <protection hidden="1"/>
    </xf>
    <xf numFmtId="165" fontId="48" fillId="0" borderId="10" xfId="46" applyNumberFormat="1" applyFont="1" applyBorder="1" applyAlignment="1">
      <alignment horizontal="center" vertical="center"/>
    </xf>
    <xf numFmtId="164" fontId="48" fillId="0" borderId="10" xfId="46" applyNumberFormat="1" applyFont="1" applyBorder="1" applyAlignment="1">
      <alignment horizontal="center" vertical="center"/>
    </xf>
    <xf numFmtId="167" fontId="48" fillId="0" borderId="10" xfId="46" applyNumberFormat="1" applyFont="1" applyBorder="1" applyAlignment="1">
      <alignment horizontal="center" vertical="center"/>
    </xf>
    <xf numFmtId="175" fontId="37" fillId="0" borderId="21" xfId="0" applyNumberFormat="1" applyFont="1" applyBorder="1" applyProtection="1">
      <protection hidden="1"/>
    </xf>
    <xf numFmtId="0" fontId="51" fillId="0" borderId="15" xfId="0" applyFont="1" applyBorder="1" applyAlignment="1" applyProtection="1">
      <alignment horizontal="left" vertical="center"/>
      <protection hidden="1"/>
    </xf>
    <xf numFmtId="0" fontId="48" fillId="0" borderId="17" xfId="0" applyFont="1" applyBorder="1" applyAlignment="1">
      <alignment horizontal="left" vertical="center"/>
    </xf>
    <xf numFmtId="175" fontId="48" fillId="0" borderId="0" xfId="0" applyNumberFormat="1" applyFont="1" applyAlignment="1">
      <alignment horizontal="left" vertical="center"/>
    </xf>
    <xf numFmtId="49" fontId="48" fillId="0" borderId="26" xfId="0" applyNumberFormat="1" applyFont="1" applyBorder="1" applyAlignment="1">
      <alignment horizontal="left" vertical="center"/>
    </xf>
    <xf numFmtId="0" fontId="53" fillId="0" borderId="0" xfId="0" applyFont="1"/>
    <xf numFmtId="175" fontId="48" fillId="0" borderId="26" xfId="0" applyNumberFormat="1" applyFont="1" applyBorder="1" applyAlignment="1">
      <alignment horizontal="left" vertical="center"/>
    </xf>
    <xf numFmtId="20" fontId="48" fillId="0" borderId="26" xfId="0" applyNumberFormat="1" applyFont="1" applyBorder="1" applyAlignment="1">
      <alignment horizontal="left" vertical="center"/>
    </xf>
    <xf numFmtId="0" fontId="47" fillId="0" borderId="0" xfId="48" applyFont="1" applyAlignment="1" applyProtection="1">
      <alignment horizontal="center"/>
      <protection hidden="1"/>
    </xf>
    <xf numFmtId="0" fontId="47" fillId="0" borderId="15" xfId="48" applyFont="1" applyBorder="1" applyAlignment="1" applyProtection="1">
      <alignment horizontal="center"/>
      <protection hidden="1"/>
    </xf>
    <xf numFmtId="0" fontId="65" fillId="0" borderId="0" xfId="48" applyFont="1" applyAlignment="1" applyProtection="1">
      <alignment horizontal="left" vertical="center"/>
      <protection hidden="1"/>
    </xf>
    <xf numFmtId="0" fontId="66" fillId="0" borderId="0" xfId="48" applyFont="1" applyAlignment="1" applyProtection="1">
      <alignment horizontal="left" vertical="center"/>
      <protection hidden="1"/>
    </xf>
    <xf numFmtId="0" fontId="65" fillId="0" borderId="0" xfId="48" applyFont="1" applyAlignment="1" applyProtection="1">
      <alignment horizontal="right" vertical="center"/>
      <protection hidden="1"/>
    </xf>
    <xf numFmtId="0" fontId="47" fillId="0" borderId="17" xfId="48" applyFont="1" applyBorder="1" applyAlignment="1" applyProtection="1">
      <alignment horizontal="center" vertical="center"/>
      <protection hidden="1"/>
    </xf>
    <xf numFmtId="49" fontId="44" fillId="0" borderId="12" xfId="48" applyNumberFormat="1" applyFont="1" applyBorder="1" applyAlignment="1" applyProtection="1">
      <alignment horizontal="right" vertical="top"/>
      <protection hidden="1"/>
    </xf>
    <xf numFmtId="49" fontId="44" fillId="0" borderId="0" xfId="48" applyNumberFormat="1" applyFont="1" applyAlignment="1" applyProtection="1">
      <alignment horizontal="right" vertical="top"/>
      <protection hidden="1"/>
    </xf>
    <xf numFmtId="1" fontId="44" fillId="0" borderId="15" xfId="48" applyNumberFormat="1" applyFont="1" applyBorder="1" applyAlignment="1" applyProtection="1">
      <alignment horizontal="center"/>
      <protection hidden="1"/>
    </xf>
    <xf numFmtId="1" fontId="44" fillId="0" borderId="16" xfId="48" applyNumberFormat="1" applyFont="1" applyBorder="1" applyAlignment="1" applyProtection="1">
      <alignment horizontal="center"/>
      <protection hidden="1"/>
    </xf>
    <xf numFmtId="49" fontId="44" fillId="0" borderId="24" xfId="48" applyNumberFormat="1" applyFont="1" applyBorder="1" applyAlignment="1" applyProtection="1">
      <alignment horizontal="center"/>
      <protection hidden="1"/>
    </xf>
    <xf numFmtId="176" fontId="44" fillId="0" borderId="14" xfId="48" applyNumberFormat="1" applyFont="1" applyBorder="1" applyAlignment="1" applyProtection="1">
      <alignment horizontal="center" vertical="center"/>
      <protection hidden="1"/>
    </xf>
    <xf numFmtId="176" fontId="44" fillId="0" borderId="15" xfId="48" applyNumberFormat="1" applyFont="1" applyBorder="1" applyAlignment="1" applyProtection="1">
      <alignment horizontal="center" vertical="center"/>
      <protection hidden="1"/>
    </xf>
    <xf numFmtId="176" fontId="44" fillId="0" borderId="16" xfId="48" applyNumberFormat="1" applyFont="1" applyBorder="1" applyAlignment="1" applyProtection="1">
      <alignment horizontal="center" vertical="center"/>
      <protection hidden="1"/>
    </xf>
    <xf numFmtId="0" fontId="44" fillId="0" borderId="0" xfId="48" applyFont="1" applyAlignment="1" applyProtection="1">
      <alignment horizontal="center" vertical="top" wrapText="1"/>
      <protection hidden="1"/>
    </xf>
    <xf numFmtId="0" fontId="44" fillId="0" borderId="0" xfId="48" applyFont="1" applyAlignment="1" applyProtection="1">
      <alignment horizontal="center" vertical="top"/>
      <protection hidden="1"/>
    </xf>
    <xf numFmtId="176" fontId="44" fillId="0" borderId="23" xfId="48" applyNumberFormat="1" applyFont="1" applyBorder="1" applyAlignment="1" applyProtection="1">
      <alignment horizontal="center" vertical="center"/>
      <protection hidden="1"/>
    </xf>
    <xf numFmtId="176" fontId="44" fillId="0" borderId="24" xfId="48" applyNumberFormat="1" applyFont="1" applyBorder="1" applyAlignment="1" applyProtection="1">
      <alignment horizontal="center" vertical="center"/>
      <protection hidden="1"/>
    </xf>
    <xf numFmtId="0" fontId="44" fillId="0" borderId="0" xfId="48" applyFont="1" applyAlignment="1">
      <alignment horizontal="center" vertical="top"/>
    </xf>
    <xf numFmtId="0" fontId="44" fillId="0" borderId="14" xfId="48" applyFont="1" applyBorder="1" applyAlignment="1" applyProtection="1">
      <alignment horizontal="center" vertical="center"/>
      <protection hidden="1"/>
    </xf>
    <xf numFmtId="0" fontId="44" fillId="0" borderId="15" xfId="48" applyFont="1" applyBorder="1" applyAlignment="1" applyProtection="1">
      <alignment horizontal="center" vertical="center"/>
      <protection hidden="1"/>
    </xf>
    <xf numFmtId="0" fontId="44" fillId="0" borderId="23" xfId="48" applyFont="1" applyBorder="1" applyAlignment="1" applyProtection="1">
      <alignment horizontal="center" vertical="center"/>
      <protection hidden="1"/>
    </xf>
    <xf numFmtId="0" fontId="44" fillId="0" borderId="24" xfId="48" applyFont="1" applyBorder="1" applyAlignment="1" applyProtection="1">
      <alignment horizontal="center" vertical="center"/>
      <protection hidden="1"/>
    </xf>
    <xf numFmtId="0" fontId="44" fillId="0" borderId="15" xfId="48" applyFont="1" applyBorder="1" applyAlignment="1">
      <alignment horizontal="center" vertical="center"/>
    </xf>
    <xf numFmtId="0" fontId="43" fillId="0" borderId="0" xfId="48" applyFont="1" applyAlignment="1" applyProtection="1">
      <alignment horizontal="left" vertical="center"/>
      <protection hidden="1"/>
    </xf>
    <xf numFmtId="0" fontId="43" fillId="0" borderId="0" xfId="48" applyFont="1" applyAlignment="1" applyProtection="1">
      <alignment horizontal="center" vertical="center"/>
      <protection hidden="1"/>
    </xf>
    <xf numFmtId="0" fontId="44" fillId="0" borderId="15" xfId="48" applyFont="1" applyBorder="1" applyAlignment="1">
      <alignment horizontal="left" vertical="top" wrapText="1"/>
    </xf>
    <xf numFmtId="0" fontId="44" fillId="0" borderId="17" xfId="48" applyFont="1" applyBorder="1" applyAlignment="1">
      <alignment horizontal="left" vertical="top" wrapText="1"/>
    </xf>
    <xf numFmtId="0" fontId="43" fillId="0" borderId="23" xfId="48" applyFont="1" applyBorder="1" applyAlignment="1" applyProtection="1">
      <alignment horizontal="center" vertical="center"/>
      <protection hidden="1"/>
    </xf>
    <xf numFmtId="0" fontId="43" fillId="0" borderId="24" xfId="48" applyFont="1" applyBorder="1" applyAlignment="1" applyProtection="1">
      <alignment horizontal="center" vertical="center"/>
      <protection hidden="1"/>
    </xf>
    <xf numFmtId="0" fontId="43" fillId="0" borderId="25" xfId="48" applyFont="1" applyBorder="1" applyAlignment="1" applyProtection="1">
      <alignment horizontal="center" vertical="center"/>
      <protection hidden="1"/>
    </xf>
    <xf numFmtId="1" fontId="61" fillId="0" borderId="0" xfId="0" applyNumberFormat="1" applyFont="1" applyAlignment="1">
      <alignment horizontal="left" vertical="center"/>
    </xf>
    <xf numFmtId="49" fontId="43" fillId="0" borderId="23" xfId="48" applyNumberFormat="1" applyFont="1" applyBorder="1" applyAlignment="1" applyProtection="1">
      <alignment horizontal="center" vertical="center"/>
      <protection hidden="1"/>
    </xf>
    <xf numFmtId="49" fontId="43" fillId="0" borderId="24" xfId="48" applyNumberFormat="1" applyFont="1" applyBorder="1" applyAlignment="1" applyProtection="1">
      <alignment horizontal="center" vertical="center"/>
      <protection hidden="1"/>
    </xf>
    <xf numFmtId="49" fontId="43" fillId="0" borderId="25" xfId="48" applyNumberFormat="1" applyFont="1" applyBorder="1" applyAlignment="1" applyProtection="1">
      <alignment horizontal="center" vertical="center"/>
      <protection hidden="1"/>
    </xf>
    <xf numFmtId="0" fontId="44" fillId="0" borderId="15" xfId="48" applyFont="1" applyBorder="1" applyAlignment="1">
      <alignment horizontal="left" vertical="top"/>
    </xf>
    <xf numFmtId="0" fontId="44" fillId="0" borderId="15" xfId="48" applyFont="1" applyBorder="1" applyAlignment="1" applyProtection="1">
      <alignment horizontal="left" vertical="center" shrinkToFit="1"/>
      <protection hidden="1"/>
    </xf>
    <xf numFmtId="0" fontId="44" fillId="0" borderId="15" xfId="48" applyFont="1" applyBorder="1" applyAlignment="1" applyProtection="1">
      <alignment horizontal="left" vertical="top"/>
      <protection hidden="1"/>
    </xf>
    <xf numFmtId="0" fontId="44" fillId="0" borderId="0" xfId="48" applyFont="1" applyAlignment="1" applyProtection="1">
      <alignment horizontal="left" vertical="top"/>
      <protection hidden="1"/>
    </xf>
    <xf numFmtId="0" fontId="44" fillId="0" borderId="0" xfId="48" applyFont="1" applyAlignment="1" applyProtection="1">
      <alignment vertical="top"/>
      <protection hidden="1"/>
    </xf>
    <xf numFmtId="0" fontId="42" fillId="0" borderId="0" xfId="48" applyFont="1" applyAlignment="1" applyProtection="1">
      <alignment horizontal="center" vertical="center"/>
      <protection hidden="1"/>
    </xf>
    <xf numFmtId="0" fontId="67" fillId="0" borderId="0" xfId="48" applyFont="1" applyAlignment="1" applyProtection="1">
      <alignment horizontal="center" vertical="center"/>
      <protection hidden="1"/>
    </xf>
    <xf numFmtId="0" fontId="68" fillId="0" borderId="0" xfId="48" applyFont="1" applyAlignment="1" applyProtection="1">
      <alignment horizontal="center" vertical="center"/>
      <protection hidden="1"/>
    </xf>
    <xf numFmtId="0" fontId="52" fillId="0" borderId="15" xfId="0" applyFont="1" applyBorder="1" applyAlignment="1" applyProtection="1">
      <alignment horizontal="left" vertical="center"/>
      <protection hidden="1"/>
    </xf>
    <xf numFmtId="166" fontId="52" fillId="0" borderId="15" xfId="0" applyNumberFormat="1" applyFont="1" applyBorder="1" applyAlignment="1" applyProtection="1">
      <alignment horizontal="left" vertical="center"/>
      <protection hidden="1"/>
    </xf>
    <xf numFmtId="0" fontId="44" fillId="0" borderId="15" xfId="48" applyFont="1" applyBorder="1" applyAlignment="1" applyProtection="1">
      <alignment horizontal="left" vertical="center"/>
      <protection hidden="1"/>
    </xf>
    <xf numFmtId="0" fontId="44" fillId="0" borderId="24" xfId="48" applyFont="1" applyBorder="1" applyAlignment="1" applyProtection="1">
      <alignment horizontal="left" vertical="center"/>
      <protection hidden="1"/>
    </xf>
    <xf numFmtId="0" fontId="49" fillId="0" borderId="0" xfId="61" applyFont="1" applyAlignment="1" applyProtection="1">
      <alignment horizontal="center"/>
      <protection hidden="1"/>
    </xf>
    <xf numFmtId="0" fontId="53" fillId="0" borderId="0" xfId="61" applyFont="1" applyAlignment="1">
      <alignment horizontal="center" vertical="center"/>
    </xf>
    <xf numFmtId="0" fontId="53" fillId="0" borderId="17" xfId="61" applyFont="1" applyBorder="1" applyAlignment="1">
      <alignment horizontal="center" vertical="center"/>
    </xf>
    <xf numFmtId="0" fontId="49" fillId="0" borderId="0" xfId="61" applyFont="1" applyAlignment="1" applyProtection="1">
      <alignment horizontal="left" vertical="center"/>
      <protection hidden="1"/>
    </xf>
    <xf numFmtId="0" fontId="49" fillId="0" borderId="0" xfId="61" applyFont="1" applyAlignment="1" applyProtection="1">
      <alignment horizontal="right" vertical="center"/>
      <protection hidden="1"/>
    </xf>
    <xf numFmtId="0" fontId="37" fillId="0" borderId="0" xfId="61" applyFont="1" applyAlignment="1" applyProtection="1">
      <alignment horizontal="center" vertical="center"/>
      <protection hidden="1"/>
    </xf>
    <xf numFmtId="0" fontId="53" fillId="0" borderId="0" xfId="61" applyFont="1" applyAlignment="1">
      <alignment horizontal="center"/>
    </xf>
    <xf numFmtId="0" fontId="53" fillId="0" borderId="15" xfId="61" applyFont="1" applyBorder="1" applyAlignment="1">
      <alignment horizontal="center"/>
    </xf>
    <xf numFmtId="49" fontId="63" fillId="0" borderId="34" xfId="61" applyNumberFormat="1" applyFont="1" applyBorder="1" applyAlignment="1">
      <alignment horizontal="center"/>
    </xf>
    <xf numFmtId="49" fontId="63" fillId="0" borderId="35" xfId="61" applyNumberFormat="1" applyFont="1" applyBorder="1" applyAlignment="1">
      <alignment horizontal="center"/>
    </xf>
    <xf numFmtId="49" fontId="63" fillId="0" borderId="36" xfId="61" applyNumberFormat="1" applyFont="1" applyBorder="1" applyAlignment="1">
      <alignment horizontal="center"/>
    </xf>
    <xf numFmtId="0" fontId="74" fillId="0" borderId="17" xfId="61" applyFont="1" applyBorder="1" applyAlignment="1">
      <alignment horizontal="center"/>
    </xf>
    <xf numFmtId="0" fontId="74" fillId="0" borderId="26" xfId="61" applyFont="1" applyBorder="1" applyAlignment="1">
      <alignment horizontal="center"/>
    </xf>
    <xf numFmtId="0" fontId="74" fillId="0" borderId="21" xfId="61" applyFont="1" applyBorder="1" applyAlignment="1">
      <alignment horizontal="left"/>
    </xf>
    <xf numFmtId="0" fontId="63" fillId="0" borderId="0" xfId="61" applyFont="1" applyAlignment="1">
      <alignment horizontal="left"/>
    </xf>
    <xf numFmtId="0" fontId="63" fillId="0" borderId="10" xfId="61" applyFont="1" applyBorder="1" applyAlignment="1">
      <alignment horizontal="center" vertical="center"/>
    </xf>
    <xf numFmtId="49" fontId="63" fillId="0" borderId="0" xfId="61" applyNumberFormat="1" applyFont="1" applyAlignment="1">
      <alignment horizontal="center"/>
    </xf>
    <xf numFmtId="49" fontId="63" fillId="0" borderId="37" xfId="61" applyNumberFormat="1" applyFont="1" applyBorder="1" applyAlignment="1">
      <alignment horizontal="center"/>
    </xf>
    <xf numFmtId="49" fontId="63" fillId="0" borderId="38" xfId="61" applyNumberFormat="1" applyFont="1" applyBorder="1" applyAlignment="1">
      <alignment horizontal="center"/>
    </xf>
    <xf numFmtId="49" fontId="63" fillId="0" borderId="39" xfId="61" applyNumberFormat="1" applyFont="1" applyBorder="1" applyAlignment="1">
      <alignment horizontal="center"/>
    </xf>
    <xf numFmtId="49" fontId="63" fillId="0" borderId="14" xfId="61" applyNumberFormat="1" applyFont="1" applyBorder="1" applyAlignment="1">
      <alignment horizontal="center"/>
    </xf>
    <xf numFmtId="49" fontId="63" fillId="0" borderId="15" xfId="61" applyNumberFormat="1" applyFont="1" applyBorder="1" applyAlignment="1">
      <alignment horizontal="center"/>
    </xf>
    <xf numFmtId="49" fontId="63" fillId="0" borderId="16" xfId="61" applyNumberFormat="1" applyFont="1" applyBorder="1" applyAlignment="1">
      <alignment horizontal="center"/>
    </xf>
    <xf numFmtId="0" fontId="63" fillId="0" borderId="17" xfId="61" applyFont="1" applyBorder="1" applyAlignment="1">
      <alignment horizontal="center"/>
    </xf>
    <xf numFmtId="0" fontId="63" fillId="0" borderId="10" xfId="61" applyFont="1" applyBorder="1" applyAlignment="1">
      <alignment horizontal="center" vertical="center" wrapText="1"/>
    </xf>
    <xf numFmtId="49" fontId="63" fillId="0" borderId="31" xfId="61" applyNumberFormat="1" applyFont="1" applyBorder="1" applyAlignment="1">
      <alignment horizontal="center"/>
    </xf>
    <xf numFmtId="49" fontId="63" fillId="0" borderId="32" xfId="61" applyNumberFormat="1" applyFont="1" applyBorder="1" applyAlignment="1">
      <alignment horizontal="center"/>
    </xf>
    <xf numFmtId="49" fontId="63" fillId="0" borderId="33" xfId="61" applyNumberFormat="1" applyFont="1" applyBorder="1" applyAlignment="1">
      <alignment horizontal="center"/>
    </xf>
    <xf numFmtId="0" fontId="74" fillId="0" borderId="21" xfId="61" applyFont="1" applyBorder="1" applyAlignment="1">
      <alignment horizontal="left" vertical="center"/>
    </xf>
    <xf numFmtId="0" fontId="74" fillId="0" borderId="0" xfId="61" applyFont="1" applyAlignment="1">
      <alignment horizontal="center"/>
    </xf>
    <xf numFmtId="0" fontId="63" fillId="0" borderId="0" xfId="61" applyFont="1" applyAlignment="1">
      <alignment horizontal="center" vertical="center"/>
    </xf>
    <xf numFmtId="0" fontId="63" fillId="0" borderId="19" xfId="61" applyFont="1" applyBorder="1" applyAlignment="1">
      <alignment horizontal="center" vertical="center"/>
    </xf>
    <xf numFmtId="0" fontId="63" fillId="0" borderId="22" xfId="61" applyFont="1" applyBorder="1" applyAlignment="1">
      <alignment horizontal="center" vertical="center"/>
    </xf>
    <xf numFmtId="0" fontId="63" fillId="0" borderId="17" xfId="61" applyFont="1" applyBorder="1" applyAlignment="1">
      <alignment horizontal="center" vertical="center"/>
    </xf>
    <xf numFmtId="0" fontId="63" fillId="0" borderId="18" xfId="61" applyFont="1" applyBorder="1" applyAlignment="1">
      <alignment horizontal="center" vertical="center"/>
    </xf>
    <xf numFmtId="0" fontId="63" fillId="0" borderId="14" xfId="61" applyFont="1" applyBorder="1" applyAlignment="1">
      <alignment horizontal="center" vertical="center"/>
    </xf>
    <xf numFmtId="0" fontId="63" fillId="0" borderId="15" xfId="61" applyFont="1" applyBorder="1" applyAlignment="1">
      <alignment horizontal="center" vertical="center"/>
    </xf>
    <xf numFmtId="0" fontId="63" fillId="0" borderId="16" xfId="61" applyFont="1" applyBorder="1" applyAlignment="1">
      <alignment horizontal="center" vertical="center"/>
    </xf>
    <xf numFmtId="0" fontId="74" fillId="0" borderId="0" xfId="61" applyFont="1" applyAlignment="1">
      <alignment horizontal="left"/>
    </xf>
    <xf numFmtId="0" fontId="37" fillId="0" borderId="0" xfId="61" applyFont="1" applyAlignment="1" applyProtection="1">
      <alignment horizontal="left" vertical="center"/>
      <protection hidden="1"/>
    </xf>
    <xf numFmtId="175" fontId="37" fillId="0" borderId="0" xfId="61" applyNumberFormat="1" applyFont="1" applyAlignment="1" applyProtection="1">
      <alignment horizontal="left" vertical="center"/>
      <protection hidden="1"/>
    </xf>
    <xf numFmtId="0" fontId="50" fillId="0" borderId="0" xfId="61" applyFont="1" applyAlignment="1" applyProtection="1">
      <alignment horizontal="center" vertical="center"/>
      <protection hidden="1"/>
    </xf>
    <xf numFmtId="0" fontId="75" fillId="0" borderId="0" xfId="0" applyFont="1" applyAlignment="1">
      <alignment horizontal="left" vertical="top" wrapText="1"/>
    </xf>
    <xf numFmtId="0" fontId="49" fillId="0" borderId="0" xfId="0" applyFont="1" applyAlignment="1" applyProtection="1">
      <alignment vertical="center"/>
      <protection hidden="1"/>
    </xf>
    <xf numFmtId="1" fontId="40" fillId="0" borderId="15" xfId="0" applyNumberFormat="1" applyFont="1" applyBorder="1" applyAlignment="1" applyProtection="1">
      <alignment horizontal="right" vertical="center"/>
      <protection hidden="1"/>
    </xf>
    <xf numFmtId="49" fontId="40" fillId="0" borderId="0" xfId="0" applyNumberFormat="1" applyFont="1" applyAlignment="1" applyProtection="1">
      <alignment horizontal="left" vertical="center"/>
      <protection hidden="1"/>
    </xf>
    <xf numFmtId="49" fontId="40" fillId="0" borderId="15" xfId="0" applyNumberFormat="1" applyFont="1" applyBorder="1" applyAlignment="1" applyProtection="1">
      <alignment horizontal="left" vertical="center"/>
      <protection hidden="1"/>
    </xf>
    <xf numFmtId="0" fontId="40" fillId="0" borderId="16" xfId="0" applyFont="1" applyBorder="1" applyAlignment="1" applyProtection="1">
      <alignment horizontal="left" vertical="center"/>
      <protection hidden="1"/>
    </xf>
    <xf numFmtId="164" fontId="40" fillId="0" borderId="0" xfId="0" applyNumberFormat="1" applyFont="1" applyAlignment="1" applyProtection="1">
      <alignment horizontal="right" vertical="center"/>
      <protection hidden="1"/>
    </xf>
    <xf numFmtId="164" fontId="40" fillId="0" borderId="15" xfId="0" applyNumberFormat="1" applyFont="1" applyBorder="1" applyAlignment="1" applyProtection="1">
      <alignment horizontal="right" vertical="center"/>
      <protection hidden="1"/>
    </xf>
    <xf numFmtId="1" fontId="40" fillId="0" borderId="0" xfId="0" applyNumberFormat="1" applyFont="1" applyAlignment="1" applyProtection="1">
      <alignment horizontal="right" vertical="center"/>
      <protection hidden="1"/>
    </xf>
    <xf numFmtId="49" fontId="76" fillId="0" borderId="10" xfId="0" applyNumberFormat="1" applyFont="1" applyBorder="1" applyAlignment="1">
      <alignment horizontal="left" vertical="center"/>
    </xf>
    <xf numFmtId="1" fontId="44" fillId="0" borderId="15" xfId="48" applyNumberFormat="1" applyFont="1" applyBorder="1" applyAlignment="1" applyProtection="1">
      <alignment horizontal="center" vertical="top"/>
      <protection hidden="1"/>
    </xf>
    <xf numFmtId="49" fontId="44" fillId="0" borderId="24" xfId="48" applyNumberFormat="1" applyFont="1" applyBorder="1" applyAlignment="1" applyProtection="1">
      <alignment vertical="top"/>
      <protection hidden="1"/>
    </xf>
    <xf numFmtId="0" fontId="48" fillId="0" borderId="0" xfId="0" applyFont="1" applyAlignment="1">
      <alignment vertical="top" wrapText="1"/>
    </xf>
    <xf numFmtId="0" fontId="63" fillId="0" borderId="34" xfId="61" applyFont="1" applyBorder="1" applyAlignment="1">
      <alignment horizontal="center"/>
    </xf>
    <xf numFmtId="0" fontId="63" fillId="0" borderId="35" xfId="61" applyFont="1" applyBorder="1" applyAlignment="1">
      <alignment horizontal="center"/>
    </xf>
    <xf numFmtId="0" fontId="63" fillId="0" borderId="36" xfId="61" applyFont="1" applyBorder="1" applyAlignment="1">
      <alignment horizontal="center"/>
    </xf>
    <xf numFmtId="0" fontId="63" fillId="0" borderId="0" xfId="61" applyFont="1" applyAlignment="1">
      <alignment horizontal="center"/>
    </xf>
    <xf numFmtId="0" fontId="63" fillId="0" borderId="37" xfId="61" applyFont="1" applyBorder="1" applyAlignment="1">
      <alignment horizontal="center"/>
    </xf>
    <xf numFmtId="0" fontId="63" fillId="0" borderId="38" xfId="61" applyFont="1" applyBorder="1" applyAlignment="1">
      <alignment horizontal="center"/>
    </xf>
    <xf numFmtId="0" fontId="63" fillId="0" borderId="39" xfId="61" applyFont="1" applyBorder="1" applyAlignment="1">
      <alignment horizontal="center"/>
    </xf>
    <xf numFmtId="0" fontId="63" fillId="0" borderId="14" xfId="61" applyFont="1" applyBorder="1" applyAlignment="1">
      <alignment horizontal="center"/>
    </xf>
    <xf numFmtId="0" fontId="63" fillId="0" borderId="15" xfId="61" applyFont="1" applyBorder="1" applyAlignment="1">
      <alignment horizontal="center"/>
    </xf>
    <xf numFmtId="0" fontId="63" fillId="0" borderId="16" xfId="61" applyFont="1" applyBorder="1" applyAlignment="1">
      <alignment horizontal="center"/>
    </xf>
    <xf numFmtId="0" fontId="63" fillId="0" borderId="31" xfId="61" applyFont="1" applyBorder="1" applyAlignment="1">
      <alignment horizontal="center"/>
    </xf>
    <xf numFmtId="0" fontId="63" fillId="0" borderId="32" xfId="61" applyFont="1" applyBorder="1" applyAlignment="1">
      <alignment horizontal="center"/>
    </xf>
    <xf numFmtId="0" fontId="63" fillId="0" borderId="33" xfId="61" applyFont="1" applyBorder="1" applyAlignment="1">
      <alignment horizontal="center"/>
    </xf>
  </cellXfs>
  <cellStyles count="62">
    <cellStyle name="20% - Énfasis1" xfId="1" xr:uid="{00000000-0005-0000-0000-000000000000}"/>
    <cellStyle name="20% - Énfasis2" xfId="2" xr:uid="{00000000-0005-0000-0000-000001000000}"/>
    <cellStyle name="20% - Énfasis3" xfId="3" xr:uid="{00000000-0005-0000-0000-000002000000}"/>
    <cellStyle name="20% - Énfasis4" xfId="4" xr:uid="{00000000-0005-0000-0000-000003000000}"/>
    <cellStyle name="20% - Énfasis5" xfId="5" xr:uid="{00000000-0005-0000-0000-000004000000}"/>
    <cellStyle name="20% - Énfasis6" xfId="6" xr:uid="{00000000-0005-0000-0000-000005000000}"/>
    <cellStyle name="40% - Énfasis1" xfId="7" xr:uid="{00000000-0005-0000-0000-000006000000}"/>
    <cellStyle name="40% - Énfasis2" xfId="8" xr:uid="{00000000-0005-0000-0000-000007000000}"/>
    <cellStyle name="40% - Énfasis3" xfId="9" xr:uid="{00000000-0005-0000-0000-000008000000}"/>
    <cellStyle name="40% - Énfasis4" xfId="10" xr:uid="{00000000-0005-0000-0000-000009000000}"/>
    <cellStyle name="40% - Énfasis5" xfId="11" xr:uid="{00000000-0005-0000-0000-00000A000000}"/>
    <cellStyle name="40% - Énfasis6" xfId="12" xr:uid="{00000000-0005-0000-0000-00000B000000}"/>
    <cellStyle name="60% - Énfasis1" xfId="13" xr:uid="{00000000-0005-0000-0000-00000C000000}"/>
    <cellStyle name="60% - Énfasis2" xfId="14" xr:uid="{00000000-0005-0000-0000-00000D000000}"/>
    <cellStyle name="60% - Énfasis3" xfId="15" xr:uid="{00000000-0005-0000-0000-00000E000000}"/>
    <cellStyle name="60% - Énfasis4" xfId="16" xr:uid="{00000000-0005-0000-0000-00000F000000}"/>
    <cellStyle name="60% - Énfasis5" xfId="17" xr:uid="{00000000-0005-0000-0000-000010000000}"/>
    <cellStyle name="60% - Énfasis6" xfId="18" xr:uid="{00000000-0005-0000-0000-000011000000}"/>
    <cellStyle name="Buena" xfId="19" xr:uid="{00000000-0005-0000-0000-000012000000}"/>
    <cellStyle name="Cálculo" xfId="20" xr:uid="{00000000-0005-0000-0000-000013000000}"/>
    <cellStyle name="Celda de comprobación" xfId="21" xr:uid="{00000000-0005-0000-0000-000014000000}"/>
    <cellStyle name="Celda vinculada" xfId="22" xr:uid="{00000000-0005-0000-0000-000015000000}"/>
    <cellStyle name="Encabezado 4" xfId="23" xr:uid="{00000000-0005-0000-0000-000016000000}"/>
    <cellStyle name="Énfasis1" xfId="24" xr:uid="{00000000-0005-0000-0000-000017000000}"/>
    <cellStyle name="Énfasis2" xfId="25" xr:uid="{00000000-0005-0000-0000-000018000000}"/>
    <cellStyle name="Énfasis3" xfId="26" xr:uid="{00000000-0005-0000-0000-000019000000}"/>
    <cellStyle name="Énfasis4" xfId="27" xr:uid="{00000000-0005-0000-0000-00001A000000}"/>
    <cellStyle name="Énfasis5" xfId="28" xr:uid="{00000000-0005-0000-0000-00001B000000}"/>
    <cellStyle name="Énfasis6" xfId="29" xr:uid="{00000000-0005-0000-0000-00001C000000}"/>
    <cellStyle name="Entrada" xfId="30" xr:uid="{00000000-0005-0000-0000-00001D000000}"/>
    <cellStyle name="Euro" xfId="31" xr:uid="{00000000-0005-0000-0000-00001E000000}"/>
    <cellStyle name="Euro 2" xfId="32" xr:uid="{00000000-0005-0000-0000-00001F000000}"/>
    <cellStyle name="Euro 2 2" xfId="33" xr:uid="{00000000-0005-0000-0000-000020000000}"/>
    <cellStyle name="FEET" xfId="34" xr:uid="{00000000-0005-0000-0000-000021000000}"/>
    <cellStyle name="Hipervínculo_BEFORE LOAD KEY MEETING AND ZERO" xfId="35" xr:uid="{00000000-0005-0000-0000-000022000000}"/>
    <cellStyle name="Hyperlink 2" xfId="37" xr:uid="{00000000-0005-0000-0000-000024000000}"/>
    <cellStyle name="Hyperlink 2 2" xfId="38" xr:uid="{00000000-0005-0000-0000-000025000000}"/>
    <cellStyle name="inches" xfId="39" xr:uid="{00000000-0005-0000-0000-000026000000}"/>
    <cellStyle name="Incorrecto" xfId="40" xr:uid="{00000000-0005-0000-0000-000027000000}"/>
    <cellStyle name="incr" xfId="41" xr:uid="{00000000-0005-0000-0000-000028000000}"/>
    <cellStyle name="Köprü" xfId="36" builtinId="8"/>
    <cellStyle name="Neutral 2" xfId="42" xr:uid="{00000000-0005-0000-0000-000029000000}"/>
    <cellStyle name="No-definido" xfId="43" xr:uid="{00000000-0005-0000-0000-00002A000000}"/>
    <cellStyle name="No-definido 2" xfId="44" xr:uid="{00000000-0005-0000-0000-00002B000000}"/>
    <cellStyle name="No-definido 2 2" xfId="45" xr:uid="{00000000-0005-0000-0000-00002C000000}"/>
    <cellStyle name="Normal" xfId="0" builtinId="0"/>
    <cellStyle name="Normal 2" xfId="46" xr:uid="{00000000-0005-0000-0000-00002E000000}"/>
    <cellStyle name="Normal 3" xfId="61" xr:uid="{15D6B677-E7A1-498E-B4B0-0147A8E510BC}"/>
    <cellStyle name="Normal_98-200034" xfId="47" xr:uid="{00000000-0005-0000-0000-00002F000000}"/>
    <cellStyle name="Normal_PAN05 - 0559 M.T. STENA CONCEPT" xfId="48" xr:uid="{00000000-0005-0000-0000-000030000000}"/>
    <cellStyle name="Normal_REP-PROD" xfId="49" xr:uid="{00000000-0005-0000-0000-000031000000}"/>
    <cellStyle name="Notas" xfId="50" xr:uid="{00000000-0005-0000-0000-000032000000}"/>
    <cellStyle name="Salida" xfId="51" xr:uid="{00000000-0005-0000-0000-000033000000}"/>
    <cellStyle name="Texto de advertencia" xfId="52" xr:uid="{00000000-0005-0000-0000-000034000000}"/>
    <cellStyle name="Texto explicativo" xfId="53" xr:uid="{00000000-0005-0000-0000-000035000000}"/>
    <cellStyle name="Título" xfId="54" xr:uid="{00000000-0005-0000-0000-000036000000}"/>
    <cellStyle name="Título 1" xfId="55" xr:uid="{00000000-0005-0000-0000-000037000000}"/>
    <cellStyle name="Título 2" xfId="56" xr:uid="{00000000-0005-0000-0000-000038000000}"/>
    <cellStyle name="Título 3" xfId="57" xr:uid="{00000000-0005-0000-0000-000039000000}"/>
    <cellStyle name="Total 2" xfId="58" xr:uid="{00000000-0005-0000-0000-00003A000000}"/>
    <cellStyle name="표준_BQS_2000_Cal" xfId="59" xr:uid="{00000000-0005-0000-0000-00003B000000}"/>
    <cellStyle name="一般_k1 k2" xfId="60" xr:uid="{00000000-0005-0000-0000-00003C000000}"/>
  </cellStyles>
  <dxfs count="138">
    <dxf>
      <fill>
        <patternFill>
          <bgColor rgb="FFCCCCFF"/>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indexed="31"/>
        </patternFill>
      </fill>
    </dxf>
    <dxf>
      <fill>
        <patternFill>
          <bgColor rgb="FF99FFCC"/>
        </patternFill>
      </fill>
    </dxf>
    <dxf>
      <fill>
        <patternFill>
          <bgColor rgb="FF99FFCC"/>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99FFCC"/>
        </patternFill>
      </fill>
    </dxf>
    <dxf>
      <fill>
        <patternFill>
          <bgColor indexed="31"/>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CCCCFF"/>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indexed="31"/>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99FFCC"/>
        </patternFill>
      </fill>
    </dxf>
    <dxf>
      <fill>
        <patternFill>
          <bgColor indexed="31"/>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99FFCC"/>
        </patternFill>
      </fill>
    </dxf>
    <dxf>
      <fill>
        <patternFill>
          <bgColor indexed="31"/>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CCCCFF"/>
        </patternFill>
      </fill>
    </dxf>
    <dxf>
      <fill>
        <patternFill>
          <bgColor rgb="FF99FFCC"/>
        </patternFill>
      </fill>
    </dxf>
    <dxf>
      <fill>
        <patternFill>
          <bgColor rgb="FFCCCCFF"/>
        </patternFill>
      </fill>
    </dxf>
    <dxf>
      <fill>
        <patternFill>
          <bgColor rgb="FFCCCCFF"/>
        </patternFill>
      </fill>
    </dxf>
    <dxf>
      <fill>
        <patternFill>
          <bgColor rgb="FF99FFCC"/>
        </patternFill>
      </fill>
    </dxf>
    <dxf>
      <fill>
        <patternFill>
          <bgColor rgb="FFCCCCFF"/>
        </patternFill>
      </fill>
    </dxf>
    <dxf>
      <fill>
        <patternFill>
          <bgColor rgb="FF99FFCC"/>
        </patternFill>
      </fill>
    </dxf>
    <dxf>
      <fill>
        <patternFill>
          <bgColor indexed="31"/>
        </patternFill>
      </fill>
    </dxf>
    <dxf>
      <fill>
        <patternFill>
          <bgColor rgb="FFCCCCFF"/>
        </patternFill>
      </fill>
    </dxf>
    <dxf>
      <fill>
        <patternFill>
          <bgColor rgb="FF99FFCC"/>
        </patternFill>
      </fill>
    </dxf>
    <dxf>
      <fill>
        <patternFill>
          <bgColor rgb="FF99FFCC"/>
        </patternFill>
      </fill>
    </dxf>
    <dxf>
      <fill>
        <patternFill>
          <bgColor rgb="FFCCCCFF"/>
        </patternFill>
      </fill>
    </dxf>
    <dxf>
      <fill>
        <patternFill>
          <bgColor rgb="FFCCCCFF"/>
        </patternFill>
      </fill>
    </dxf>
  </dxfs>
  <tableStyles count="0" defaultTableStyle="TableStyleMedium2" defaultPivotStyle="PivotStyleLight16"/>
  <colors>
    <mruColors>
      <color rgb="FF99FFCC"/>
      <color rgb="FFCCCCFF"/>
      <color rgb="FF9999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3" dropStyle="combo" dx="22" fmlaLink="$BM$2" fmlaRange="$BK$2:$BK$4" noThreeD="1" sel="1" val="0"/>
</file>

<file path=xl/ctrlProps/ctrlProp4.xml><?xml version="1.0" encoding="utf-8"?>
<formControlPr xmlns="http://schemas.microsoft.com/office/spreadsheetml/2009/9/main" objectType="Drop" dropLines="6" dropStyle="combo" dx="22" fmlaLink="$BM$6" fmlaRange="$BK$2:$BK$7" noThreeD="1" sel="6" val="0"/>
</file>

<file path=xl/ctrlProps/ctrlProp5.xml><?xml version="1.0" encoding="utf-8"?>
<formControlPr xmlns="http://schemas.microsoft.com/office/spreadsheetml/2009/9/main" objectType="Drop" dropLines="5" dropStyle="combo" dx="22" fmlaLink="$BM$14" fmlaRange="$BK$1:$BK$5" noThreeD="1" sel="2" val="0"/>
</file>

<file path=xl/ctrlProps/ctrlProp6.xml><?xml version="1.0" encoding="utf-8"?>
<formControlPr xmlns="http://schemas.microsoft.com/office/spreadsheetml/2009/9/main" objectType="Drop" dropLines="2" dropStyle="combo" dx="22" fmlaLink="$BM$26" fmlaRange="$BP$9:$BP$10" noThreeD="1" sel="1" val="0"/>
</file>

<file path=xl/ctrlProps/ctrlProp7.xml><?xml version="1.0" encoding="utf-8"?>
<formControlPr xmlns="http://schemas.microsoft.com/office/spreadsheetml/2009/9/main" objectType="Drop" dropLines="5" dropStyle="combo" dx="22" fmlaLink="$BM$30" fmlaRange="$BK$1:$BK$5" noThreeD="1" sel="1" val="0"/>
</file>

<file path=xl/ctrlProps/ctrlProp8.xml><?xml version="1.0" encoding="utf-8"?>
<formControlPr xmlns="http://schemas.microsoft.com/office/spreadsheetml/2009/9/main" objectType="Drop" dropLines="5" dropStyle="combo" dx="22" fmlaLink="$BM$18" fmlaRange="$BP$9:$BP$10" noThreeD="1" sel="2"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25047" name="Picture 1">
          <a:extLst>
            <a:ext uri="{FF2B5EF4-FFF2-40B4-BE49-F238E27FC236}">
              <a16:creationId xmlns:a16="http://schemas.microsoft.com/office/drawing/2014/main" id="{00000000-0008-0000-0000-0000D76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53</xdr:col>
          <xdr:colOff>0</xdr:colOff>
          <xdr:row>1</xdr:row>
          <xdr:rowOff>0</xdr:rowOff>
        </xdr:from>
        <xdr:to>
          <xdr:col>55</xdr:col>
          <xdr:colOff>0</xdr:colOff>
          <xdr:row>4</xdr:row>
          <xdr:rowOff>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600" b="1" i="0" u="none" strike="noStrike" baseline="0">
                  <a:solidFill>
                    <a:srgbClr val="000000"/>
                  </a:solidFill>
                  <a:latin typeface="Calibri"/>
                  <a:cs typeface="Calibri"/>
                </a:rPr>
                <a:t>Hide Data Entry Page</a:t>
              </a:r>
            </a:p>
          </xdr:txBody>
        </xdr:sp>
        <xdr:clientData fPrintsWithSheet="0"/>
      </xdr:twoCellAnchor>
    </mc:Choice>
    <mc:Fallback/>
  </mc:AlternateContent>
  <xdr:twoCellAnchor editAs="oneCell">
    <xdr:from>
      <xdr:col>0</xdr:col>
      <xdr:colOff>0</xdr:colOff>
      <xdr:row>0</xdr:row>
      <xdr:rowOff>0</xdr:rowOff>
    </xdr:from>
    <xdr:to>
      <xdr:col>9</xdr:col>
      <xdr:colOff>57150</xdr:colOff>
      <xdr:row>2</xdr:row>
      <xdr:rowOff>47625</xdr:rowOff>
    </xdr:to>
    <xdr:pic>
      <xdr:nvPicPr>
        <xdr:cNvPr id="7821" name="Picture 1">
          <a:extLst>
            <a:ext uri="{FF2B5EF4-FFF2-40B4-BE49-F238E27FC236}">
              <a16:creationId xmlns:a16="http://schemas.microsoft.com/office/drawing/2014/main" id="{00000000-0008-0000-0100-00008D1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47625</xdr:colOff>
          <xdr:row>103</xdr:row>
          <xdr:rowOff>0</xdr:rowOff>
        </xdr:from>
        <xdr:to>
          <xdr:col>19</xdr:col>
          <xdr:colOff>47625</xdr:colOff>
          <xdr:row>106</xdr:row>
          <xdr:rowOff>133350</xdr:rowOff>
        </xdr:to>
        <xdr:sp macro="" textlink="">
          <xdr:nvSpPr>
            <xdr:cNvPr id="7672" name="Button 504" hidden="1">
              <a:extLst>
                <a:ext uri="{63B3BB69-23CF-44E3-9099-C40C66FF867C}">
                  <a14:compatExt spid="_x0000_s7672"/>
                </a:ext>
                <a:ext uri="{FF2B5EF4-FFF2-40B4-BE49-F238E27FC236}">
                  <a16:creationId xmlns:a16="http://schemas.microsoft.com/office/drawing/2014/main" id="{00000000-0008-0000-0100-0000F81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000000"/>
                  </a:solidFill>
                  <a:latin typeface="Calibri"/>
                  <a:cs typeface="Calibri"/>
                </a:rPr>
                <a:t>Remove conditional formatting (For office use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123825</xdr:rowOff>
        </xdr:from>
        <xdr:to>
          <xdr:col>11</xdr:col>
          <xdr:colOff>104775</xdr:colOff>
          <xdr:row>46</xdr:row>
          <xdr:rowOff>142875</xdr:rowOff>
        </xdr:to>
        <xdr:sp macro="" textlink="">
          <xdr:nvSpPr>
            <xdr:cNvPr id="7761" name="Drop Down 593" hidden="1">
              <a:extLst>
                <a:ext uri="{63B3BB69-23CF-44E3-9099-C40C66FF867C}">
                  <a14:compatExt spid="_x0000_s7761"/>
                </a:ext>
                <a:ext uri="{FF2B5EF4-FFF2-40B4-BE49-F238E27FC236}">
                  <a16:creationId xmlns:a16="http://schemas.microsoft.com/office/drawing/2014/main" id="{00000000-0008-0000-0100-000051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52</xdr:row>
          <xdr:rowOff>9525</xdr:rowOff>
        </xdr:from>
        <xdr:to>
          <xdr:col>12</xdr:col>
          <xdr:colOff>0</xdr:colOff>
          <xdr:row>54</xdr:row>
          <xdr:rowOff>9525</xdr:rowOff>
        </xdr:to>
        <xdr:sp macro="" textlink="">
          <xdr:nvSpPr>
            <xdr:cNvPr id="7766" name="Drop Down 598" hidden="1">
              <a:extLst>
                <a:ext uri="{63B3BB69-23CF-44E3-9099-C40C66FF867C}">
                  <a14:compatExt spid="_x0000_s7766"/>
                </a:ext>
                <a:ext uri="{FF2B5EF4-FFF2-40B4-BE49-F238E27FC236}">
                  <a16:creationId xmlns:a16="http://schemas.microsoft.com/office/drawing/2014/main" id="{00000000-0008-0000-0100-000056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64</xdr:row>
          <xdr:rowOff>9525</xdr:rowOff>
        </xdr:from>
        <xdr:to>
          <xdr:col>12</xdr:col>
          <xdr:colOff>0</xdr:colOff>
          <xdr:row>65</xdr:row>
          <xdr:rowOff>142875</xdr:rowOff>
        </xdr:to>
        <xdr:sp macro="" textlink="">
          <xdr:nvSpPr>
            <xdr:cNvPr id="7771" name="Drop Down 603" hidden="1">
              <a:extLst>
                <a:ext uri="{63B3BB69-23CF-44E3-9099-C40C66FF867C}">
                  <a14:compatExt spid="_x0000_s7771"/>
                </a:ext>
                <a:ext uri="{FF2B5EF4-FFF2-40B4-BE49-F238E27FC236}">
                  <a16:creationId xmlns:a16="http://schemas.microsoft.com/office/drawing/2014/main" id="{00000000-0008-0000-0100-00005B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82</xdr:row>
          <xdr:rowOff>9525</xdr:rowOff>
        </xdr:from>
        <xdr:to>
          <xdr:col>12</xdr:col>
          <xdr:colOff>9525</xdr:colOff>
          <xdr:row>84</xdr:row>
          <xdr:rowOff>0</xdr:rowOff>
        </xdr:to>
        <xdr:sp macro="" textlink="">
          <xdr:nvSpPr>
            <xdr:cNvPr id="7778" name="Drop Down 610" hidden="1">
              <a:extLst>
                <a:ext uri="{63B3BB69-23CF-44E3-9099-C40C66FF867C}">
                  <a14:compatExt spid="_x0000_s7778"/>
                </a:ext>
                <a:ext uri="{FF2B5EF4-FFF2-40B4-BE49-F238E27FC236}">
                  <a16:creationId xmlns:a16="http://schemas.microsoft.com/office/drawing/2014/main" id="{00000000-0008-0000-0100-000062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88</xdr:row>
          <xdr:rowOff>0</xdr:rowOff>
        </xdr:from>
        <xdr:to>
          <xdr:col>11</xdr:col>
          <xdr:colOff>104775</xdr:colOff>
          <xdr:row>89</xdr:row>
          <xdr:rowOff>142875</xdr:rowOff>
        </xdr:to>
        <xdr:sp macro="" textlink="">
          <xdr:nvSpPr>
            <xdr:cNvPr id="7781" name="Drop Down 613" hidden="1">
              <a:extLst>
                <a:ext uri="{63B3BB69-23CF-44E3-9099-C40C66FF867C}">
                  <a14:compatExt spid="_x0000_s7781"/>
                </a:ext>
                <a:ext uri="{FF2B5EF4-FFF2-40B4-BE49-F238E27FC236}">
                  <a16:creationId xmlns:a16="http://schemas.microsoft.com/office/drawing/2014/main" id="{00000000-0008-0000-0100-000065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70</xdr:row>
          <xdr:rowOff>9525</xdr:rowOff>
        </xdr:from>
        <xdr:to>
          <xdr:col>12</xdr:col>
          <xdr:colOff>0</xdr:colOff>
          <xdr:row>71</xdr:row>
          <xdr:rowOff>142875</xdr:rowOff>
        </xdr:to>
        <xdr:sp macro="" textlink="">
          <xdr:nvSpPr>
            <xdr:cNvPr id="7799" name="Drop Down 631" hidden="1">
              <a:extLst>
                <a:ext uri="{63B3BB69-23CF-44E3-9099-C40C66FF867C}">
                  <a14:compatExt spid="_x0000_s7799"/>
                </a:ext>
                <a:ext uri="{FF2B5EF4-FFF2-40B4-BE49-F238E27FC236}">
                  <a16:creationId xmlns:a16="http://schemas.microsoft.com/office/drawing/2014/main" id="{00000000-0008-0000-0100-000077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33109" name="Picture 1">
          <a:extLst>
            <a:ext uri="{FF2B5EF4-FFF2-40B4-BE49-F238E27FC236}">
              <a16:creationId xmlns:a16="http://schemas.microsoft.com/office/drawing/2014/main" id="{00000000-0008-0000-0200-0000558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47625</xdr:rowOff>
    </xdr:to>
    <xdr:pic>
      <xdr:nvPicPr>
        <xdr:cNvPr id="33110" name="Picture 1">
          <a:extLst>
            <a:ext uri="{FF2B5EF4-FFF2-40B4-BE49-F238E27FC236}">
              <a16:creationId xmlns:a16="http://schemas.microsoft.com/office/drawing/2014/main" id="{00000000-0008-0000-0200-0000568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52</xdr:col>
          <xdr:colOff>285750</xdr:colOff>
          <xdr:row>1</xdr:row>
          <xdr:rowOff>0</xdr:rowOff>
        </xdr:from>
        <xdr:to>
          <xdr:col>57</xdr:col>
          <xdr:colOff>47625</xdr:colOff>
          <xdr:row>4</xdr:row>
          <xdr:rowOff>0</xdr:rowOff>
        </xdr:to>
        <xdr:sp macro="" textlink="">
          <xdr:nvSpPr>
            <xdr:cNvPr id="23638" name="Button 86" hidden="1">
              <a:extLst>
                <a:ext uri="{63B3BB69-23CF-44E3-9099-C40C66FF867C}">
                  <a14:compatExt spid="_x0000_s23638"/>
                </a:ext>
                <a:ext uri="{FF2B5EF4-FFF2-40B4-BE49-F238E27FC236}">
                  <a16:creationId xmlns:a16="http://schemas.microsoft.com/office/drawing/2014/main" id="{00000000-0008-0000-0300-000056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tr-TR" sz="1200" b="1" i="0" u="none" strike="noStrike" baseline="0">
                  <a:solidFill>
                    <a:srgbClr val="000000"/>
                  </a:solidFill>
                  <a:latin typeface="Arial"/>
                  <a:cs typeface="Arial"/>
                </a:rPr>
                <a:t>Display Data Entry Page</a:t>
              </a:r>
            </a:p>
          </xdr:txBody>
        </xdr:sp>
        <xdr:clientData fPrintsWithSheet="0"/>
      </xdr:twoCellAnchor>
    </mc:Choice>
    <mc:Fallback/>
  </mc:AlternateContent>
  <xdr:twoCellAnchor editAs="oneCell">
    <xdr:from>
      <xdr:col>0</xdr:col>
      <xdr:colOff>0</xdr:colOff>
      <xdr:row>0</xdr:row>
      <xdr:rowOff>0</xdr:rowOff>
    </xdr:from>
    <xdr:to>
      <xdr:col>9</xdr:col>
      <xdr:colOff>57150</xdr:colOff>
      <xdr:row>2</xdr:row>
      <xdr:rowOff>47625</xdr:rowOff>
    </xdr:to>
    <xdr:pic>
      <xdr:nvPicPr>
        <xdr:cNvPr id="24065" name="Picture 1">
          <a:extLst>
            <a:ext uri="{FF2B5EF4-FFF2-40B4-BE49-F238E27FC236}">
              <a16:creationId xmlns:a16="http://schemas.microsoft.com/office/drawing/2014/main" id="{00000000-0008-0000-0300-0000015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1</xdr:row>
      <xdr:rowOff>161925</xdr:rowOff>
    </xdr:to>
    <xdr:pic>
      <xdr:nvPicPr>
        <xdr:cNvPr id="6801" name="Picture 1">
          <a:extLst>
            <a:ext uri="{FF2B5EF4-FFF2-40B4-BE49-F238E27FC236}">
              <a16:creationId xmlns:a16="http://schemas.microsoft.com/office/drawing/2014/main" id="{00000000-0008-0000-0400-0000911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34132" name="Picture 1">
          <a:extLst>
            <a:ext uri="{FF2B5EF4-FFF2-40B4-BE49-F238E27FC236}">
              <a16:creationId xmlns:a16="http://schemas.microsoft.com/office/drawing/2014/main" id="{00000000-0008-0000-0500-0000548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47625</xdr:rowOff>
    </xdr:to>
    <xdr:pic>
      <xdr:nvPicPr>
        <xdr:cNvPr id="34133" name="Picture 1">
          <a:extLst>
            <a:ext uri="{FF2B5EF4-FFF2-40B4-BE49-F238E27FC236}">
              <a16:creationId xmlns:a16="http://schemas.microsoft.com/office/drawing/2014/main" id="{00000000-0008-0000-0500-0000558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4766" name="Picture 1">
          <a:extLst>
            <a:ext uri="{FF2B5EF4-FFF2-40B4-BE49-F238E27FC236}">
              <a16:creationId xmlns:a16="http://schemas.microsoft.com/office/drawing/2014/main" id="{00000000-0008-0000-0600-00009E1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8</xdr:col>
      <xdr:colOff>9525</xdr:colOff>
      <xdr:row>2</xdr:row>
      <xdr:rowOff>57150</xdr:rowOff>
    </xdr:to>
    <xdr:pic>
      <xdr:nvPicPr>
        <xdr:cNvPr id="23115" name="Picture 1">
          <a:extLst>
            <a:ext uri="{FF2B5EF4-FFF2-40B4-BE49-F238E27FC236}">
              <a16:creationId xmlns:a16="http://schemas.microsoft.com/office/drawing/2014/main" id="{00000000-0008-0000-0700-00004B5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1"/>
          <a:ext cx="923924" cy="3428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2706" name="Picture 1">
          <a:extLst>
            <a:ext uri="{FF2B5EF4-FFF2-40B4-BE49-F238E27FC236}">
              <a16:creationId xmlns:a16="http://schemas.microsoft.com/office/drawing/2014/main" id="{00000000-0008-0000-0800-0000920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32024" name="Picture 1">
          <a:extLst>
            <a:ext uri="{FF2B5EF4-FFF2-40B4-BE49-F238E27FC236}">
              <a16:creationId xmlns:a16="http://schemas.microsoft.com/office/drawing/2014/main" id="{00000000-0008-0000-0900-0000187D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32025" name="Picture 1">
          <a:extLst>
            <a:ext uri="{FF2B5EF4-FFF2-40B4-BE49-F238E27FC236}">
              <a16:creationId xmlns:a16="http://schemas.microsoft.com/office/drawing/2014/main" id="{00000000-0008-0000-0900-0000197D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19050</xdr:rowOff>
    </xdr:from>
    <xdr:to>
      <xdr:col>16</xdr:col>
      <xdr:colOff>38100</xdr:colOff>
      <xdr:row>2</xdr:row>
      <xdr:rowOff>85725</xdr:rowOff>
    </xdr:to>
    <xdr:pic>
      <xdr:nvPicPr>
        <xdr:cNvPr id="3" name="Picture 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54</xdr:col>
          <xdr:colOff>457200</xdr:colOff>
          <xdr:row>2</xdr:row>
          <xdr:rowOff>57150</xdr:rowOff>
        </xdr:from>
        <xdr:to>
          <xdr:col>59</xdr:col>
          <xdr:colOff>361950</xdr:colOff>
          <xdr:row>6</xdr:row>
          <xdr:rowOff>28575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600" b="1" i="0" u="none" strike="noStrike" baseline="0">
                  <a:solidFill>
                    <a:srgbClr val="000000"/>
                  </a:solidFill>
                  <a:latin typeface="Arial"/>
                  <a:cs typeface="Arial"/>
                </a:rPr>
                <a:t>Sort Time Log</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619125</xdr:colOff>
          <xdr:row>10</xdr:row>
          <xdr:rowOff>38100</xdr:rowOff>
        </xdr:from>
        <xdr:to>
          <xdr:col>13</xdr:col>
          <xdr:colOff>381000</xdr:colOff>
          <xdr:row>12</xdr:row>
          <xdr:rowOff>47625</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00000000-0008-0000-0B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400050</xdr:colOff>
          <xdr:row>10</xdr:row>
          <xdr:rowOff>47625</xdr:rowOff>
        </xdr:from>
        <xdr:to>
          <xdr:col>15</xdr:col>
          <xdr:colOff>19050</xdr:colOff>
          <xdr:row>12</xdr:row>
          <xdr:rowOff>57150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B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11</xdr:row>
          <xdr:rowOff>104775</xdr:rowOff>
        </xdr:from>
        <xdr:to>
          <xdr:col>6</xdr:col>
          <xdr:colOff>647700</xdr:colOff>
          <xdr:row>13</xdr:row>
          <xdr:rowOff>19050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B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11</xdr:row>
          <xdr:rowOff>104775</xdr:rowOff>
        </xdr:from>
        <xdr:to>
          <xdr:col>8</xdr:col>
          <xdr:colOff>276225</xdr:colOff>
          <xdr:row>13</xdr:row>
          <xdr:rowOff>19050</xdr:rowOff>
        </xdr:to>
        <xdr:sp macro="" textlink="">
          <xdr:nvSpPr>
            <xdr:cNvPr id="26628" name="Check Box 4" hidden="1">
              <a:extLst>
                <a:ext uri="{63B3BB69-23CF-44E3-9099-C40C66FF867C}">
                  <a14:compatExt spid="_x0000_s26628"/>
                </a:ext>
                <a:ext uri="{FF2B5EF4-FFF2-40B4-BE49-F238E27FC236}">
                  <a16:creationId xmlns:a16="http://schemas.microsoft.com/office/drawing/2014/main" id="{00000000-0008-0000-0B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14</xdr:row>
          <xdr:rowOff>133350</xdr:rowOff>
        </xdr:from>
        <xdr:to>
          <xdr:col>10</xdr:col>
          <xdr:colOff>85725</xdr:colOff>
          <xdr:row>16</xdr:row>
          <xdr:rowOff>47625</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00000000-0008-0000-0B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14</xdr:row>
          <xdr:rowOff>133350</xdr:rowOff>
        </xdr:from>
        <xdr:to>
          <xdr:col>12</xdr:col>
          <xdr:colOff>47625</xdr:colOff>
          <xdr:row>16</xdr:row>
          <xdr:rowOff>47625</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00000000-0008-0000-0B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20</xdr:row>
          <xdr:rowOff>152400</xdr:rowOff>
        </xdr:from>
        <xdr:to>
          <xdr:col>15</xdr:col>
          <xdr:colOff>0</xdr:colOff>
          <xdr:row>22</xdr:row>
          <xdr:rowOff>0</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00000000-0008-0000-0B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xdr:row>
          <xdr:rowOff>161925</xdr:rowOff>
        </xdr:from>
        <xdr:to>
          <xdr:col>16</xdr:col>
          <xdr:colOff>19050</xdr:colOff>
          <xdr:row>22</xdr:row>
          <xdr:rowOff>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00000000-0008-0000-0B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21</xdr:row>
          <xdr:rowOff>133350</xdr:rowOff>
        </xdr:from>
        <xdr:to>
          <xdr:col>8</xdr:col>
          <xdr:colOff>352425</xdr:colOff>
          <xdr:row>23</xdr:row>
          <xdr:rowOff>47625</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00000000-0008-0000-0B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21</xdr:row>
          <xdr:rowOff>133350</xdr:rowOff>
        </xdr:from>
        <xdr:to>
          <xdr:col>10</xdr:col>
          <xdr:colOff>9525</xdr:colOff>
          <xdr:row>23</xdr:row>
          <xdr:rowOff>47625</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00000000-0008-0000-0B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24</xdr:row>
          <xdr:rowOff>9525</xdr:rowOff>
        </xdr:from>
        <xdr:to>
          <xdr:col>11</xdr:col>
          <xdr:colOff>247650</xdr:colOff>
          <xdr:row>26</xdr:row>
          <xdr:rowOff>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00000000-0008-0000-0B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24</xdr:row>
          <xdr:rowOff>9525</xdr:rowOff>
        </xdr:from>
        <xdr:to>
          <xdr:col>12</xdr:col>
          <xdr:colOff>314325</xdr:colOff>
          <xdr:row>26</xdr:row>
          <xdr:rowOff>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00000000-0008-0000-0B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25</xdr:row>
          <xdr:rowOff>104775</xdr:rowOff>
        </xdr:from>
        <xdr:to>
          <xdr:col>13</xdr:col>
          <xdr:colOff>666750</xdr:colOff>
          <xdr:row>27</xdr:row>
          <xdr:rowOff>19050</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00000000-0008-0000-0B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25</xdr:row>
          <xdr:rowOff>104775</xdr:rowOff>
        </xdr:from>
        <xdr:to>
          <xdr:col>13</xdr:col>
          <xdr:colOff>238125</xdr:colOff>
          <xdr:row>27</xdr:row>
          <xdr:rowOff>19050</xdr:rowOff>
        </xdr:to>
        <xdr:sp macro="" textlink="">
          <xdr:nvSpPr>
            <xdr:cNvPr id="26638" name="Check Box 14" hidden="1">
              <a:extLst>
                <a:ext uri="{63B3BB69-23CF-44E3-9099-C40C66FF867C}">
                  <a14:compatExt spid="_x0000_s26638"/>
                </a:ext>
                <a:ext uri="{FF2B5EF4-FFF2-40B4-BE49-F238E27FC236}">
                  <a16:creationId xmlns:a16="http://schemas.microsoft.com/office/drawing/2014/main" id="{00000000-0008-0000-0B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31</xdr:row>
          <xdr:rowOff>47625</xdr:rowOff>
        </xdr:from>
        <xdr:to>
          <xdr:col>9</xdr:col>
          <xdr:colOff>228600</xdr:colOff>
          <xdr:row>33</xdr:row>
          <xdr:rowOff>47625</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00000000-0008-0000-0B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 Barge Manifold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31</xdr:row>
          <xdr:rowOff>47625</xdr:rowOff>
        </xdr:from>
        <xdr:to>
          <xdr:col>12</xdr:col>
          <xdr:colOff>371475</xdr:colOff>
          <xdr:row>33</xdr:row>
          <xdr:rowOff>47625</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00000000-0008-0000-0B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 Vessel Manifold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32</xdr:row>
          <xdr:rowOff>133350</xdr:rowOff>
        </xdr:from>
        <xdr:to>
          <xdr:col>9</xdr:col>
          <xdr:colOff>257175</xdr:colOff>
          <xdr:row>34</xdr:row>
          <xdr:rowOff>47625</xdr:rowOff>
        </xdr:to>
        <xdr:sp macro="" textlink="">
          <xdr:nvSpPr>
            <xdr:cNvPr id="26641" name="Check Box 17" hidden="1">
              <a:extLst>
                <a:ext uri="{63B3BB69-23CF-44E3-9099-C40C66FF867C}">
                  <a14:compatExt spid="_x0000_s26641"/>
                </a:ext>
                <a:ext uri="{FF2B5EF4-FFF2-40B4-BE49-F238E27FC236}">
                  <a16:creationId xmlns:a16="http://schemas.microsoft.com/office/drawing/2014/main" id="{00000000-0008-0000-0B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Continuous Drip Sample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32</xdr:row>
          <xdr:rowOff>142875</xdr:rowOff>
        </xdr:from>
        <xdr:to>
          <xdr:col>13</xdr:col>
          <xdr:colOff>114300</xdr:colOff>
          <xdr:row>34</xdr:row>
          <xdr:rowOff>57150</xdr:rowOff>
        </xdr:to>
        <xdr:sp macro="" textlink="">
          <xdr:nvSpPr>
            <xdr:cNvPr id="26642" name="Check Box 18" hidden="1">
              <a:extLst>
                <a:ext uri="{63B3BB69-23CF-44E3-9099-C40C66FF867C}">
                  <a14:compatExt spid="_x0000_s26642"/>
                </a:ext>
                <a:ext uri="{FF2B5EF4-FFF2-40B4-BE49-F238E27FC236}">
                  <a16:creationId xmlns:a16="http://schemas.microsoft.com/office/drawing/2014/main" id="{00000000-0008-0000-0B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Drip Sample by intervals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27</xdr:row>
          <xdr:rowOff>123825</xdr:rowOff>
        </xdr:from>
        <xdr:to>
          <xdr:col>7</xdr:col>
          <xdr:colOff>57150</xdr:colOff>
          <xdr:row>29</xdr:row>
          <xdr:rowOff>38100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0B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26</xdr:row>
          <xdr:rowOff>123825</xdr:rowOff>
        </xdr:from>
        <xdr:to>
          <xdr:col>7</xdr:col>
          <xdr:colOff>57150</xdr:colOff>
          <xdr:row>28</xdr:row>
          <xdr:rowOff>38100</xdr:rowOff>
        </xdr:to>
        <xdr:sp macro="" textlink="">
          <xdr:nvSpPr>
            <xdr:cNvPr id="26644" name="Check Box 20" hidden="1">
              <a:extLst>
                <a:ext uri="{63B3BB69-23CF-44E3-9099-C40C66FF867C}">
                  <a14:compatExt spid="_x0000_s26644"/>
                </a:ext>
                <a:ext uri="{FF2B5EF4-FFF2-40B4-BE49-F238E27FC236}">
                  <a16:creationId xmlns:a16="http://schemas.microsoft.com/office/drawing/2014/main" id="{00000000-0008-0000-0B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26</xdr:row>
          <xdr:rowOff>133350</xdr:rowOff>
        </xdr:from>
        <xdr:to>
          <xdr:col>8</xdr:col>
          <xdr:colOff>381000</xdr:colOff>
          <xdr:row>28</xdr:row>
          <xdr:rowOff>47625</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00000000-0008-0000-0B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27</xdr:row>
          <xdr:rowOff>142875</xdr:rowOff>
        </xdr:from>
        <xdr:to>
          <xdr:col>8</xdr:col>
          <xdr:colOff>381000</xdr:colOff>
          <xdr:row>29</xdr:row>
          <xdr:rowOff>57150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0000000-0008-0000-0B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619125</xdr:colOff>
          <xdr:row>36</xdr:row>
          <xdr:rowOff>38100</xdr:rowOff>
        </xdr:from>
        <xdr:to>
          <xdr:col>13</xdr:col>
          <xdr:colOff>381000</xdr:colOff>
          <xdr:row>38</xdr:row>
          <xdr:rowOff>66675</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00000000-0008-0000-0B00-00001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37</xdr:row>
          <xdr:rowOff>142875</xdr:rowOff>
        </xdr:from>
        <xdr:to>
          <xdr:col>6</xdr:col>
          <xdr:colOff>704850</xdr:colOff>
          <xdr:row>39</xdr:row>
          <xdr:rowOff>57150</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00000000-0008-0000-0B00-00001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695325</xdr:colOff>
          <xdr:row>37</xdr:row>
          <xdr:rowOff>142875</xdr:rowOff>
        </xdr:from>
        <xdr:to>
          <xdr:col>8</xdr:col>
          <xdr:colOff>304800</xdr:colOff>
          <xdr:row>39</xdr:row>
          <xdr:rowOff>57150</xdr:rowOff>
        </xdr:to>
        <xdr:sp macro="" textlink="">
          <xdr:nvSpPr>
            <xdr:cNvPr id="26649" name="Check Box 25" hidden="1">
              <a:extLst>
                <a:ext uri="{63B3BB69-23CF-44E3-9099-C40C66FF867C}">
                  <a14:compatExt spid="_x0000_s26649"/>
                </a:ext>
                <a:ext uri="{FF2B5EF4-FFF2-40B4-BE49-F238E27FC236}">
                  <a16:creationId xmlns:a16="http://schemas.microsoft.com/office/drawing/2014/main" id="{00000000-0008-0000-0B00-00001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41</xdr:row>
          <xdr:rowOff>133350</xdr:rowOff>
        </xdr:from>
        <xdr:to>
          <xdr:col>10</xdr:col>
          <xdr:colOff>95250</xdr:colOff>
          <xdr:row>43</xdr:row>
          <xdr:rowOff>47625</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00000000-0008-0000-0B00-00001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41</xdr:row>
          <xdr:rowOff>123825</xdr:rowOff>
        </xdr:from>
        <xdr:to>
          <xdr:col>12</xdr:col>
          <xdr:colOff>66675</xdr:colOff>
          <xdr:row>43</xdr:row>
          <xdr:rowOff>38100</xdr:rowOff>
        </xdr:to>
        <xdr:sp macro="" textlink="">
          <xdr:nvSpPr>
            <xdr:cNvPr id="26651" name="Check Box 27" hidden="1">
              <a:extLst>
                <a:ext uri="{63B3BB69-23CF-44E3-9099-C40C66FF867C}">
                  <a14:compatExt spid="_x0000_s26651"/>
                </a:ext>
                <a:ext uri="{FF2B5EF4-FFF2-40B4-BE49-F238E27FC236}">
                  <a16:creationId xmlns:a16="http://schemas.microsoft.com/office/drawing/2014/main" id="{00000000-0008-0000-0B00-00001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44</xdr:row>
          <xdr:rowOff>38100</xdr:rowOff>
        </xdr:from>
        <xdr:to>
          <xdr:col>13</xdr:col>
          <xdr:colOff>752475</xdr:colOff>
          <xdr:row>46</xdr:row>
          <xdr:rowOff>28575</xdr:rowOff>
        </xdr:to>
        <xdr:sp macro="" textlink="">
          <xdr:nvSpPr>
            <xdr:cNvPr id="26652" name="Check Box 28" hidden="1">
              <a:extLst>
                <a:ext uri="{63B3BB69-23CF-44E3-9099-C40C66FF867C}">
                  <a14:compatExt spid="_x0000_s26652"/>
                </a:ext>
                <a:ext uri="{FF2B5EF4-FFF2-40B4-BE49-F238E27FC236}">
                  <a16:creationId xmlns:a16="http://schemas.microsoft.com/office/drawing/2014/main" id="{00000000-0008-0000-0B00-00001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44</xdr:row>
          <xdr:rowOff>0</xdr:rowOff>
        </xdr:from>
        <xdr:to>
          <xdr:col>16</xdr:col>
          <xdr:colOff>28575</xdr:colOff>
          <xdr:row>46</xdr:row>
          <xdr:rowOff>57150</xdr:rowOff>
        </xdr:to>
        <xdr:sp macro="" textlink="">
          <xdr:nvSpPr>
            <xdr:cNvPr id="26653" name="Check Box 29" hidden="1">
              <a:extLst>
                <a:ext uri="{63B3BB69-23CF-44E3-9099-C40C66FF867C}">
                  <a14:compatExt spid="_x0000_s26653"/>
                </a:ext>
                <a:ext uri="{FF2B5EF4-FFF2-40B4-BE49-F238E27FC236}">
                  <a16:creationId xmlns:a16="http://schemas.microsoft.com/office/drawing/2014/main" id="{00000000-0008-0000-0B00-00001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48</xdr:row>
          <xdr:rowOff>0</xdr:rowOff>
        </xdr:from>
        <xdr:to>
          <xdr:col>11</xdr:col>
          <xdr:colOff>200025</xdr:colOff>
          <xdr:row>49</xdr:row>
          <xdr:rowOff>171450</xdr:rowOff>
        </xdr:to>
        <xdr:sp macro="" textlink="">
          <xdr:nvSpPr>
            <xdr:cNvPr id="26654" name="Check Box 30" hidden="1">
              <a:extLst>
                <a:ext uri="{63B3BB69-23CF-44E3-9099-C40C66FF867C}">
                  <a14:compatExt spid="_x0000_s26654"/>
                </a:ext>
                <a:ext uri="{FF2B5EF4-FFF2-40B4-BE49-F238E27FC236}">
                  <a16:creationId xmlns:a16="http://schemas.microsoft.com/office/drawing/2014/main" id="{00000000-0008-0000-0B00-00001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48</xdr:row>
          <xdr:rowOff>0</xdr:rowOff>
        </xdr:from>
        <xdr:to>
          <xdr:col>12</xdr:col>
          <xdr:colOff>323850</xdr:colOff>
          <xdr:row>49</xdr:row>
          <xdr:rowOff>171450</xdr:rowOff>
        </xdr:to>
        <xdr:sp macro="" textlink="">
          <xdr:nvSpPr>
            <xdr:cNvPr id="26655" name="Check Box 31" hidden="1">
              <a:extLst>
                <a:ext uri="{63B3BB69-23CF-44E3-9099-C40C66FF867C}">
                  <a14:compatExt spid="_x0000_s26655"/>
                </a:ext>
                <a:ext uri="{FF2B5EF4-FFF2-40B4-BE49-F238E27FC236}">
                  <a16:creationId xmlns:a16="http://schemas.microsoft.com/office/drawing/2014/main" id="{00000000-0008-0000-0B00-00001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49</xdr:row>
          <xdr:rowOff>104775</xdr:rowOff>
        </xdr:from>
        <xdr:to>
          <xdr:col>13</xdr:col>
          <xdr:colOff>666750</xdr:colOff>
          <xdr:row>51</xdr:row>
          <xdr:rowOff>19050</xdr:rowOff>
        </xdr:to>
        <xdr:sp macro="" textlink="">
          <xdr:nvSpPr>
            <xdr:cNvPr id="26656" name="Check Box 32" hidden="1">
              <a:extLst>
                <a:ext uri="{63B3BB69-23CF-44E3-9099-C40C66FF867C}">
                  <a14:compatExt spid="_x0000_s26656"/>
                </a:ext>
                <a:ext uri="{FF2B5EF4-FFF2-40B4-BE49-F238E27FC236}">
                  <a16:creationId xmlns:a16="http://schemas.microsoft.com/office/drawing/2014/main" id="{00000000-0008-0000-0B00-00002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49</xdr:row>
          <xdr:rowOff>104775</xdr:rowOff>
        </xdr:from>
        <xdr:to>
          <xdr:col>13</xdr:col>
          <xdr:colOff>238125</xdr:colOff>
          <xdr:row>51</xdr:row>
          <xdr:rowOff>19050</xdr:rowOff>
        </xdr:to>
        <xdr:sp macro="" textlink="">
          <xdr:nvSpPr>
            <xdr:cNvPr id="26657" name="Check Box 33" hidden="1">
              <a:extLst>
                <a:ext uri="{63B3BB69-23CF-44E3-9099-C40C66FF867C}">
                  <a14:compatExt spid="_x0000_s26657"/>
                </a:ext>
                <a:ext uri="{FF2B5EF4-FFF2-40B4-BE49-F238E27FC236}">
                  <a16:creationId xmlns:a16="http://schemas.microsoft.com/office/drawing/2014/main" id="{00000000-0008-0000-0B00-00002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51</xdr:row>
          <xdr:rowOff>133350</xdr:rowOff>
        </xdr:from>
        <xdr:to>
          <xdr:col>10</xdr:col>
          <xdr:colOff>19050</xdr:colOff>
          <xdr:row>53</xdr:row>
          <xdr:rowOff>47625</xdr:rowOff>
        </xdr:to>
        <xdr:sp macro="" textlink="">
          <xdr:nvSpPr>
            <xdr:cNvPr id="26658" name="Check Box 34" hidden="1">
              <a:extLst>
                <a:ext uri="{63B3BB69-23CF-44E3-9099-C40C66FF867C}">
                  <a14:compatExt spid="_x0000_s26658"/>
                </a:ext>
                <a:ext uri="{FF2B5EF4-FFF2-40B4-BE49-F238E27FC236}">
                  <a16:creationId xmlns:a16="http://schemas.microsoft.com/office/drawing/2014/main" id="{00000000-0008-0000-0B00-00002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51</xdr:row>
          <xdr:rowOff>133350</xdr:rowOff>
        </xdr:from>
        <xdr:to>
          <xdr:col>11</xdr:col>
          <xdr:colOff>342900</xdr:colOff>
          <xdr:row>53</xdr:row>
          <xdr:rowOff>47625</xdr:rowOff>
        </xdr:to>
        <xdr:sp macro="" textlink="">
          <xdr:nvSpPr>
            <xdr:cNvPr id="26659" name="Check Box 35" hidden="1">
              <a:extLst>
                <a:ext uri="{63B3BB69-23CF-44E3-9099-C40C66FF867C}">
                  <a14:compatExt spid="_x0000_s26659"/>
                </a:ext>
                <a:ext uri="{FF2B5EF4-FFF2-40B4-BE49-F238E27FC236}">
                  <a16:creationId xmlns:a16="http://schemas.microsoft.com/office/drawing/2014/main" id="{00000000-0008-0000-0B00-00002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52</xdr:row>
          <xdr:rowOff>133350</xdr:rowOff>
        </xdr:from>
        <xdr:to>
          <xdr:col>6</xdr:col>
          <xdr:colOff>504825</xdr:colOff>
          <xdr:row>54</xdr:row>
          <xdr:rowOff>47625</xdr:rowOff>
        </xdr:to>
        <xdr:sp macro="" textlink="">
          <xdr:nvSpPr>
            <xdr:cNvPr id="26660" name="Check Box 36" hidden="1">
              <a:extLst>
                <a:ext uri="{63B3BB69-23CF-44E3-9099-C40C66FF867C}">
                  <a14:compatExt spid="_x0000_s26660"/>
                </a:ext>
                <a:ext uri="{FF2B5EF4-FFF2-40B4-BE49-F238E27FC236}">
                  <a16:creationId xmlns:a16="http://schemas.microsoft.com/office/drawing/2014/main" id="{00000000-0008-0000-0B00-00002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52</xdr:row>
          <xdr:rowOff>133350</xdr:rowOff>
        </xdr:from>
        <xdr:to>
          <xdr:col>8</xdr:col>
          <xdr:colOff>114300</xdr:colOff>
          <xdr:row>54</xdr:row>
          <xdr:rowOff>47625</xdr:rowOff>
        </xdr:to>
        <xdr:sp macro="" textlink="">
          <xdr:nvSpPr>
            <xdr:cNvPr id="26661" name="Check Box 37" hidden="1">
              <a:extLst>
                <a:ext uri="{63B3BB69-23CF-44E3-9099-C40C66FF867C}">
                  <a14:compatExt spid="_x0000_s26661"/>
                </a:ext>
                <a:ext uri="{FF2B5EF4-FFF2-40B4-BE49-F238E27FC236}">
                  <a16:creationId xmlns:a16="http://schemas.microsoft.com/office/drawing/2014/main" id="{00000000-0008-0000-0B00-00002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50</xdr:row>
          <xdr:rowOff>152400</xdr:rowOff>
        </xdr:from>
        <xdr:to>
          <xdr:col>9</xdr:col>
          <xdr:colOff>285750</xdr:colOff>
          <xdr:row>52</xdr:row>
          <xdr:rowOff>66675</xdr:rowOff>
        </xdr:to>
        <xdr:sp macro="" textlink="">
          <xdr:nvSpPr>
            <xdr:cNvPr id="26662" name="Check Box 38" hidden="1">
              <a:extLst>
                <a:ext uri="{63B3BB69-23CF-44E3-9099-C40C66FF867C}">
                  <a14:compatExt spid="_x0000_s26662"/>
                </a:ext>
                <a:ext uri="{FF2B5EF4-FFF2-40B4-BE49-F238E27FC236}">
                  <a16:creationId xmlns:a16="http://schemas.microsoft.com/office/drawing/2014/main" id="{00000000-0008-0000-0B00-00002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50</xdr:row>
          <xdr:rowOff>142875</xdr:rowOff>
        </xdr:from>
        <xdr:to>
          <xdr:col>8</xdr:col>
          <xdr:colOff>304800</xdr:colOff>
          <xdr:row>52</xdr:row>
          <xdr:rowOff>57150</xdr:rowOff>
        </xdr:to>
        <xdr:sp macro="" textlink="">
          <xdr:nvSpPr>
            <xdr:cNvPr id="26663" name="Check Box 39" hidden="1">
              <a:extLst>
                <a:ext uri="{63B3BB69-23CF-44E3-9099-C40C66FF867C}">
                  <a14:compatExt spid="_x0000_s26663"/>
                </a:ext>
                <a:ext uri="{FF2B5EF4-FFF2-40B4-BE49-F238E27FC236}">
                  <a16:creationId xmlns:a16="http://schemas.microsoft.com/office/drawing/2014/main" id="{00000000-0008-0000-0B00-00002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36</xdr:row>
          <xdr:rowOff>38100</xdr:rowOff>
        </xdr:from>
        <xdr:to>
          <xdr:col>15</xdr:col>
          <xdr:colOff>0</xdr:colOff>
          <xdr:row>38</xdr:row>
          <xdr:rowOff>66675</xdr:rowOff>
        </xdr:to>
        <xdr:sp macro="" textlink="">
          <xdr:nvSpPr>
            <xdr:cNvPr id="26664" name="Check Box 40" hidden="1">
              <a:extLst>
                <a:ext uri="{63B3BB69-23CF-44E3-9099-C40C66FF867C}">
                  <a14:compatExt spid="_x0000_s26664"/>
                </a:ext>
                <a:ext uri="{FF2B5EF4-FFF2-40B4-BE49-F238E27FC236}">
                  <a16:creationId xmlns:a16="http://schemas.microsoft.com/office/drawing/2014/main" id="{00000000-0008-0000-0B00-00002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40</xdr:row>
          <xdr:rowOff>133350</xdr:rowOff>
        </xdr:from>
        <xdr:to>
          <xdr:col>9</xdr:col>
          <xdr:colOff>342900</xdr:colOff>
          <xdr:row>42</xdr:row>
          <xdr:rowOff>47625</xdr:rowOff>
        </xdr:to>
        <xdr:sp macro="" textlink="">
          <xdr:nvSpPr>
            <xdr:cNvPr id="26665" name="Check Box 41" hidden="1">
              <a:extLst>
                <a:ext uri="{63B3BB69-23CF-44E3-9099-C40C66FF867C}">
                  <a14:compatExt spid="_x0000_s26665"/>
                </a:ext>
                <a:ext uri="{FF2B5EF4-FFF2-40B4-BE49-F238E27FC236}">
                  <a16:creationId xmlns:a16="http://schemas.microsoft.com/office/drawing/2014/main" id="{00000000-0008-0000-0B00-00002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40</xdr:row>
          <xdr:rowOff>171450</xdr:rowOff>
        </xdr:from>
        <xdr:to>
          <xdr:col>11</xdr:col>
          <xdr:colOff>314325</xdr:colOff>
          <xdr:row>42</xdr:row>
          <xdr:rowOff>9525</xdr:rowOff>
        </xdr:to>
        <xdr:sp macro="" textlink="">
          <xdr:nvSpPr>
            <xdr:cNvPr id="26666" name="Check Box 42" hidden="1">
              <a:extLst>
                <a:ext uri="{63B3BB69-23CF-44E3-9099-C40C66FF867C}">
                  <a14:compatExt spid="_x0000_s26666"/>
                </a:ext>
                <a:ext uri="{FF2B5EF4-FFF2-40B4-BE49-F238E27FC236}">
                  <a16:creationId xmlns:a16="http://schemas.microsoft.com/office/drawing/2014/main" id="{00000000-0008-0000-0B00-00002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333375</xdr:colOff>
          <xdr:row>53</xdr:row>
          <xdr:rowOff>133350</xdr:rowOff>
        </xdr:from>
        <xdr:to>
          <xdr:col>13</xdr:col>
          <xdr:colOff>104775</xdr:colOff>
          <xdr:row>55</xdr:row>
          <xdr:rowOff>47625</xdr:rowOff>
        </xdr:to>
        <xdr:sp macro="" textlink="">
          <xdr:nvSpPr>
            <xdr:cNvPr id="26667" name="Check Box 43" hidden="1">
              <a:extLst>
                <a:ext uri="{63B3BB69-23CF-44E3-9099-C40C66FF867C}">
                  <a14:compatExt spid="_x0000_s26667"/>
                </a:ext>
                <a:ext uri="{FF2B5EF4-FFF2-40B4-BE49-F238E27FC236}">
                  <a16:creationId xmlns:a16="http://schemas.microsoft.com/office/drawing/2014/main" id="{00000000-0008-0000-0B00-00002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53</xdr:row>
          <xdr:rowOff>123825</xdr:rowOff>
        </xdr:from>
        <xdr:to>
          <xdr:col>12</xdr:col>
          <xdr:colOff>333375</xdr:colOff>
          <xdr:row>55</xdr:row>
          <xdr:rowOff>38100</xdr:rowOff>
        </xdr:to>
        <xdr:sp macro="" textlink="">
          <xdr:nvSpPr>
            <xdr:cNvPr id="26668" name="Check Box 44" hidden="1">
              <a:extLst>
                <a:ext uri="{63B3BB69-23CF-44E3-9099-C40C66FF867C}">
                  <a14:compatExt spid="_x0000_s26668"/>
                </a:ext>
                <a:ext uri="{FF2B5EF4-FFF2-40B4-BE49-F238E27FC236}">
                  <a16:creationId xmlns:a16="http://schemas.microsoft.com/office/drawing/2014/main" id="{00000000-0008-0000-0B00-00002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12</xdr:row>
          <xdr:rowOff>123825</xdr:rowOff>
        </xdr:from>
        <xdr:to>
          <xdr:col>13</xdr:col>
          <xdr:colOff>504825</xdr:colOff>
          <xdr:row>14</xdr:row>
          <xdr:rowOff>38100</xdr:rowOff>
        </xdr:to>
        <xdr:sp macro="" textlink="">
          <xdr:nvSpPr>
            <xdr:cNvPr id="26669" name="Check Box 45" hidden="1">
              <a:extLst>
                <a:ext uri="{63B3BB69-23CF-44E3-9099-C40C66FF867C}">
                  <a14:compatExt spid="_x0000_s26669"/>
                </a:ext>
                <a:ext uri="{FF2B5EF4-FFF2-40B4-BE49-F238E27FC236}">
                  <a16:creationId xmlns:a16="http://schemas.microsoft.com/office/drawing/2014/main" id="{00000000-0008-0000-0B00-00002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12</xdr:row>
          <xdr:rowOff>123825</xdr:rowOff>
        </xdr:from>
        <xdr:to>
          <xdr:col>15</xdr:col>
          <xdr:colOff>171450</xdr:colOff>
          <xdr:row>14</xdr:row>
          <xdr:rowOff>38100</xdr:rowOff>
        </xdr:to>
        <xdr:sp macro="" textlink="">
          <xdr:nvSpPr>
            <xdr:cNvPr id="26670" name="Check Box 46" hidden="1">
              <a:extLst>
                <a:ext uri="{63B3BB69-23CF-44E3-9099-C40C66FF867C}">
                  <a14:compatExt spid="_x0000_s26670"/>
                </a:ext>
                <a:ext uri="{FF2B5EF4-FFF2-40B4-BE49-F238E27FC236}">
                  <a16:creationId xmlns:a16="http://schemas.microsoft.com/office/drawing/2014/main" id="{00000000-0008-0000-0B00-00002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13</xdr:row>
          <xdr:rowOff>104775</xdr:rowOff>
        </xdr:from>
        <xdr:to>
          <xdr:col>6</xdr:col>
          <xdr:colOff>647700</xdr:colOff>
          <xdr:row>15</xdr:row>
          <xdr:rowOff>19050</xdr:rowOff>
        </xdr:to>
        <xdr:sp macro="" textlink="">
          <xdr:nvSpPr>
            <xdr:cNvPr id="26671" name="Check Box 47" hidden="1">
              <a:extLst>
                <a:ext uri="{63B3BB69-23CF-44E3-9099-C40C66FF867C}">
                  <a14:compatExt spid="_x0000_s26671"/>
                </a:ext>
                <a:ext uri="{FF2B5EF4-FFF2-40B4-BE49-F238E27FC236}">
                  <a16:creationId xmlns:a16="http://schemas.microsoft.com/office/drawing/2014/main" id="{00000000-0008-0000-0B00-00002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13</xdr:row>
          <xdr:rowOff>104775</xdr:rowOff>
        </xdr:from>
        <xdr:to>
          <xdr:col>8</xdr:col>
          <xdr:colOff>276225</xdr:colOff>
          <xdr:row>15</xdr:row>
          <xdr:rowOff>19050</xdr:rowOff>
        </xdr:to>
        <xdr:sp macro="" textlink="">
          <xdr:nvSpPr>
            <xdr:cNvPr id="26672" name="Check Box 48" hidden="1">
              <a:extLst>
                <a:ext uri="{63B3BB69-23CF-44E3-9099-C40C66FF867C}">
                  <a14:compatExt spid="_x0000_s26672"/>
                </a:ext>
                <a:ext uri="{FF2B5EF4-FFF2-40B4-BE49-F238E27FC236}">
                  <a16:creationId xmlns:a16="http://schemas.microsoft.com/office/drawing/2014/main" id="{00000000-0008-0000-0B00-00003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38</xdr:row>
          <xdr:rowOff>123825</xdr:rowOff>
        </xdr:from>
        <xdr:to>
          <xdr:col>13</xdr:col>
          <xdr:colOff>552450</xdr:colOff>
          <xdr:row>40</xdr:row>
          <xdr:rowOff>38100</xdr:rowOff>
        </xdr:to>
        <xdr:sp macro="" textlink="">
          <xdr:nvSpPr>
            <xdr:cNvPr id="26673" name="Check Box 49" hidden="1">
              <a:extLst>
                <a:ext uri="{63B3BB69-23CF-44E3-9099-C40C66FF867C}">
                  <a14:compatExt spid="_x0000_s26673"/>
                </a:ext>
                <a:ext uri="{FF2B5EF4-FFF2-40B4-BE49-F238E27FC236}">
                  <a16:creationId xmlns:a16="http://schemas.microsoft.com/office/drawing/2014/main" id="{00000000-0008-0000-0B00-00003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38</xdr:row>
          <xdr:rowOff>123825</xdr:rowOff>
        </xdr:from>
        <xdr:to>
          <xdr:col>15</xdr:col>
          <xdr:colOff>66675</xdr:colOff>
          <xdr:row>40</xdr:row>
          <xdr:rowOff>38100</xdr:rowOff>
        </xdr:to>
        <xdr:sp macro="" textlink="">
          <xdr:nvSpPr>
            <xdr:cNvPr id="26674" name="Check Box 50" hidden="1">
              <a:extLst>
                <a:ext uri="{63B3BB69-23CF-44E3-9099-C40C66FF867C}">
                  <a14:compatExt spid="_x0000_s26674"/>
                </a:ext>
                <a:ext uri="{FF2B5EF4-FFF2-40B4-BE49-F238E27FC236}">
                  <a16:creationId xmlns:a16="http://schemas.microsoft.com/office/drawing/2014/main" id="{00000000-0008-0000-0B00-00003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39</xdr:row>
          <xdr:rowOff>104775</xdr:rowOff>
        </xdr:from>
        <xdr:to>
          <xdr:col>6</xdr:col>
          <xdr:colOff>647700</xdr:colOff>
          <xdr:row>41</xdr:row>
          <xdr:rowOff>19050</xdr:rowOff>
        </xdr:to>
        <xdr:sp macro="" textlink="">
          <xdr:nvSpPr>
            <xdr:cNvPr id="26675" name="Check Box 51" hidden="1">
              <a:extLst>
                <a:ext uri="{63B3BB69-23CF-44E3-9099-C40C66FF867C}">
                  <a14:compatExt spid="_x0000_s26675"/>
                </a:ext>
                <a:ext uri="{FF2B5EF4-FFF2-40B4-BE49-F238E27FC236}">
                  <a16:creationId xmlns:a16="http://schemas.microsoft.com/office/drawing/2014/main" id="{00000000-0008-0000-0B00-00003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39</xdr:row>
          <xdr:rowOff>104775</xdr:rowOff>
        </xdr:from>
        <xdr:to>
          <xdr:col>8</xdr:col>
          <xdr:colOff>276225</xdr:colOff>
          <xdr:row>41</xdr:row>
          <xdr:rowOff>19050</xdr:rowOff>
        </xdr:to>
        <xdr:sp macro="" textlink="">
          <xdr:nvSpPr>
            <xdr:cNvPr id="26676" name="Check Box 52" hidden="1">
              <a:extLst>
                <a:ext uri="{63B3BB69-23CF-44E3-9099-C40C66FF867C}">
                  <a14:compatExt spid="_x0000_s26676"/>
                </a:ext>
                <a:ext uri="{FF2B5EF4-FFF2-40B4-BE49-F238E27FC236}">
                  <a16:creationId xmlns:a16="http://schemas.microsoft.com/office/drawing/2014/main" id="{00000000-0008-0000-0B00-00003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12</xdr:row>
          <xdr:rowOff>123825</xdr:rowOff>
        </xdr:from>
        <xdr:to>
          <xdr:col>16</xdr:col>
          <xdr:colOff>133350</xdr:colOff>
          <xdr:row>14</xdr:row>
          <xdr:rowOff>38100</xdr:rowOff>
        </xdr:to>
        <xdr:sp macro="" textlink="">
          <xdr:nvSpPr>
            <xdr:cNvPr id="26677" name="Check Box 53" hidden="1">
              <a:extLst>
                <a:ext uri="{63B3BB69-23CF-44E3-9099-C40C66FF867C}">
                  <a14:compatExt spid="_x0000_s26677"/>
                </a:ext>
                <a:ext uri="{FF2B5EF4-FFF2-40B4-BE49-F238E27FC236}">
                  <a16:creationId xmlns:a16="http://schemas.microsoft.com/office/drawing/2014/main" id="{00000000-0008-0000-0B00-00003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13</xdr:row>
          <xdr:rowOff>104775</xdr:rowOff>
        </xdr:from>
        <xdr:to>
          <xdr:col>9</xdr:col>
          <xdr:colOff>142875</xdr:colOff>
          <xdr:row>15</xdr:row>
          <xdr:rowOff>19050</xdr:rowOff>
        </xdr:to>
        <xdr:sp macro="" textlink="">
          <xdr:nvSpPr>
            <xdr:cNvPr id="26678" name="Check Box 54" hidden="1">
              <a:extLst>
                <a:ext uri="{63B3BB69-23CF-44E3-9099-C40C66FF867C}">
                  <a14:compatExt spid="_x0000_s26678"/>
                </a:ext>
                <a:ext uri="{FF2B5EF4-FFF2-40B4-BE49-F238E27FC236}">
                  <a16:creationId xmlns:a16="http://schemas.microsoft.com/office/drawing/2014/main" id="{00000000-0008-0000-0B00-00003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38</xdr:row>
          <xdr:rowOff>123825</xdr:rowOff>
        </xdr:from>
        <xdr:to>
          <xdr:col>16</xdr:col>
          <xdr:colOff>152400</xdr:colOff>
          <xdr:row>40</xdr:row>
          <xdr:rowOff>38100</xdr:rowOff>
        </xdr:to>
        <xdr:sp macro="" textlink="">
          <xdr:nvSpPr>
            <xdr:cNvPr id="26679" name="Check Box 55" hidden="1">
              <a:extLst>
                <a:ext uri="{63B3BB69-23CF-44E3-9099-C40C66FF867C}">
                  <a14:compatExt spid="_x0000_s26679"/>
                </a:ext>
                <a:ext uri="{FF2B5EF4-FFF2-40B4-BE49-F238E27FC236}">
                  <a16:creationId xmlns:a16="http://schemas.microsoft.com/office/drawing/2014/main" id="{00000000-0008-0000-0B00-00003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39</xdr:row>
          <xdr:rowOff>104775</xdr:rowOff>
        </xdr:from>
        <xdr:to>
          <xdr:col>9</xdr:col>
          <xdr:colOff>200025</xdr:colOff>
          <xdr:row>41</xdr:row>
          <xdr:rowOff>19050</xdr:rowOff>
        </xdr:to>
        <xdr:sp macro="" textlink="">
          <xdr:nvSpPr>
            <xdr:cNvPr id="26680" name="Check Box 56" hidden="1">
              <a:extLst>
                <a:ext uri="{63B3BB69-23CF-44E3-9099-C40C66FF867C}">
                  <a14:compatExt spid="_x0000_s26680"/>
                </a:ext>
                <a:ext uri="{FF2B5EF4-FFF2-40B4-BE49-F238E27FC236}">
                  <a16:creationId xmlns:a16="http://schemas.microsoft.com/office/drawing/2014/main" id="{00000000-0008-0000-0B00-00003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45</xdr:row>
          <xdr:rowOff>133350</xdr:rowOff>
        </xdr:from>
        <xdr:to>
          <xdr:col>8</xdr:col>
          <xdr:colOff>400050</xdr:colOff>
          <xdr:row>47</xdr:row>
          <xdr:rowOff>47625</xdr:rowOff>
        </xdr:to>
        <xdr:sp macro="" textlink="">
          <xdr:nvSpPr>
            <xdr:cNvPr id="26681" name="Check Box 57" hidden="1">
              <a:extLst>
                <a:ext uri="{63B3BB69-23CF-44E3-9099-C40C66FF867C}">
                  <a14:compatExt spid="_x0000_s26681"/>
                </a:ext>
                <a:ext uri="{FF2B5EF4-FFF2-40B4-BE49-F238E27FC236}">
                  <a16:creationId xmlns:a16="http://schemas.microsoft.com/office/drawing/2014/main" id="{00000000-0008-0000-0B00-00003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45</xdr:row>
          <xdr:rowOff>171450</xdr:rowOff>
        </xdr:from>
        <xdr:to>
          <xdr:col>10</xdr:col>
          <xdr:colOff>19050</xdr:colOff>
          <xdr:row>47</xdr:row>
          <xdr:rowOff>9525</xdr:rowOff>
        </xdr:to>
        <xdr:sp macro="" textlink="">
          <xdr:nvSpPr>
            <xdr:cNvPr id="26682" name="Check Box 58" hidden="1">
              <a:extLst>
                <a:ext uri="{63B3BB69-23CF-44E3-9099-C40C66FF867C}">
                  <a14:compatExt spid="_x0000_s26682"/>
                </a:ext>
                <a:ext uri="{FF2B5EF4-FFF2-40B4-BE49-F238E27FC236}">
                  <a16:creationId xmlns:a16="http://schemas.microsoft.com/office/drawing/2014/main" id="{00000000-0008-0000-0B00-00003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609600</xdr:colOff>
          <xdr:row>25</xdr:row>
          <xdr:rowOff>104775</xdr:rowOff>
        </xdr:from>
        <xdr:to>
          <xdr:col>15</xdr:col>
          <xdr:colOff>152400</xdr:colOff>
          <xdr:row>27</xdr:row>
          <xdr:rowOff>19050</xdr:rowOff>
        </xdr:to>
        <xdr:sp macro="" textlink="">
          <xdr:nvSpPr>
            <xdr:cNvPr id="26683" name="Check Box 59" hidden="1">
              <a:extLst>
                <a:ext uri="{63B3BB69-23CF-44E3-9099-C40C66FF867C}">
                  <a14:compatExt spid="_x0000_s26683"/>
                </a:ext>
                <a:ext uri="{FF2B5EF4-FFF2-40B4-BE49-F238E27FC236}">
                  <a16:creationId xmlns:a16="http://schemas.microsoft.com/office/drawing/2014/main" id="{00000000-0008-0000-0B00-00003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628650</xdr:colOff>
          <xdr:row>49</xdr:row>
          <xdr:rowOff>104775</xdr:rowOff>
        </xdr:from>
        <xdr:to>
          <xdr:col>15</xdr:col>
          <xdr:colOff>171450</xdr:colOff>
          <xdr:row>51</xdr:row>
          <xdr:rowOff>19050</xdr:rowOff>
        </xdr:to>
        <xdr:sp macro="" textlink="">
          <xdr:nvSpPr>
            <xdr:cNvPr id="26684" name="Check Box 60" hidden="1">
              <a:extLst>
                <a:ext uri="{63B3BB69-23CF-44E3-9099-C40C66FF867C}">
                  <a14:compatExt spid="_x0000_s26684"/>
                </a:ext>
                <a:ext uri="{FF2B5EF4-FFF2-40B4-BE49-F238E27FC236}">
                  <a16:creationId xmlns:a16="http://schemas.microsoft.com/office/drawing/2014/main" id="{00000000-0008-0000-0B00-00003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53</xdr:row>
          <xdr:rowOff>133350</xdr:rowOff>
        </xdr:from>
        <xdr:to>
          <xdr:col>13</xdr:col>
          <xdr:colOff>419100</xdr:colOff>
          <xdr:row>55</xdr:row>
          <xdr:rowOff>47625</xdr:rowOff>
        </xdr:to>
        <xdr:sp macro="" textlink="">
          <xdr:nvSpPr>
            <xdr:cNvPr id="26685" name="Check Box 61" hidden="1">
              <a:extLst>
                <a:ext uri="{63B3BB69-23CF-44E3-9099-C40C66FF867C}">
                  <a14:compatExt spid="_x0000_s26685"/>
                </a:ext>
                <a:ext uri="{FF2B5EF4-FFF2-40B4-BE49-F238E27FC236}">
                  <a16:creationId xmlns:a16="http://schemas.microsoft.com/office/drawing/2014/main" id="{00000000-0008-0000-0B00-00003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52</xdr:row>
          <xdr:rowOff>133350</xdr:rowOff>
        </xdr:from>
        <xdr:to>
          <xdr:col>8</xdr:col>
          <xdr:colOff>428625</xdr:colOff>
          <xdr:row>54</xdr:row>
          <xdr:rowOff>47625</xdr:rowOff>
        </xdr:to>
        <xdr:sp macro="" textlink="">
          <xdr:nvSpPr>
            <xdr:cNvPr id="26686" name="Check Box 62" hidden="1">
              <a:extLst>
                <a:ext uri="{63B3BB69-23CF-44E3-9099-C40C66FF867C}">
                  <a14:compatExt spid="_x0000_s26686"/>
                </a:ext>
                <a:ext uri="{FF2B5EF4-FFF2-40B4-BE49-F238E27FC236}">
                  <a16:creationId xmlns:a16="http://schemas.microsoft.com/office/drawing/2014/main" id="{00000000-0008-0000-0B00-00003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295275</xdr:colOff>
          <xdr:row>51</xdr:row>
          <xdr:rowOff>133350</xdr:rowOff>
        </xdr:from>
        <xdr:to>
          <xdr:col>12</xdr:col>
          <xdr:colOff>295275</xdr:colOff>
          <xdr:row>53</xdr:row>
          <xdr:rowOff>47625</xdr:rowOff>
        </xdr:to>
        <xdr:sp macro="" textlink="">
          <xdr:nvSpPr>
            <xdr:cNvPr id="26687" name="Check Box 63" hidden="1">
              <a:extLst>
                <a:ext uri="{63B3BB69-23CF-44E3-9099-C40C66FF867C}">
                  <a14:compatExt spid="_x0000_s26687"/>
                </a:ext>
                <a:ext uri="{FF2B5EF4-FFF2-40B4-BE49-F238E27FC236}">
                  <a16:creationId xmlns:a16="http://schemas.microsoft.com/office/drawing/2014/main" id="{00000000-0008-0000-0B00-00003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47</xdr:row>
          <xdr:rowOff>152400</xdr:rowOff>
        </xdr:from>
        <xdr:to>
          <xdr:col>12</xdr:col>
          <xdr:colOff>647700</xdr:colOff>
          <xdr:row>50</xdr:row>
          <xdr:rowOff>19050</xdr:rowOff>
        </xdr:to>
        <xdr:sp macro="" textlink="">
          <xdr:nvSpPr>
            <xdr:cNvPr id="26688" name="Check Box 64" hidden="1">
              <a:extLst>
                <a:ext uri="{63B3BB69-23CF-44E3-9099-C40C66FF867C}">
                  <a14:compatExt spid="_x0000_s26688"/>
                </a:ext>
                <a:ext uri="{FF2B5EF4-FFF2-40B4-BE49-F238E27FC236}">
                  <a16:creationId xmlns:a16="http://schemas.microsoft.com/office/drawing/2014/main" id="{00000000-0008-0000-0B00-00004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55</xdr:row>
          <xdr:rowOff>95250</xdr:rowOff>
        </xdr:from>
        <xdr:to>
          <xdr:col>11</xdr:col>
          <xdr:colOff>304800</xdr:colOff>
          <xdr:row>57</xdr:row>
          <xdr:rowOff>9525</xdr:rowOff>
        </xdr:to>
        <xdr:sp macro="" textlink="">
          <xdr:nvSpPr>
            <xdr:cNvPr id="26689" name="Check Box 65" hidden="1">
              <a:extLst>
                <a:ext uri="{63B3BB69-23CF-44E3-9099-C40C66FF867C}">
                  <a14:compatExt spid="_x0000_s26689"/>
                </a:ext>
                <a:ext uri="{FF2B5EF4-FFF2-40B4-BE49-F238E27FC236}">
                  <a16:creationId xmlns:a16="http://schemas.microsoft.com/office/drawing/2014/main" id="{00000000-0008-0000-0B00-00004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55</xdr:row>
          <xdr:rowOff>95250</xdr:rowOff>
        </xdr:from>
        <xdr:to>
          <xdr:col>12</xdr:col>
          <xdr:colOff>400050</xdr:colOff>
          <xdr:row>57</xdr:row>
          <xdr:rowOff>9525</xdr:rowOff>
        </xdr:to>
        <xdr:sp macro="" textlink="">
          <xdr:nvSpPr>
            <xdr:cNvPr id="26690" name="Check Box 66" hidden="1">
              <a:extLst>
                <a:ext uri="{63B3BB69-23CF-44E3-9099-C40C66FF867C}">
                  <a14:compatExt spid="_x0000_s26690"/>
                </a:ext>
                <a:ext uri="{FF2B5EF4-FFF2-40B4-BE49-F238E27FC236}">
                  <a16:creationId xmlns:a16="http://schemas.microsoft.com/office/drawing/2014/main" id="{00000000-0008-0000-0B00-00004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55</xdr:row>
          <xdr:rowOff>114300</xdr:rowOff>
        </xdr:from>
        <xdr:to>
          <xdr:col>13</xdr:col>
          <xdr:colOff>66675</xdr:colOff>
          <xdr:row>57</xdr:row>
          <xdr:rowOff>28575</xdr:rowOff>
        </xdr:to>
        <xdr:sp macro="" textlink="">
          <xdr:nvSpPr>
            <xdr:cNvPr id="26691" name="Check Box 67" hidden="1">
              <a:extLst>
                <a:ext uri="{63B3BB69-23CF-44E3-9099-C40C66FF867C}">
                  <a14:compatExt spid="_x0000_s26691"/>
                </a:ext>
                <a:ext uri="{FF2B5EF4-FFF2-40B4-BE49-F238E27FC236}">
                  <a16:creationId xmlns:a16="http://schemas.microsoft.com/office/drawing/2014/main" id="{00000000-0008-0000-0B00-00004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xdr:twoCellAnchor editAs="oneCell">
    <xdr:from>
      <xdr:col>5</xdr:col>
      <xdr:colOff>552450</xdr:colOff>
      <xdr:row>0</xdr:row>
      <xdr:rowOff>133350</xdr:rowOff>
    </xdr:from>
    <xdr:to>
      <xdr:col>10</xdr:col>
      <xdr:colOff>0</xdr:colOff>
      <xdr:row>0</xdr:row>
      <xdr:rowOff>752475</xdr:rowOff>
    </xdr:to>
    <xdr:pic>
      <xdr:nvPicPr>
        <xdr:cNvPr id="27002" name="Picture 1">
          <a:extLst>
            <a:ext uri="{FF2B5EF4-FFF2-40B4-BE49-F238E27FC236}">
              <a16:creationId xmlns:a16="http://schemas.microsoft.com/office/drawing/2014/main" id="{00000000-0008-0000-0B00-00007A69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47900" y="133350"/>
          <a:ext cx="1809750"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3" name="Picture 1">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4" name="Picture 1">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11873" name="Picture 1">
          <a:extLst>
            <a:ext uri="{FF2B5EF4-FFF2-40B4-BE49-F238E27FC236}">
              <a16:creationId xmlns:a16="http://schemas.microsoft.com/office/drawing/2014/main" id="{00000000-0008-0000-0E00-0000612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1</xdr:row>
      <xdr:rowOff>161925</xdr:rowOff>
    </xdr:to>
    <xdr:pic>
      <xdr:nvPicPr>
        <xdr:cNvPr id="15966" name="Picture 1">
          <a:extLst>
            <a:ext uri="{FF2B5EF4-FFF2-40B4-BE49-F238E27FC236}">
              <a16:creationId xmlns:a16="http://schemas.microsoft.com/office/drawing/2014/main" id="{00000000-0008-0000-0F00-00005E3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17027" name="Picture 1">
          <a:extLst>
            <a:ext uri="{FF2B5EF4-FFF2-40B4-BE49-F238E27FC236}">
              <a16:creationId xmlns:a16="http://schemas.microsoft.com/office/drawing/2014/main" id="{00000000-0008-0000-1000-0000834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17028" name="Picture 1">
          <a:extLst>
            <a:ext uri="{FF2B5EF4-FFF2-40B4-BE49-F238E27FC236}">
              <a16:creationId xmlns:a16="http://schemas.microsoft.com/office/drawing/2014/main" id="{00000000-0008-0000-1000-0000844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18049" name="Picture 1">
          <a:extLst>
            <a:ext uri="{FF2B5EF4-FFF2-40B4-BE49-F238E27FC236}">
              <a16:creationId xmlns:a16="http://schemas.microsoft.com/office/drawing/2014/main" id="{00000000-0008-0000-1100-000081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18050" name="Picture 1">
          <a:extLst>
            <a:ext uri="{FF2B5EF4-FFF2-40B4-BE49-F238E27FC236}">
              <a16:creationId xmlns:a16="http://schemas.microsoft.com/office/drawing/2014/main" id="{00000000-0008-0000-1100-000082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619125</xdr:colOff>
          <xdr:row>10</xdr:row>
          <xdr:rowOff>38100</xdr:rowOff>
        </xdr:from>
        <xdr:to>
          <xdr:col>13</xdr:col>
          <xdr:colOff>381000</xdr:colOff>
          <xdr:row>12</xdr:row>
          <xdr:rowOff>47625</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00000000-0008-0000-1200-00000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400050</xdr:colOff>
          <xdr:row>10</xdr:row>
          <xdr:rowOff>47625</xdr:rowOff>
        </xdr:from>
        <xdr:to>
          <xdr:col>15</xdr:col>
          <xdr:colOff>19050</xdr:colOff>
          <xdr:row>12</xdr:row>
          <xdr:rowOff>57150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00000000-0008-0000-1200-000002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11</xdr:row>
          <xdr:rowOff>104775</xdr:rowOff>
        </xdr:from>
        <xdr:to>
          <xdr:col>6</xdr:col>
          <xdr:colOff>647700</xdr:colOff>
          <xdr:row>13</xdr:row>
          <xdr:rowOff>19050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1200-000003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11</xdr:row>
          <xdr:rowOff>104775</xdr:rowOff>
        </xdr:from>
        <xdr:to>
          <xdr:col>8</xdr:col>
          <xdr:colOff>276225</xdr:colOff>
          <xdr:row>13</xdr:row>
          <xdr:rowOff>19050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1200-000004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14</xdr:row>
          <xdr:rowOff>133350</xdr:rowOff>
        </xdr:from>
        <xdr:to>
          <xdr:col>10</xdr:col>
          <xdr:colOff>85725</xdr:colOff>
          <xdr:row>16</xdr:row>
          <xdr:rowOff>47625</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1200-000005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14</xdr:row>
          <xdr:rowOff>133350</xdr:rowOff>
        </xdr:from>
        <xdr:to>
          <xdr:col>12</xdr:col>
          <xdr:colOff>47625</xdr:colOff>
          <xdr:row>16</xdr:row>
          <xdr:rowOff>47625</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1200-000006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20</xdr:row>
          <xdr:rowOff>152400</xdr:rowOff>
        </xdr:from>
        <xdr:to>
          <xdr:col>15</xdr:col>
          <xdr:colOff>0</xdr:colOff>
          <xdr:row>22</xdr:row>
          <xdr:rowOff>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1200-000007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xdr:row>
          <xdr:rowOff>161925</xdr:rowOff>
        </xdr:from>
        <xdr:to>
          <xdr:col>16</xdr:col>
          <xdr:colOff>19050</xdr:colOff>
          <xdr:row>22</xdr:row>
          <xdr:rowOff>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1200-000008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21</xdr:row>
          <xdr:rowOff>133350</xdr:rowOff>
        </xdr:from>
        <xdr:to>
          <xdr:col>8</xdr:col>
          <xdr:colOff>352425</xdr:colOff>
          <xdr:row>23</xdr:row>
          <xdr:rowOff>47625</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1200-000009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21</xdr:row>
          <xdr:rowOff>133350</xdr:rowOff>
        </xdr:from>
        <xdr:to>
          <xdr:col>10</xdr:col>
          <xdr:colOff>9525</xdr:colOff>
          <xdr:row>23</xdr:row>
          <xdr:rowOff>47625</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1200-00000A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24</xdr:row>
          <xdr:rowOff>9525</xdr:rowOff>
        </xdr:from>
        <xdr:to>
          <xdr:col>11</xdr:col>
          <xdr:colOff>247650</xdr:colOff>
          <xdr:row>26</xdr:row>
          <xdr:rowOff>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1200-00000B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24</xdr:row>
          <xdr:rowOff>9525</xdr:rowOff>
        </xdr:from>
        <xdr:to>
          <xdr:col>12</xdr:col>
          <xdr:colOff>314325</xdr:colOff>
          <xdr:row>26</xdr:row>
          <xdr:rowOff>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00000000-0008-0000-1200-00000C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25</xdr:row>
          <xdr:rowOff>104775</xdr:rowOff>
        </xdr:from>
        <xdr:to>
          <xdr:col>13</xdr:col>
          <xdr:colOff>666750</xdr:colOff>
          <xdr:row>27</xdr:row>
          <xdr:rowOff>19050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1200-00000D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25</xdr:row>
          <xdr:rowOff>104775</xdr:rowOff>
        </xdr:from>
        <xdr:to>
          <xdr:col>13</xdr:col>
          <xdr:colOff>238125</xdr:colOff>
          <xdr:row>27</xdr:row>
          <xdr:rowOff>19050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1200-00000E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31</xdr:row>
          <xdr:rowOff>47625</xdr:rowOff>
        </xdr:from>
        <xdr:to>
          <xdr:col>9</xdr:col>
          <xdr:colOff>228600</xdr:colOff>
          <xdr:row>33</xdr:row>
          <xdr:rowOff>47625</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1200-00000F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 Barge Manifold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31</xdr:row>
          <xdr:rowOff>47625</xdr:rowOff>
        </xdr:from>
        <xdr:to>
          <xdr:col>12</xdr:col>
          <xdr:colOff>371475</xdr:colOff>
          <xdr:row>33</xdr:row>
          <xdr:rowOff>47625</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1200-000010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 Vessel Manifold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32</xdr:row>
          <xdr:rowOff>133350</xdr:rowOff>
        </xdr:from>
        <xdr:to>
          <xdr:col>9</xdr:col>
          <xdr:colOff>257175</xdr:colOff>
          <xdr:row>34</xdr:row>
          <xdr:rowOff>47625</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1200-00001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Continuous Drip Sample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32</xdr:row>
          <xdr:rowOff>142875</xdr:rowOff>
        </xdr:from>
        <xdr:to>
          <xdr:col>13</xdr:col>
          <xdr:colOff>114300</xdr:colOff>
          <xdr:row>34</xdr:row>
          <xdr:rowOff>57150</xdr:rowOff>
        </xdr:to>
        <xdr:sp macro="" textlink="">
          <xdr:nvSpPr>
            <xdr:cNvPr id="29714" name="Check Box 18" hidden="1">
              <a:extLst>
                <a:ext uri="{63B3BB69-23CF-44E3-9099-C40C66FF867C}">
                  <a14:compatExt spid="_x0000_s29714"/>
                </a:ext>
                <a:ext uri="{FF2B5EF4-FFF2-40B4-BE49-F238E27FC236}">
                  <a16:creationId xmlns:a16="http://schemas.microsoft.com/office/drawing/2014/main" id="{00000000-0008-0000-1200-000012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Drip Sample by intervals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27</xdr:row>
          <xdr:rowOff>123825</xdr:rowOff>
        </xdr:from>
        <xdr:to>
          <xdr:col>7</xdr:col>
          <xdr:colOff>57150</xdr:colOff>
          <xdr:row>29</xdr:row>
          <xdr:rowOff>38100</xdr:rowOff>
        </xdr:to>
        <xdr:sp macro="" textlink="">
          <xdr:nvSpPr>
            <xdr:cNvPr id="29715" name="Check Box 19" hidden="1">
              <a:extLst>
                <a:ext uri="{63B3BB69-23CF-44E3-9099-C40C66FF867C}">
                  <a14:compatExt spid="_x0000_s29715"/>
                </a:ext>
                <a:ext uri="{FF2B5EF4-FFF2-40B4-BE49-F238E27FC236}">
                  <a16:creationId xmlns:a16="http://schemas.microsoft.com/office/drawing/2014/main" id="{00000000-0008-0000-1200-000013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26</xdr:row>
          <xdr:rowOff>123825</xdr:rowOff>
        </xdr:from>
        <xdr:to>
          <xdr:col>7</xdr:col>
          <xdr:colOff>57150</xdr:colOff>
          <xdr:row>28</xdr:row>
          <xdr:rowOff>38100</xdr:rowOff>
        </xdr:to>
        <xdr:sp macro="" textlink="">
          <xdr:nvSpPr>
            <xdr:cNvPr id="29716" name="Check Box 20" hidden="1">
              <a:extLst>
                <a:ext uri="{63B3BB69-23CF-44E3-9099-C40C66FF867C}">
                  <a14:compatExt spid="_x0000_s29716"/>
                </a:ext>
                <a:ext uri="{FF2B5EF4-FFF2-40B4-BE49-F238E27FC236}">
                  <a16:creationId xmlns:a16="http://schemas.microsoft.com/office/drawing/2014/main" id="{00000000-0008-0000-1200-000014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26</xdr:row>
          <xdr:rowOff>133350</xdr:rowOff>
        </xdr:from>
        <xdr:to>
          <xdr:col>8</xdr:col>
          <xdr:colOff>381000</xdr:colOff>
          <xdr:row>28</xdr:row>
          <xdr:rowOff>47625</xdr:rowOff>
        </xdr:to>
        <xdr:sp macro="" textlink="">
          <xdr:nvSpPr>
            <xdr:cNvPr id="29717" name="Check Box 21" hidden="1">
              <a:extLst>
                <a:ext uri="{63B3BB69-23CF-44E3-9099-C40C66FF867C}">
                  <a14:compatExt spid="_x0000_s29717"/>
                </a:ext>
                <a:ext uri="{FF2B5EF4-FFF2-40B4-BE49-F238E27FC236}">
                  <a16:creationId xmlns:a16="http://schemas.microsoft.com/office/drawing/2014/main" id="{00000000-0008-0000-1200-000015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27</xdr:row>
          <xdr:rowOff>142875</xdr:rowOff>
        </xdr:from>
        <xdr:to>
          <xdr:col>8</xdr:col>
          <xdr:colOff>381000</xdr:colOff>
          <xdr:row>29</xdr:row>
          <xdr:rowOff>57150</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00000000-0008-0000-1200-000016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619125</xdr:colOff>
          <xdr:row>36</xdr:row>
          <xdr:rowOff>38100</xdr:rowOff>
        </xdr:from>
        <xdr:to>
          <xdr:col>13</xdr:col>
          <xdr:colOff>381000</xdr:colOff>
          <xdr:row>38</xdr:row>
          <xdr:rowOff>66675</xdr:rowOff>
        </xdr:to>
        <xdr:sp macro="" textlink="">
          <xdr:nvSpPr>
            <xdr:cNvPr id="29719" name="Check Box 23" hidden="1">
              <a:extLst>
                <a:ext uri="{63B3BB69-23CF-44E3-9099-C40C66FF867C}">
                  <a14:compatExt spid="_x0000_s29719"/>
                </a:ext>
                <a:ext uri="{FF2B5EF4-FFF2-40B4-BE49-F238E27FC236}">
                  <a16:creationId xmlns:a16="http://schemas.microsoft.com/office/drawing/2014/main" id="{00000000-0008-0000-1200-000017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37</xdr:row>
          <xdr:rowOff>142875</xdr:rowOff>
        </xdr:from>
        <xdr:to>
          <xdr:col>6</xdr:col>
          <xdr:colOff>704850</xdr:colOff>
          <xdr:row>39</xdr:row>
          <xdr:rowOff>57150</xdr:rowOff>
        </xdr:to>
        <xdr:sp macro="" textlink="">
          <xdr:nvSpPr>
            <xdr:cNvPr id="29720" name="Check Box 24" hidden="1">
              <a:extLst>
                <a:ext uri="{63B3BB69-23CF-44E3-9099-C40C66FF867C}">
                  <a14:compatExt spid="_x0000_s29720"/>
                </a:ext>
                <a:ext uri="{FF2B5EF4-FFF2-40B4-BE49-F238E27FC236}">
                  <a16:creationId xmlns:a16="http://schemas.microsoft.com/office/drawing/2014/main" id="{00000000-0008-0000-1200-000018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695325</xdr:colOff>
          <xdr:row>37</xdr:row>
          <xdr:rowOff>142875</xdr:rowOff>
        </xdr:from>
        <xdr:to>
          <xdr:col>8</xdr:col>
          <xdr:colOff>304800</xdr:colOff>
          <xdr:row>39</xdr:row>
          <xdr:rowOff>57150</xdr:rowOff>
        </xdr:to>
        <xdr:sp macro="" textlink="">
          <xdr:nvSpPr>
            <xdr:cNvPr id="29721" name="Check Box 25" hidden="1">
              <a:extLst>
                <a:ext uri="{63B3BB69-23CF-44E3-9099-C40C66FF867C}">
                  <a14:compatExt spid="_x0000_s29721"/>
                </a:ext>
                <a:ext uri="{FF2B5EF4-FFF2-40B4-BE49-F238E27FC236}">
                  <a16:creationId xmlns:a16="http://schemas.microsoft.com/office/drawing/2014/main" id="{00000000-0008-0000-1200-000019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41</xdr:row>
          <xdr:rowOff>133350</xdr:rowOff>
        </xdr:from>
        <xdr:to>
          <xdr:col>10</xdr:col>
          <xdr:colOff>95250</xdr:colOff>
          <xdr:row>43</xdr:row>
          <xdr:rowOff>47625</xdr:rowOff>
        </xdr:to>
        <xdr:sp macro="" textlink="">
          <xdr:nvSpPr>
            <xdr:cNvPr id="29722" name="Check Box 26" hidden="1">
              <a:extLst>
                <a:ext uri="{63B3BB69-23CF-44E3-9099-C40C66FF867C}">
                  <a14:compatExt spid="_x0000_s29722"/>
                </a:ext>
                <a:ext uri="{FF2B5EF4-FFF2-40B4-BE49-F238E27FC236}">
                  <a16:creationId xmlns:a16="http://schemas.microsoft.com/office/drawing/2014/main" id="{00000000-0008-0000-1200-00001A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41</xdr:row>
          <xdr:rowOff>123825</xdr:rowOff>
        </xdr:from>
        <xdr:to>
          <xdr:col>12</xdr:col>
          <xdr:colOff>66675</xdr:colOff>
          <xdr:row>43</xdr:row>
          <xdr:rowOff>38100</xdr:rowOff>
        </xdr:to>
        <xdr:sp macro="" textlink="">
          <xdr:nvSpPr>
            <xdr:cNvPr id="29723" name="Check Box 27" hidden="1">
              <a:extLst>
                <a:ext uri="{63B3BB69-23CF-44E3-9099-C40C66FF867C}">
                  <a14:compatExt spid="_x0000_s29723"/>
                </a:ext>
                <a:ext uri="{FF2B5EF4-FFF2-40B4-BE49-F238E27FC236}">
                  <a16:creationId xmlns:a16="http://schemas.microsoft.com/office/drawing/2014/main" id="{00000000-0008-0000-1200-00001B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44</xdr:row>
          <xdr:rowOff>38100</xdr:rowOff>
        </xdr:from>
        <xdr:to>
          <xdr:col>13</xdr:col>
          <xdr:colOff>752475</xdr:colOff>
          <xdr:row>46</xdr:row>
          <xdr:rowOff>28575</xdr:rowOff>
        </xdr:to>
        <xdr:sp macro="" textlink="">
          <xdr:nvSpPr>
            <xdr:cNvPr id="29724" name="Check Box 28" hidden="1">
              <a:extLst>
                <a:ext uri="{63B3BB69-23CF-44E3-9099-C40C66FF867C}">
                  <a14:compatExt spid="_x0000_s29724"/>
                </a:ext>
                <a:ext uri="{FF2B5EF4-FFF2-40B4-BE49-F238E27FC236}">
                  <a16:creationId xmlns:a16="http://schemas.microsoft.com/office/drawing/2014/main" id="{00000000-0008-0000-1200-00001C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44</xdr:row>
          <xdr:rowOff>0</xdr:rowOff>
        </xdr:from>
        <xdr:to>
          <xdr:col>16</xdr:col>
          <xdr:colOff>28575</xdr:colOff>
          <xdr:row>46</xdr:row>
          <xdr:rowOff>57150</xdr:rowOff>
        </xdr:to>
        <xdr:sp macro="" textlink="">
          <xdr:nvSpPr>
            <xdr:cNvPr id="29725" name="Check Box 29" hidden="1">
              <a:extLst>
                <a:ext uri="{63B3BB69-23CF-44E3-9099-C40C66FF867C}">
                  <a14:compatExt spid="_x0000_s29725"/>
                </a:ext>
                <a:ext uri="{FF2B5EF4-FFF2-40B4-BE49-F238E27FC236}">
                  <a16:creationId xmlns:a16="http://schemas.microsoft.com/office/drawing/2014/main" id="{00000000-0008-0000-1200-00001D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48</xdr:row>
          <xdr:rowOff>0</xdr:rowOff>
        </xdr:from>
        <xdr:to>
          <xdr:col>11</xdr:col>
          <xdr:colOff>200025</xdr:colOff>
          <xdr:row>49</xdr:row>
          <xdr:rowOff>171450</xdr:rowOff>
        </xdr:to>
        <xdr:sp macro="" textlink="">
          <xdr:nvSpPr>
            <xdr:cNvPr id="29726" name="Check Box 30" hidden="1">
              <a:extLst>
                <a:ext uri="{63B3BB69-23CF-44E3-9099-C40C66FF867C}">
                  <a14:compatExt spid="_x0000_s29726"/>
                </a:ext>
                <a:ext uri="{FF2B5EF4-FFF2-40B4-BE49-F238E27FC236}">
                  <a16:creationId xmlns:a16="http://schemas.microsoft.com/office/drawing/2014/main" id="{00000000-0008-0000-1200-00001E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48</xdr:row>
          <xdr:rowOff>0</xdr:rowOff>
        </xdr:from>
        <xdr:to>
          <xdr:col>12</xdr:col>
          <xdr:colOff>323850</xdr:colOff>
          <xdr:row>49</xdr:row>
          <xdr:rowOff>171450</xdr:rowOff>
        </xdr:to>
        <xdr:sp macro="" textlink="">
          <xdr:nvSpPr>
            <xdr:cNvPr id="29727" name="Check Box 31" hidden="1">
              <a:extLst>
                <a:ext uri="{63B3BB69-23CF-44E3-9099-C40C66FF867C}">
                  <a14:compatExt spid="_x0000_s29727"/>
                </a:ext>
                <a:ext uri="{FF2B5EF4-FFF2-40B4-BE49-F238E27FC236}">
                  <a16:creationId xmlns:a16="http://schemas.microsoft.com/office/drawing/2014/main" id="{00000000-0008-0000-1200-00001F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49</xdr:row>
          <xdr:rowOff>104775</xdr:rowOff>
        </xdr:from>
        <xdr:to>
          <xdr:col>13</xdr:col>
          <xdr:colOff>666750</xdr:colOff>
          <xdr:row>51</xdr:row>
          <xdr:rowOff>19050</xdr:rowOff>
        </xdr:to>
        <xdr:sp macro="" textlink="">
          <xdr:nvSpPr>
            <xdr:cNvPr id="29728" name="Check Box 32" hidden="1">
              <a:extLst>
                <a:ext uri="{63B3BB69-23CF-44E3-9099-C40C66FF867C}">
                  <a14:compatExt spid="_x0000_s29728"/>
                </a:ext>
                <a:ext uri="{FF2B5EF4-FFF2-40B4-BE49-F238E27FC236}">
                  <a16:creationId xmlns:a16="http://schemas.microsoft.com/office/drawing/2014/main" id="{00000000-0008-0000-1200-000020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49</xdr:row>
          <xdr:rowOff>104775</xdr:rowOff>
        </xdr:from>
        <xdr:to>
          <xdr:col>13</xdr:col>
          <xdr:colOff>238125</xdr:colOff>
          <xdr:row>51</xdr:row>
          <xdr:rowOff>19050</xdr:rowOff>
        </xdr:to>
        <xdr:sp macro="" textlink="">
          <xdr:nvSpPr>
            <xdr:cNvPr id="29729" name="Check Box 33" hidden="1">
              <a:extLst>
                <a:ext uri="{63B3BB69-23CF-44E3-9099-C40C66FF867C}">
                  <a14:compatExt spid="_x0000_s29729"/>
                </a:ext>
                <a:ext uri="{FF2B5EF4-FFF2-40B4-BE49-F238E27FC236}">
                  <a16:creationId xmlns:a16="http://schemas.microsoft.com/office/drawing/2014/main" id="{00000000-0008-0000-1200-00002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51</xdr:row>
          <xdr:rowOff>133350</xdr:rowOff>
        </xdr:from>
        <xdr:to>
          <xdr:col>10</xdr:col>
          <xdr:colOff>19050</xdr:colOff>
          <xdr:row>53</xdr:row>
          <xdr:rowOff>47625</xdr:rowOff>
        </xdr:to>
        <xdr:sp macro="" textlink="">
          <xdr:nvSpPr>
            <xdr:cNvPr id="29730" name="Check Box 34" hidden="1">
              <a:extLst>
                <a:ext uri="{63B3BB69-23CF-44E3-9099-C40C66FF867C}">
                  <a14:compatExt spid="_x0000_s29730"/>
                </a:ext>
                <a:ext uri="{FF2B5EF4-FFF2-40B4-BE49-F238E27FC236}">
                  <a16:creationId xmlns:a16="http://schemas.microsoft.com/office/drawing/2014/main" id="{00000000-0008-0000-1200-000022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51</xdr:row>
          <xdr:rowOff>133350</xdr:rowOff>
        </xdr:from>
        <xdr:to>
          <xdr:col>11</xdr:col>
          <xdr:colOff>342900</xdr:colOff>
          <xdr:row>53</xdr:row>
          <xdr:rowOff>47625</xdr:rowOff>
        </xdr:to>
        <xdr:sp macro="" textlink="">
          <xdr:nvSpPr>
            <xdr:cNvPr id="29731" name="Check Box 35" hidden="1">
              <a:extLst>
                <a:ext uri="{63B3BB69-23CF-44E3-9099-C40C66FF867C}">
                  <a14:compatExt spid="_x0000_s29731"/>
                </a:ext>
                <a:ext uri="{FF2B5EF4-FFF2-40B4-BE49-F238E27FC236}">
                  <a16:creationId xmlns:a16="http://schemas.microsoft.com/office/drawing/2014/main" id="{00000000-0008-0000-1200-000023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52</xdr:row>
          <xdr:rowOff>133350</xdr:rowOff>
        </xdr:from>
        <xdr:to>
          <xdr:col>6</xdr:col>
          <xdr:colOff>504825</xdr:colOff>
          <xdr:row>54</xdr:row>
          <xdr:rowOff>47625</xdr:rowOff>
        </xdr:to>
        <xdr:sp macro="" textlink="">
          <xdr:nvSpPr>
            <xdr:cNvPr id="29732" name="Check Box 36" hidden="1">
              <a:extLst>
                <a:ext uri="{63B3BB69-23CF-44E3-9099-C40C66FF867C}">
                  <a14:compatExt spid="_x0000_s29732"/>
                </a:ext>
                <a:ext uri="{FF2B5EF4-FFF2-40B4-BE49-F238E27FC236}">
                  <a16:creationId xmlns:a16="http://schemas.microsoft.com/office/drawing/2014/main" id="{00000000-0008-0000-1200-000024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52</xdr:row>
          <xdr:rowOff>133350</xdr:rowOff>
        </xdr:from>
        <xdr:to>
          <xdr:col>8</xdr:col>
          <xdr:colOff>114300</xdr:colOff>
          <xdr:row>54</xdr:row>
          <xdr:rowOff>47625</xdr:rowOff>
        </xdr:to>
        <xdr:sp macro="" textlink="">
          <xdr:nvSpPr>
            <xdr:cNvPr id="29733" name="Check Box 37" hidden="1">
              <a:extLst>
                <a:ext uri="{63B3BB69-23CF-44E3-9099-C40C66FF867C}">
                  <a14:compatExt spid="_x0000_s29733"/>
                </a:ext>
                <a:ext uri="{FF2B5EF4-FFF2-40B4-BE49-F238E27FC236}">
                  <a16:creationId xmlns:a16="http://schemas.microsoft.com/office/drawing/2014/main" id="{00000000-0008-0000-1200-000025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50</xdr:row>
          <xdr:rowOff>152400</xdr:rowOff>
        </xdr:from>
        <xdr:to>
          <xdr:col>9</xdr:col>
          <xdr:colOff>285750</xdr:colOff>
          <xdr:row>52</xdr:row>
          <xdr:rowOff>66675</xdr:rowOff>
        </xdr:to>
        <xdr:sp macro="" textlink="">
          <xdr:nvSpPr>
            <xdr:cNvPr id="29734" name="Check Box 38" hidden="1">
              <a:extLst>
                <a:ext uri="{63B3BB69-23CF-44E3-9099-C40C66FF867C}">
                  <a14:compatExt spid="_x0000_s29734"/>
                </a:ext>
                <a:ext uri="{FF2B5EF4-FFF2-40B4-BE49-F238E27FC236}">
                  <a16:creationId xmlns:a16="http://schemas.microsoft.com/office/drawing/2014/main" id="{00000000-0008-0000-1200-000026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50</xdr:row>
          <xdr:rowOff>142875</xdr:rowOff>
        </xdr:from>
        <xdr:to>
          <xdr:col>8</xdr:col>
          <xdr:colOff>304800</xdr:colOff>
          <xdr:row>52</xdr:row>
          <xdr:rowOff>57150</xdr:rowOff>
        </xdr:to>
        <xdr:sp macro="" textlink="">
          <xdr:nvSpPr>
            <xdr:cNvPr id="29735" name="Check Box 39" hidden="1">
              <a:extLst>
                <a:ext uri="{63B3BB69-23CF-44E3-9099-C40C66FF867C}">
                  <a14:compatExt spid="_x0000_s29735"/>
                </a:ext>
                <a:ext uri="{FF2B5EF4-FFF2-40B4-BE49-F238E27FC236}">
                  <a16:creationId xmlns:a16="http://schemas.microsoft.com/office/drawing/2014/main" id="{00000000-0008-0000-1200-000027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36</xdr:row>
          <xdr:rowOff>38100</xdr:rowOff>
        </xdr:from>
        <xdr:to>
          <xdr:col>15</xdr:col>
          <xdr:colOff>0</xdr:colOff>
          <xdr:row>38</xdr:row>
          <xdr:rowOff>66675</xdr:rowOff>
        </xdr:to>
        <xdr:sp macro="" textlink="">
          <xdr:nvSpPr>
            <xdr:cNvPr id="29736" name="Check Box 40" hidden="1">
              <a:extLst>
                <a:ext uri="{63B3BB69-23CF-44E3-9099-C40C66FF867C}">
                  <a14:compatExt spid="_x0000_s29736"/>
                </a:ext>
                <a:ext uri="{FF2B5EF4-FFF2-40B4-BE49-F238E27FC236}">
                  <a16:creationId xmlns:a16="http://schemas.microsoft.com/office/drawing/2014/main" id="{00000000-0008-0000-1200-000028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40</xdr:row>
          <xdr:rowOff>133350</xdr:rowOff>
        </xdr:from>
        <xdr:to>
          <xdr:col>9</xdr:col>
          <xdr:colOff>342900</xdr:colOff>
          <xdr:row>42</xdr:row>
          <xdr:rowOff>47625</xdr:rowOff>
        </xdr:to>
        <xdr:sp macro="" textlink="">
          <xdr:nvSpPr>
            <xdr:cNvPr id="29737" name="Check Box 41" hidden="1">
              <a:extLst>
                <a:ext uri="{63B3BB69-23CF-44E3-9099-C40C66FF867C}">
                  <a14:compatExt spid="_x0000_s29737"/>
                </a:ext>
                <a:ext uri="{FF2B5EF4-FFF2-40B4-BE49-F238E27FC236}">
                  <a16:creationId xmlns:a16="http://schemas.microsoft.com/office/drawing/2014/main" id="{00000000-0008-0000-1200-000029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40</xdr:row>
          <xdr:rowOff>171450</xdr:rowOff>
        </xdr:from>
        <xdr:to>
          <xdr:col>11</xdr:col>
          <xdr:colOff>314325</xdr:colOff>
          <xdr:row>42</xdr:row>
          <xdr:rowOff>9525</xdr:rowOff>
        </xdr:to>
        <xdr:sp macro="" textlink="">
          <xdr:nvSpPr>
            <xdr:cNvPr id="29738" name="Check Box 42" hidden="1">
              <a:extLst>
                <a:ext uri="{63B3BB69-23CF-44E3-9099-C40C66FF867C}">
                  <a14:compatExt spid="_x0000_s29738"/>
                </a:ext>
                <a:ext uri="{FF2B5EF4-FFF2-40B4-BE49-F238E27FC236}">
                  <a16:creationId xmlns:a16="http://schemas.microsoft.com/office/drawing/2014/main" id="{00000000-0008-0000-1200-00002A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333375</xdr:colOff>
          <xdr:row>53</xdr:row>
          <xdr:rowOff>133350</xdr:rowOff>
        </xdr:from>
        <xdr:to>
          <xdr:col>13</xdr:col>
          <xdr:colOff>104775</xdr:colOff>
          <xdr:row>55</xdr:row>
          <xdr:rowOff>47625</xdr:rowOff>
        </xdr:to>
        <xdr:sp macro="" textlink="">
          <xdr:nvSpPr>
            <xdr:cNvPr id="29739" name="Check Box 43" hidden="1">
              <a:extLst>
                <a:ext uri="{63B3BB69-23CF-44E3-9099-C40C66FF867C}">
                  <a14:compatExt spid="_x0000_s29739"/>
                </a:ext>
                <a:ext uri="{FF2B5EF4-FFF2-40B4-BE49-F238E27FC236}">
                  <a16:creationId xmlns:a16="http://schemas.microsoft.com/office/drawing/2014/main" id="{00000000-0008-0000-1200-00002B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53</xdr:row>
          <xdr:rowOff>123825</xdr:rowOff>
        </xdr:from>
        <xdr:to>
          <xdr:col>12</xdr:col>
          <xdr:colOff>333375</xdr:colOff>
          <xdr:row>55</xdr:row>
          <xdr:rowOff>38100</xdr:rowOff>
        </xdr:to>
        <xdr:sp macro="" textlink="">
          <xdr:nvSpPr>
            <xdr:cNvPr id="29740" name="Check Box 44" hidden="1">
              <a:extLst>
                <a:ext uri="{63B3BB69-23CF-44E3-9099-C40C66FF867C}">
                  <a14:compatExt spid="_x0000_s29740"/>
                </a:ext>
                <a:ext uri="{FF2B5EF4-FFF2-40B4-BE49-F238E27FC236}">
                  <a16:creationId xmlns:a16="http://schemas.microsoft.com/office/drawing/2014/main" id="{00000000-0008-0000-1200-00002C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12</xdr:row>
          <xdr:rowOff>123825</xdr:rowOff>
        </xdr:from>
        <xdr:to>
          <xdr:col>13</xdr:col>
          <xdr:colOff>504825</xdr:colOff>
          <xdr:row>14</xdr:row>
          <xdr:rowOff>38100</xdr:rowOff>
        </xdr:to>
        <xdr:sp macro="" textlink="">
          <xdr:nvSpPr>
            <xdr:cNvPr id="29741" name="Check Box 45" hidden="1">
              <a:extLst>
                <a:ext uri="{63B3BB69-23CF-44E3-9099-C40C66FF867C}">
                  <a14:compatExt spid="_x0000_s29741"/>
                </a:ext>
                <a:ext uri="{FF2B5EF4-FFF2-40B4-BE49-F238E27FC236}">
                  <a16:creationId xmlns:a16="http://schemas.microsoft.com/office/drawing/2014/main" id="{00000000-0008-0000-1200-00002D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12</xdr:row>
          <xdr:rowOff>123825</xdr:rowOff>
        </xdr:from>
        <xdr:to>
          <xdr:col>15</xdr:col>
          <xdr:colOff>171450</xdr:colOff>
          <xdr:row>14</xdr:row>
          <xdr:rowOff>38100</xdr:rowOff>
        </xdr:to>
        <xdr:sp macro="" textlink="">
          <xdr:nvSpPr>
            <xdr:cNvPr id="29742" name="Check Box 46" hidden="1">
              <a:extLst>
                <a:ext uri="{63B3BB69-23CF-44E3-9099-C40C66FF867C}">
                  <a14:compatExt spid="_x0000_s29742"/>
                </a:ext>
                <a:ext uri="{FF2B5EF4-FFF2-40B4-BE49-F238E27FC236}">
                  <a16:creationId xmlns:a16="http://schemas.microsoft.com/office/drawing/2014/main" id="{00000000-0008-0000-1200-00002E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13</xdr:row>
          <xdr:rowOff>104775</xdr:rowOff>
        </xdr:from>
        <xdr:to>
          <xdr:col>6</xdr:col>
          <xdr:colOff>647700</xdr:colOff>
          <xdr:row>15</xdr:row>
          <xdr:rowOff>19050</xdr:rowOff>
        </xdr:to>
        <xdr:sp macro="" textlink="">
          <xdr:nvSpPr>
            <xdr:cNvPr id="29743" name="Check Box 47" hidden="1">
              <a:extLst>
                <a:ext uri="{63B3BB69-23CF-44E3-9099-C40C66FF867C}">
                  <a14:compatExt spid="_x0000_s29743"/>
                </a:ext>
                <a:ext uri="{FF2B5EF4-FFF2-40B4-BE49-F238E27FC236}">
                  <a16:creationId xmlns:a16="http://schemas.microsoft.com/office/drawing/2014/main" id="{00000000-0008-0000-1200-00002F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13</xdr:row>
          <xdr:rowOff>104775</xdr:rowOff>
        </xdr:from>
        <xdr:to>
          <xdr:col>8</xdr:col>
          <xdr:colOff>276225</xdr:colOff>
          <xdr:row>15</xdr:row>
          <xdr:rowOff>19050</xdr:rowOff>
        </xdr:to>
        <xdr:sp macro="" textlink="">
          <xdr:nvSpPr>
            <xdr:cNvPr id="29744" name="Check Box 48" hidden="1">
              <a:extLst>
                <a:ext uri="{63B3BB69-23CF-44E3-9099-C40C66FF867C}">
                  <a14:compatExt spid="_x0000_s29744"/>
                </a:ext>
                <a:ext uri="{FF2B5EF4-FFF2-40B4-BE49-F238E27FC236}">
                  <a16:creationId xmlns:a16="http://schemas.microsoft.com/office/drawing/2014/main" id="{00000000-0008-0000-1200-000030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38</xdr:row>
          <xdr:rowOff>123825</xdr:rowOff>
        </xdr:from>
        <xdr:to>
          <xdr:col>13</xdr:col>
          <xdr:colOff>552450</xdr:colOff>
          <xdr:row>40</xdr:row>
          <xdr:rowOff>38100</xdr:rowOff>
        </xdr:to>
        <xdr:sp macro="" textlink="">
          <xdr:nvSpPr>
            <xdr:cNvPr id="29745" name="Check Box 49" hidden="1">
              <a:extLst>
                <a:ext uri="{63B3BB69-23CF-44E3-9099-C40C66FF867C}">
                  <a14:compatExt spid="_x0000_s29745"/>
                </a:ext>
                <a:ext uri="{FF2B5EF4-FFF2-40B4-BE49-F238E27FC236}">
                  <a16:creationId xmlns:a16="http://schemas.microsoft.com/office/drawing/2014/main" id="{00000000-0008-0000-1200-00003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38</xdr:row>
          <xdr:rowOff>123825</xdr:rowOff>
        </xdr:from>
        <xdr:to>
          <xdr:col>15</xdr:col>
          <xdr:colOff>66675</xdr:colOff>
          <xdr:row>40</xdr:row>
          <xdr:rowOff>38100</xdr:rowOff>
        </xdr:to>
        <xdr:sp macro="" textlink="">
          <xdr:nvSpPr>
            <xdr:cNvPr id="29746" name="Check Box 50" hidden="1">
              <a:extLst>
                <a:ext uri="{63B3BB69-23CF-44E3-9099-C40C66FF867C}">
                  <a14:compatExt spid="_x0000_s29746"/>
                </a:ext>
                <a:ext uri="{FF2B5EF4-FFF2-40B4-BE49-F238E27FC236}">
                  <a16:creationId xmlns:a16="http://schemas.microsoft.com/office/drawing/2014/main" id="{00000000-0008-0000-1200-000032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39</xdr:row>
          <xdr:rowOff>104775</xdr:rowOff>
        </xdr:from>
        <xdr:to>
          <xdr:col>6</xdr:col>
          <xdr:colOff>647700</xdr:colOff>
          <xdr:row>41</xdr:row>
          <xdr:rowOff>19050</xdr:rowOff>
        </xdr:to>
        <xdr:sp macro="" textlink="">
          <xdr:nvSpPr>
            <xdr:cNvPr id="29747" name="Check Box 51" hidden="1">
              <a:extLst>
                <a:ext uri="{63B3BB69-23CF-44E3-9099-C40C66FF867C}">
                  <a14:compatExt spid="_x0000_s29747"/>
                </a:ext>
                <a:ext uri="{FF2B5EF4-FFF2-40B4-BE49-F238E27FC236}">
                  <a16:creationId xmlns:a16="http://schemas.microsoft.com/office/drawing/2014/main" id="{00000000-0008-0000-1200-000033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39</xdr:row>
          <xdr:rowOff>104775</xdr:rowOff>
        </xdr:from>
        <xdr:to>
          <xdr:col>8</xdr:col>
          <xdr:colOff>276225</xdr:colOff>
          <xdr:row>41</xdr:row>
          <xdr:rowOff>19050</xdr:rowOff>
        </xdr:to>
        <xdr:sp macro="" textlink="">
          <xdr:nvSpPr>
            <xdr:cNvPr id="29748" name="Check Box 52" hidden="1">
              <a:extLst>
                <a:ext uri="{63B3BB69-23CF-44E3-9099-C40C66FF867C}">
                  <a14:compatExt spid="_x0000_s29748"/>
                </a:ext>
                <a:ext uri="{FF2B5EF4-FFF2-40B4-BE49-F238E27FC236}">
                  <a16:creationId xmlns:a16="http://schemas.microsoft.com/office/drawing/2014/main" id="{00000000-0008-0000-1200-000034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12</xdr:row>
          <xdr:rowOff>123825</xdr:rowOff>
        </xdr:from>
        <xdr:to>
          <xdr:col>16</xdr:col>
          <xdr:colOff>133350</xdr:colOff>
          <xdr:row>14</xdr:row>
          <xdr:rowOff>38100</xdr:rowOff>
        </xdr:to>
        <xdr:sp macro="" textlink="">
          <xdr:nvSpPr>
            <xdr:cNvPr id="29749" name="Check Box 53" hidden="1">
              <a:extLst>
                <a:ext uri="{63B3BB69-23CF-44E3-9099-C40C66FF867C}">
                  <a14:compatExt spid="_x0000_s29749"/>
                </a:ext>
                <a:ext uri="{FF2B5EF4-FFF2-40B4-BE49-F238E27FC236}">
                  <a16:creationId xmlns:a16="http://schemas.microsoft.com/office/drawing/2014/main" id="{00000000-0008-0000-1200-000035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13</xdr:row>
          <xdr:rowOff>104775</xdr:rowOff>
        </xdr:from>
        <xdr:to>
          <xdr:col>9</xdr:col>
          <xdr:colOff>142875</xdr:colOff>
          <xdr:row>15</xdr:row>
          <xdr:rowOff>19050</xdr:rowOff>
        </xdr:to>
        <xdr:sp macro="" textlink="">
          <xdr:nvSpPr>
            <xdr:cNvPr id="29750" name="Check Box 54" hidden="1">
              <a:extLst>
                <a:ext uri="{63B3BB69-23CF-44E3-9099-C40C66FF867C}">
                  <a14:compatExt spid="_x0000_s29750"/>
                </a:ext>
                <a:ext uri="{FF2B5EF4-FFF2-40B4-BE49-F238E27FC236}">
                  <a16:creationId xmlns:a16="http://schemas.microsoft.com/office/drawing/2014/main" id="{00000000-0008-0000-1200-000036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38</xdr:row>
          <xdr:rowOff>123825</xdr:rowOff>
        </xdr:from>
        <xdr:to>
          <xdr:col>16</xdr:col>
          <xdr:colOff>152400</xdr:colOff>
          <xdr:row>40</xdr:row>
          <xdr:rowOff>38100</xdr:rowOff>
        </xdr:to>
        <xdr:sp macro="" textlink="">
          <xdr:nvSpPr>
            <xdr:cNvPr id="29751" name="Check Box 55" hidden="1">
              <a:extLst>
                <a:ext uri="{63B3BB69-23CF-44E3-9099-C40C66FF867C}">
                  <a14:compatExt spid="_x0000_s29751"/>
                </a:ext>
                <a:ext uri="{FF2B5EF4-FFF2-40B4-BE49-F238E27FC236}">
                  <a16:creationId xmlns:a16="http://schemas.microsoft.com/office/drawing/2014/main" id="{00000000-0008-0000-1200-000037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39</xdr:row>
          <xdr:rowOff>104775</xdr:rowOff>
        </xdr:from>
        <xdr:to>
          <xdr:col>9</xdr:col>
          <xdr:colOff>200025</xdr:colOff>
          <xdr:row>41</xdr:row>
          <xdr:rowOff>19050</xdr:rowOff>
        </xdr:to>
        <xdr:sp macro="" textlink="">
          <xdr:nvSpPr>
            <xdr:cNvPr id="29752" name="Check Box 56" hidden="1">
              <a:extLst>
                <a:ext uri="{63B3BB69-23CF-44E3-9099-C40C66FF867C}">
                  <a14:compatExt spid="_x0000_s29752"/>
                </a:ext>
                <a:ext uri="{FF2B5EF4-FFF2-40B4-BE49-F238E27FC236}">
                  <a16:creationId xmlns:a16="http://schemas.microsoft.com/office/drawing/2014/main" id="{00000000-0008-0000-1200-000038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45</xdr:row>
          <xdr:rowOff>133350</xdr:rowOff>
        </xdr:from>
        <xdr:to>
          <xdr:col>8</xdr:col>
          <xdr:colOff>400050</xdr:colOff>
          <xdr:row>47</xdr:row>
          <xdr:rowOff>47625</xdr:rowOff>
        </xdr:to>
        <xdr:sp macro="" textlink="">
          <xdr:nvSpPr>
            <xdr:cNvPr id="29753" name="Check Box 57" hidden="1">
              <a:extLst>
                <a:ext uri="{63B3BB69-23CF-44E3-9099-C40C66FF867C}">
                  <a14:compatExt spid="_x0000_s29753"/>
                </a:ext>
                <a:ext uri="{FF2B5EF4-FFF2-40B4-BE49-F238E27FC236}">
                  <a16:creationId xmlns:a16="http://schemas.microsoft.com/office/drawing/2014/main" id="{00000000-0008-0000-1200-000039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45</xdr:row>
          <xdr:rowOff>171450</xdr:rowOff>
        </xdr:from>
        <xdr:to>
          <xdr:col>10</xdr:col>
          <xdr:colOff>19050</xdr:colOff>
          <xdr:row>47</xdr:row>
          <xdr:rowOff>9525</xdr:rowOff>
        </xdr:to>
        <xdr:sp macro="" textlink="">
          <xdr:nvSpPr>
            <xdr:cNvPr id="29754" name="Check Box 58" hidden="1">
              <a:extLst>
                <a:ext uri="{63B3BB69-23CF-44E3-9099-C40C66FF867C}">
                  <a14:compatExt spid="_x0000_s29754"/>
                </a:ext>
                <a:ext uri="{FF2B5EF4-FFF2-40B4-BE49-F238E27FC236}">
                  <a16:creationId xmlns:a16="http://schemas.microsoft.com/office/drawing/2014/main" id="{00000000-0008-0000-1200-00003A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609600</xdr:colOff>
          <xdr:row>25</xdr:row>
          <xdr:rowOff>104775</xdr:rowOff>
        </xdr:from>
        <xdr:to>
          <xdr:col>15</xdr:col>
          <xdr:colOff>152400</xdr:colOff>
          <xdr:row>27</xdr:row>
          <xdr:rowOff>19050</xdr:rowOff>
        </xdr:to>
        <xdr:sp macro="" textlink="">
          <xdr:nvSpPr>
            <xdr:cNvPr id="29755" name="Check Box 59" hidden="1">
              <a:extLst>
                <a:ext uri="{63B3BB69-23CF-44E3-9099-C40C66FF867C}">
                  <a14:compatExt spid="_x0000_s29755"/>
                </a:ext>
                <a:ext uri="{FF2B5EF4-FFF2-40B4-BE49-F238E27FC236}">
                  <a16:creationId xmlns:a16="http://schemas.microsoft.com/office/drawing/2014/main" id="{00000000-0008-0000-1200-00003B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628650</xdr:colOff>
          <xdr:row>49</xdr:row>
          <xdr:rowOff>104775</xdr:rowOff>
        </xdr:from>
        <xdr:to>
          <xdr:col>15</xdr:col>
          <xdr:colOff>171450</xdr:colOff>
          <xdr:row>51</xdr:row>
          <xdr:rowOff>19050</xdr:rowOff>
        </xdr:to>
        <xdr:sp macro="" textlink="">
          <xdr:nvSpPr>
            <xdr:cNvPr id="29756" name="Check Box 60" hidden="1">
              <a:extLst>
                <a:ext uri="{63B3BB69-23CF-44E3-9099-C40C66FF867C}">
                  <a14:compatExt spid="_x0000_s29756"/>
                </a:ext>
                <a:ext uri="{FF2B5EF4-FFF2-40B4-BE49-F238E27FC236}">
                  <a16:creationId xmlns:a16="http://schemas.microsoft.com/office/drawing/2014/main" id="{00000000-0008-0000-1200-00003C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53</xdr:row>
          <xdr:rowOff>133350</xdr:rowOff>
        </xdr:from>
        <xdr:to>
          <xdr:col>13</xdr:col>
          <xdr:colOff>419100</xdr:colOff>
          <xdr:row>55</xdr:row>
          <xdr:rowOff>47625</xdr:rowOff>
        </xdr:to>
        <xdr:sp macro="" textlink="">
          <xdr:nvSpPr>
            <xdr:cNvPr id="29757" name="Check Box 61" hidden="1">
              <a:extLst>
                <a:ext uri="{63B3BB69-23CF-44E3-9099-C40C66FF867C}">
                  <a14:compatExt spid="_x0000_s29757"/>
                </a:ext>
                <a:ext uri="{FF2B5EF4-FFF2-40B4-BE49-F238E27FC236}">
                  <a16:creationId xmlns:a16="http://schemas.microsoft.com/office/drawing/2014/main" id="{00000000-0008-0000-1200-00003D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52</xdr:row>
          <xdr:rowOff>133350</xdr:rowOff>
        </xdr:from>
        <xdr:to>
          <xdr:col>8</xdr:col>
          <xdr:colOff>428625</xdr:colOff>
          <xdr:row>54</xdr:row>
          <xdr:rowOff>47625</xdr:rowOff>
        </xdr:to>
        <xdr:sp macro="" textlink="">
          <xdr:nvSpPr>
            <xdr:cNvPr id="29758" name="Check Box 62" hidden="1">
              <a:extLst>
                <a:ext uri="{63B3BB69-23CF-44E3-9099-C40C66FF867C}">
                  <a14:compatExt spid="_x0000_s29758"/>
                </a:ext>
                <a:ext uri="{FF2B5EF4-FFF2-40B4-BE49-F238E27FC236}">
                  <a16:creationId xmlns:a16="http://schemas.microsoft.com/office/drawing/2014/main" id="{00000000-0008-0000-1200-00003E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295275</xdr:colOff>
          <xdr:row>51</xdr:row>
          <xdr:rowOff>133350</xdr:rowOff>
        </xdr:from>
        <xdr:to>
          <xdr:col>12</xdr:col>
          <xdr:colOff>295275</xdr:colOff>
          <xdr:row>53</xdr:row>
          <xdr:rowOff>47625</xdr:rowOff>
        </xdr:to>
        <xdr:sp macro="" textlink="">
          <xdr:nvSpPr>
            <xdr:cNvPr id="29759" name="Check Box 63" hidden="1">
              <a:extLst>
                <a:ext uri="{63B3BB69-23CF-44E3-9099-C40C66FF867C}">
                  <a14:compatExt spid="_x0000_s29759"/>
                </a:ext>
                <a:ext uri="{FF2B5EF4-FFF2-40B4-BE49-F238E27FC236}">
                  <a16:creationId xmlns:a16="http://schemas.microsoft.com/office/drawing/2014/main" id="{00000000-0008-0000-1200-00003F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47</xdr:row>
          <xdr:rowOff>152400</xdr:rowOff>
        </xdr:from>
        <xdr:to>
          <xdr:col>12</xdr:col>
          <xdr:colOff>647700</xdr:colOff>
          <xdr:row>50</xdr:row>
          <xdr:rowOff>19050</xdr:rowOff>
        </xdr:to>
        <xdr:sp macro="" textlink="">
          <xdr:nvSpPr>
            <xdr:cNvPr id="29760" name="Check Box 64" hidden="1">
              <a:extLst>
                <a:ext uri="{63B3BB69-23CF-44E3-9099-C40C66FF867C}">
                  <a14:compatExt spid="_x0000_s29760"/>
                </a:ext>
                <a:ext uri="{FF2B5EF4-FFF2-40B4-BE49-F238E27FC236}">
                  <a16:creationId xmlns:a16="http://schemas.microsoft.com/office/drawing/2014/main" id="{00000000-0008-0000-1200-000040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55</xdr:row>
          <xdr:rowOff>95250</xdr:rowOff>
        </xdr:from>
        <xdr:to>
          <xdr:col>11</xdr:col>
          <xdr:colOff>304800</xdr:colOff>
          <xdr:row>57</xdr:row>
          <xdr:rowOff>9525</xdr:rowOff>
        </xdr:to>
        <xdr:sp macro="" textlink="">
          <xdr:nvSpPr>
            <xdr:cNvPr id="29761" name="Check Box 65" hidden="1">
              <a:extLst>
                <a:ext uri="{63B3BB69-23CF-44E3-9099-C40C66FF867C}">
                  <a14:compatExt spid="_x0000_s29761"/>
                </a:ext>
                <a:ext uri="{FF2B5EF4-FFF2-40B4-BE49-F238E27FC236}">
                  <a16:creationId xmlns:a16="http://schemas.microsoft.com/office/drawing/2014/main" id="{00000000-0008-0000-1200-00004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55</xdr:row>
          <xdr:rowOff>95250</xdr:rowOff>
        </xdr:from>
        <xdr:to>
          <xdr:col>12</xdr:col>
          <xdr:colOff>400050</xdr:colOff>
          <xdr:row>57</xdr:row>
          <xdr:rowOff>9525</xdr:rowOff>
        </xdr:to>
        <xdr:sp macro="" textlink="">
          <xdr:nvSpPr>
            <xdr:cNvPr id="29762" name="Check Box 66" hidden="1">
              <a:extLst>
                <a:ext uri="{63B3BB69-23CF-44E3-9099-C40C66FF867C}">
                  <a14:compatExt spid="_x0000_s29762"/>
                </a:ext>
                <a:ext uri="{FF2B5EF4-FFF2-40B4-BE49-F238E27FC236}">
                  <a16:creationId xmlns:a16="http://schemas.microsoft.com/office/drawing/2014/main" id="{00000000-0008-0000-1200-000042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55</xdr:row>
          <xdr:rowOff>114300</xdr:rowOff>
        </xdr:from>
        <xdr:to>
          <xdr:col>13</xdr:col>
          <xdr:colOff>66675</xdr:colOff>
          <xdr:row>57</xdr:row>
          <xdr:rowOff>28575</xdr:rowOff>
        </xdr:to>
        <xdr:sp macro="" textlink="">
          <xdr:nvSpPr>
            <xdr:cNvPr id="29763" name="Check Box 67" hidden="1">
              <a:extLst>
                <a:ext uri="{63B3BB69-23CF-44E3-9099-C40C66FF867C}">
                  <a14:compatExt spid="_x0000_s29763"/>
                </a:ext>
                <a:ext uri="{FF2B5EF4-FFF2-40B4-BE49-F238E27FC236}">
                  <a16:creationId xmlns:a16="http://schemas.microsoft.com/office/drawing/2014/main" id="{00000000-0008-0000-1200-000043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xdr:twoCellAnchor editAs="oneCell">
    <xdr:from>
      <xdr:col>5</xdr:col>
      <xdr:colOff>552450</xdr:colOff>
      <xdr:row>0</xdr:row>
      <xdr:rowOff>133350</xdr:rowOff>
    </xdr:from>
    <xdr:to>
      <xdr:col>10</xdr:col>
      <xdr:colOff>0</xdr:colOff>
      <xdr:row>0</xdr:row>
      <xdr:rowOff>752475</xdr:rowOff>
    </xdr:to>
    <xdr:pic>
      <xdr:nvPicPr>
        <xdr:cNvPr id="30063" name="Picture 1">
          <a:extLst>
            <a:ext uri="{FF2B5EF4-FFF2-40B4-BE49-F238E27FC236}">
              <a16:creationId xmlns:a16="http://schemas.microsoft.com/office/drawing/2014/main" id="{00000000-0008-0000-1200-00006F7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47900" y="133350"/>
          <a:ext cx="1809750"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19050</xdr:colOff>
      <xdr:row>2</xdr:row>
      <xdr:rowOff>47625</xdr:rowOff>
    </xdr:to>
    <xdr:pic>
      <xdr:nvPicPr>
        <xdr:cNvPr id="9817" name="Picture 1">
          <a:extLst>
            <a:ext uri="{FF2B5EF4-FFF2-40B4-BE49-F238E27FC236}">
              <a16:creationId xmlns:a16="http://schemas.microsoft.com/office/drawing/2014/main" id="{00000000-0008-0000-1300-0000592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54</xdr:col>
          <xdr:colOff>457200</xdr:colOff>
          <xdr:row>2</xdr:row>
          <xdr:rowOff>57150</xdr:rowOff>
        </xdr:from>
        <xdr:to>
          <xdr:col>59</xdr:col>
          <xdr:colOff>361950</xdr:colOff>
          <xdr:row>6</xdr:row>
          <xdr:rowOff>28575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3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600" b="1" i="0" u="none" strike="noStrike" baseline="0">
                  <a:solidFill>
                    <a:srgbClr val="000000"/>
                  </a:solidFill>
                  <a:latin typeface="Arial"/>
                  <a:cs typeface="Arial"/>
                </a:rPr>
                <a:t>Sort Time Log</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3" name="Picture 1">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4" name="Picture 1">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xdr:colOff>
      <xdr:row>0</xdr:row>
      <xdr:rowOff>19050</xdr:rowOff>
    </xdr:from>
    <xdr:to>
      <xdr:col>16</xdr:col>
      <xdr:colOff>38100</xdr:colOff>
      <xdr:row>2</xdr:row>
      <xdr:rowOff>85725</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54</xdr:col>
          <xdr:colOff>457200</xdr:colOff>
          <xdr:row>2</xdr:row>
          <xdr:rowOff>57150</xdr:rowOff>
        </xdr:from>
        <xdr:to>
          <xdr:col>59</xdr:col>
          <xdr:colOff>361950</xdr:colOff>
          <xdr:row>6</xdr:row>
          <xdr:rowOff>28575</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15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600" b="1" i="0" u="none" strike="noStrike" baseline="0">
                  <a:solidFill>
                    <a:srgbClr val="000000"/>
                  </a:solidFill>
                  <a:latin typeface="Arial"/>
                  <a:cs typeface="Arial"/>
                </a:rPr>
                <a:t>Sort Time Log</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12893" name="Picture 1">
          <a:extLst>
            <a:ext uri="{FF2B5EF4-FFF2-40B4-BE49-F238E27FC236}">
              <a16:creationId xmlns:a16="http://schemas.microsoft.com/office/drawing/2014/main" id="{00000000-0008-0000-1700-00005D3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1</xdr:row>
      <xdr:rowOff>161925</xdr:rowOff>
    </xdr:to>
    <xdr:pic>
      <xdr:nvPicPr>
        <xdr:cNvPr id="19038" name="Picture 1">
          <a:extLst>
            <a:ext uri="{FF2B5EF4-FFF2-40B4-BE49-F238E27FC236}">
              <a16:creationId xmlns:a16="http://schemas.microsoft.com/office/drawing/2014/main" id="{00000000-0008-0000-1800-00005E4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20132" name="Picture 1">
          <a:extLst>
            <a:ext uri="{FF2B5EF4-FFF2-40B4-BE49-F238E27FC236}">
              <a16:creationId xmlns:a16="http://schemas.microsoft.com/office/drawing/2014/main" id="{00000000-0008-0000-1900-0000A44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0133" name="Picture 1">
          <a:extLst>
            <a:ext uri="{FF2B5EF4-FFF2-40B4-BE49-F238E27FC236}">
              <a16:creationId xmlns:a16="http://schemas.microsoft.com/office/drawing/2014/main" id="{00000000-0008-0000-1900-0000A54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0134" name="Picture 1">
          <a:extLst>
            <a:ext uri="{FF2B5EF4-FFF2-40B4-BE49-F238E27FC236}">
              <a16:creationId xmlns:a16="http://schemas.microsoft.com/office/drawing/2014/main" id="{00000000-0008-0000-1900-0000A64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21196" name="Picture 1">
          <a:extLst>
            <a:ext uri="{FF2B5EF4-FFF2-40B4-BE49-F238E27FC236}">
              <a16:creationId xmlns:a16="http://schemas.microsoft.com/office/drawing/2014/main" id="{00000000-0008-0000-1A00-0000CC5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1197" name="Picture 1">
          <a:extLst>
            <a:ext uri="{FF2B5EF4-FFF2-40B4-BE49-F238E27FC236}">
              <a16:creationId xmlns:a16="http://schemas.microsoft.com/office/drawing/2014/main" id="{00000000-0008-0000-1A00-0000CD5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1198" name="Picture 1">
          <a:extLst>
            <a:ext uri="{FF2B5EF4-FFF2-40B4-BE49-F238E27FC236}">
              <a16:creationId xmlns:a16="http://schemas.microsoft.com/office/drawing/2014/main" id="{00000000-0008-0000-1A00-0000CE5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1199" name="Picture 1">
          <a:extLst>
            <a:ext uri="{FF2B5EF4-FFF2-40B4-BE49-F238E27FC236}">
              <a16:creationId xmlns:a16="http://schemas.microsoft.com/office/drawing/2014/main" id="{00000000-0008-0000-1A00-0000CF5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1200" name="Picture 1">
          <a:extLst>
            <a:ext uri="{FF2B5EF4-FFF2-40B4-BE49-F238E27FC236}">
              <a16:creationId xmlns:a16="http://schemas.microsoft.com/office/drawing/2014/main" id="{00000000-0008-0000-1A00-0000D05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21201" name="Picture 1">
          <a:extLst>
            <a:ext uri="{FF2B5EF4-FFF2-40B4-BE49-F238E27FC236}">
              <a16:creationId xmlns:a16="http://schemas.microsoft.com/office/drawing/2014/main" id="{00000000-0008-0000-1A00-0000D15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619125</xdr:colOff>
          <xdr:row>10</xdr:row>
          <xdr:rowOff>38100</xdr:rowOff>
        </xdr:from>
        <xdr:to>
          <xdr:col>13</xdr:col>
          <xdr:colOff>381000</xdr:colOff>
          <xdr:row>12</xdr:row>
          <xdr:rowOff>47625</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00000000-0008-0000-1B00-00000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400050</xdr:colOff>
          <xdr:row>10</xdr:row>
          <xdr:rowOff>47625</xdr:rowOff>
        </xdr:from>
        <xdr:to>
          <xdr:col>15</xdr:col>
          <xdr:colOff>19050</xdr:colOff>
          <xdr:row>12</xdr:row>
          <xdr:rowOff>57150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00000000-0008-0000-1B00-00000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11</xdr:row>
          <xdr:rowOff>104775</xdr:rowOff>
        </xdr:from>
        <xdr:to>
          <xdr:col>6</xdr:col>
          <xdr:colOff>647700</xdr:colOff>
          <xdr:row>13</xdr:row>
          <xdr:rowOff>19050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00000000-0008-0000-1B00-00000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11</xdr:row>
          <xdr:rowOff>104775</xdr:rowOff>
        </xdr:from>
        <xdr:to>
          <xdr:col>8</xdr:col>
          <xdr:colOff>276225</xdr:colOff>
          <xdr:row>13</xdr:row>
          <xdr:rowOff>19050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0000000-0008-0000-1B00-00000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14</xdr:row>
          <xdr:rowOff>133350</xdr:rowOff>
        </xdr:from>
        <xdr:to>
          <xdr:col>10</xdr:col>
          <xdr:colOff>85725</xdr:colOff>
          <xdr:row>16</xdr:row>
          <xdr:rowOff>47625</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00000000-0008-0000-1B00-00000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14</xdr:row>
          <xdr:rowOff>133350</xdr:rowOff>
        </xdr:from>
        <xdr:to>
          <xdr:col>12</xdr:col>
          <xdr:colOff>47625</xdr:colOff>
          <xdr:row>16</xdr:row>
          <xdr:rowOff>47625</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00000000-0008-0000-1B00-00000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20</xdr:row>
          <xdr:rowOff>152400</xdr:rowOff>
        </xdr:from>
        <xdr:to>
          <xdr:col>15</xdr:col>
          <xdr:colOff>0</xdr:colOff>
          <xdr:row>22</xdr:row>
          <xdr:rowOff>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00000000-0008-0000-1B00-00000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xdr:row>
          <xdr:rowOff>161925</xdr:rowOff>
        </xdr:from>
        <xdr:to>
          <xdr:col>16</xdr:col>
          <xdr:colOff>19050</xdr:colOff>
          <xdr:row>22</xdr:row>
          <xdr:rowOff>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00000000-0008-0000-1B00-00000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21</xdr:row>
          <xdr:rowOff>133350</xdr:rowOff>
        </xdr:from>
        <xdr:to>
          <xdr:col>8</xdr:col>
          <xdr:colOff>352425</xdr:colOff>
          <xdr:row>23</xdr:row>
          <xdr:rowOff>47625</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1B00-00000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21</xdr:row>
          <xdr:rowOff>133350</xdr:rowOff>
        </xdr:from>
        <xdr:to>
          <xdr:col>10</xdr:col>
          <xdr:colOff>9525</xdr:colOff>
          <xdr:row>23</xdr:row>
          <xdr:rowOff>47625</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1B00-00000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24</xdr:row>
          <xdr:rowOff>9525</xdr:rowOff>
        </xdr:from>
        <xdr:to>
          <xdr:col>11</xdr:col>
          <xdr:colOff>247650</xdr:colOff>
          <xdr:row>26</xdr:row>
          <xdr:rowOff>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1B00-00000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24</xdr:row>
          <xdr:rowOff>9525</xdr:rowOff>
        </xdr:from>
        <xdr:to>
          <xdr:col>12</xdr:col>
          <xdr:colOff>314325</xdr:colOff>
          <xdr:row>26</xdr:row>
          <xdr:rowOff>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00000000-0008-0000-1B00-00000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25</xdr:row>
          <xdr:rowOff>104775</xdr:rowOff>
        </xdr:from>
        <xdr:to>
          <xdr:col>13</xdr:col>
          <xdr:colOff>666750</xdr:colOff>
          <xdr:row>27</xdr:row>
          <xdr:rowOff>19050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00000000-0008-0000-1B00-00000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25</xdr:row>
          <xdr:rowOff>104775</xdr:rowOff>
        </xdr:from>
        <xdr:to>
          <xdr:col>13</xdr:col>
          <xdr:colOff>238125</xdr:colOff>
          <xdr:row>27</xdr:row>
          <xdr:rowOff>19050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00000000-0008-0000-1B00-00000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31</xdr:row>
          <xdr:rowOff>47625</xdr:rowOff>
        </xdr:from>
        <xdr:to>
          <xdr:col>9</xdr:col>
          <xdr:colOff>228600</xdr:colOff>
          <xdr:row>33</xdr:row>
          <xdr:rowOff>47625</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00000000-0008-0000-1B00-00000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 Barge Manifold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31</xdr:row>
          <xdr:rowOff>47625</xdr:rowOff>
        </xdr:from>
        <xdr:to>
          <xdr:col>12</xdr:col>
          <xdr:colOff>371475</xdr:colOff>
          <xdr:row>33</xdr:row>
          <xdr:rowOff>47625</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00000000-0008-0000-1B00-00001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 Vessel Manifold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32</xdr:row>
          <xdr:rowOff>133350</xdr:rowOff>
        </xdr:from>
        <xdr:to>
          <xdr:col>9</xdr:col>
          <xdr:colOff>257175</xdr:colOff>
          <xdr:row>34</xdr:row>
          <xdr:rowOff>47625</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0000000-0008-0000-1B00-00001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Continuous Drip Sample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32</xdr:row>
          <xdr:rowOff>142875</xdr:rowOff>
        </xdr:from>
        <xdr:to>
          <xdr:col>13</xdr:col>
          <xdr:colOff>114300</xdr:colOff>
          <xdr:row>34</xdr:row>
          <xdr:rowOff>57150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00000000-0008-0000-1B00-00001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Drip Sample by intervals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27</xdr:row>
          <xdr:rowOff>123825</xdr:rowOff>
        </xdr:from>
        <xdr:to>
          <xdr:col>7</xdr:col>
          <xdr:colOff>57150</xdr:colOff>
          <xdr:row>29</xdr:row>
          <xdr:rowOff>38100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00000000-0008-0000-1B00-00001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26</xdr:row>
          <xdr:rowOff>123825</xdr:rowOff>
        </xdr:from>
        <xdr:to>
          <xdr:col>7</xdr:col>
          <xdr:colOff>57150</xdr:colOff>
          <xdr:row>28</xdr:row>
          <xdr:rowOff>38100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00000000-0008-0000-1B00-00001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26</xdr:row>
          <xdr:rowOff>133350</xdr:rowOff>
        </xdr:from>
        <xdr:to>
          <xdr:col>8</xdr:col>
          <xdr:colOff>381000</xdr:colOff>
          <xdr:row>28</xdr:row>
          <xdr:rowOff>47625</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1B00-00001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27</xdr:row>
          <xdr:rowOff>142875</xdr:rowOff>
        </xdr:from>
        <xdr:to>
          <xdr:col>8</xdr:col>
          <xdr:colOff>381000</xdr:colOff>
          <xdr:row>29</xdr:row>
          <xdr:rowOff>57150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00000000-0008-0000-1B00-00001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619125</xdr:colOff>
          <xdr:row>36</xdr:row>
          <xdr:rowOff>38100</xdr:rowOff>
        </xdr:from>
        <xdr:to>
          <xdr:col>13</xdr:col>
          <xdr:colOff>381000</xdr:colOff>
          <xdr:row>38</xdr:row>
          <xdr:rowOff>66675</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1B00-00001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37</xdr:row>
          <xdr:rowOff>142875</xdr:rowOff>
        </xdr:from>
        <xdr:to>
          <xdr:col>6</xdr:col>
          <xdr:colOff>704850</xdr:colOff>
          <xdr:row>39</xdr:row>
          <xdr:rowOff>57150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1B00-00001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695325</xdr:colOff>
          <xdr:row>37</xdr:row>
          <xdr:rowOff>142875</xdr:rowOff>
        </xdr:from>
        <xdr:to>
          <xdr:col>8</xdr:col>
          <xdr:colOff>304800</xdr:colOff>
          <xdr:row>39</xdr:row>
          <xdr:rowOff>57150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00000000-0008-0000-1B00-00001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41</xdr:row>
          <xdr:rowOff>133350</xdr:rowOff>
        </xdr:from>
        <xdr:to>
          <xdr:col>10</xdr:col>
          <xdr:colOff>95250</xdr:colOff>
          <xdr:row>43</xdr:row>
          <xdr:rowOff>47625</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00000000-0008-0000-1B00-00001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41</xdr:row>
          <xdr:rowOff>123825</xdr:rowOff>
        </xdr:from>
        <xdr:to>
          <xdr:col>12</xdr:col>
          <xdr:colOff>66675</xdr:colOff>
          <xdr:row>43</xdr:row>
          <xdr:rowOff>38100</xdr:rowOff>
        </xdr:to>
        <xdr:sp macro="" textlink="">
          <xdr:nvSpPr>
            <xdr:cNvPr id="30747" name="Check Box 27" hidden="1">
              <a:extLst>
                <a:ext uri="{63B3BB69-23CF-44E3-9099-C40C66FF867C}">
                  <a14:compatExt spid="_x0000_s30747"/>
                </a:ext>
                <a:ext uri="{FF2B5EF4-FFF2-40B4-BE49-F238E27FC236}">
                  <a16:creationId xmlns:a16="http://schemas.microsoft.com/office/drawing/2014/main" id="{00000000-0008-0000-1B00-00001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44</xdr:row>
          <xdr:rowOff>38100</xdr:rowOff>
        </xdr:from>
        <xdr:to>
          <xdr:col>13</xdr:col>
          <xdr:colOff>752475</xdr:colOff>
          <xdr:row>46</xdr:row>
          <xdr:rowOff>28575</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00000000-0008-0000-1B00-00001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44</xdr:row>
          <xdr:rowOff>0</xdr:rowOff>
        </xdr:from>
        <xdr:to>
          <xdr:col>16</xdr:col>
          <xdr:colOff>28575</xdr:colOff>
          <xdr:row>46</xdr:row>
          <xdr:rowOff>57150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00000000-0008-0000-1B00-00001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48</xdr:row>
          <xdr:rowOff>0</xdr:rowOff>
        </xdr:from>
        <xdr:to>
          <xdr:col>11</xdr:col>
          <xdr:colOff>200025</xdr:colOff>
          <xdr:row>49</xdr:row>
          <xdr:rowOff>171450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00000000-0008-0000-1B00-00001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48</xdr:row>
          <xdr:rowOff>0</xdr:rowOff>
        </xdr:from>
        <xdr:to>
          <xdr:col>12</xdr:col>
          <xdr:colOff>323850</xdr:colOff>
          <xdr:row>49</xdr:row>
          <xdr:rowOff>171450</xdr:rowOff>
        </xdr:to>
        <xdr:sp macro="" textlink="">
          <xdr:nvSpPr>
            <xdr:cNvPr id="30751" name="Check Box 31" hidden="1">
              <a:extLst>
                <a:ext uri="{63B3BB69-23CF-44E3-9099-C40C66FF867C}">
                  <a14:compatExt spid="_x0000_s30751"/>
                </a:ext>
                <a:ext uri="{FF2B5EF4-FFF2-40B4-BE49-F238E27FC236}">
                  <a16:creationId xmlns:a16="http://schemas.microsoft.com/office/drawing/2014/main" id="{00000000-0008-0000-1B00-00001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49</xdr:row>
          <xdr:rowOff>104775</xdr:rowOff>
        </xdr:from>
        <xdr:to>
          <xdr:col>13</xdr:col>
          <xdr:colOff>666750</xdr:colOff>
          <xdr:row>51</xdr:row>
          <xdr:rowOff>19050</xdr:rowOff>
        </xdr:to>
        <xdr:sp macro="" textlink="">
          <xdr:nvSpPr>
            <xdr:cNvPr id="30752" name="Check Box 32" hidden="1">
              <a:extLst>
                <a:ext uri="{63B3BB69-23CF-44E3-9099-C40C66FF867C}">
                  <a14:compatExt spid="_x0000_s30752"/>
                </a:ext>
                <a:ext uri="{FF2B5EF4-FFF2-40B4-BE49-F238E27FC236}">
                  <a16:creationId xmlns:a16="http://schemas.microsoft.com/office/drawing/2014/main" id="{00000000-0008-0000-1B00-00002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49</xdr:row>
          <xdr:rowOff>104775</xdr:rowOff>
        </xdr:from>
        <xdr:to>
          <xdr:col>13</xdr:col>
          <xdr:colOff>238125</xdr:colOff>
          <xdr:row>51</xdr:row>
          <xdr:rowOff>19050</xdr:rowOff>
        </xdr:to>
        <xdr:sp macro="" textlink="">
          <xdr:nvSpPr>
            <xdr:cNvPr id="30753" name="Check Box 33" hidden="1">
              <a:extLst>
                <a:ext uri="{63B3BB69-23CF-44E3-9099-C40C66FF867C}">
                  <a14:compatExt spid="_x0000_s30753"/>
                </a:ext>
                <a:ext uri="{FF2B5EF4-FFF2-40B4-BE49-F238E27FC236}">
                  <a16:creationId xmlns:a16="http://schemas.microsoft.com/office/drawing/2014/main" id="{00000000-0008-0000-1B00-00002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51</xdr:row>
          <xdr:rowOff>133350</xdr:rowOff>
        </xdr:from>
        <xdr:to>
          <xdr:col>10</xdr:col>
          <xdr:colOff>19050</xdr:colOff>
          <xdr:row>53</xdr:row>
          <xdr:rowOff>47625</xdr:rowOff>
        </xdr:to>
        <xdr:sp macro="" textlink="">
          <xdr:nvSpPr>
            <xdr:cNvPr id="30754" name="Check Box 34" hidden="1">
              <a:extLst>
                <a:ext uri="{63B3BB69-23CF-44E3-9099-C40C66FF867C}">
                  <a14:compatExt spid="_x0000_s30754"/>
                </a:ext>
                <a:ext uri="{FF2B5EF4-FFF2-40B4-BE49-F238E27FC236}">
                  <a16:creationId xmlns:a16="http://schemas.microsoft.com/office/drawing/2014/main" id="{00000000-0008-0000-1B00-00002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51</xdr:row>
          <xdr:rowOff>133350</xdr:rowOff>
        </xdr:from>
        <xdr:to>
          <xdr:col>11</xdr:col>
          <xdr:colOff>342900</xdr:colOff>
          <xdr:row>53</xdr:row>
          <xdr:rowOff>47625</xdr:rowOff>
        </xdr:to>
        <xdr:sp macro="" textlink="">
          <xdr:nvSpPr>
            <xdr:cNvPr id="30755" name="Check Box 35" hidden="1">
              <a:extLst>
                <a:ext uri="{63B3BB69-23CF-44E3-9099-C40C66FF867C}">
                  <a14:compatExt spid="_x0000_s30755"/>
                </a:ext>
                <a:ext uri="{FF2B5EF4-FFF2-40B4-BE49-F238E27FC236}">
                  <a16:creationId xmlns:a16="http://schemas.microsoft.com/office/drawing/2014/main" id="{00000000-0008-0000-1B00-00002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52</xdr:row>
          <xdr:rowOff>133350</xdr:rowOff>
        </xdr:from>
        <xdr:to>
          <xdr:col>6</xdr:col>
          <xdr:colOff>504825</xdr:colOff>
          <xdr:row>54</xdr:row>
          <xdr:rowOff>47625</xdr:rowOff>
        </xdr:to>
        <xdr:sp macro="" textlink="">
          <xdr:nvSpPr>
            <xdr:cNvPr id="30756" name="Check Box 36" hidden="1">
              <a:extLst>
                <a:ext uri="{63B3BB69-23CF-44E3-9099-C40C66FF867C}">
                  <a14:compatExt spid="_x0000_s30756"/>
                </a:ext>
                <a:ext uri="{FF2B5EF4-FFF2-40B4-BE49-F238E27FC236}">
                  <a16:creationId xmlns:a16="http://schemas.microsoft.com/office/drawing/2014/main" id="{00000000-0008-0000-1B00-00002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52</xdr:row>
          <xdr:rowOff>133350</xdr:rowOff>
        </xdr:from>
        <xdr:to>
          <xdr:col>8</xdr:col>
          <xdr:colOff>114300</xdr:colOff>
          <xdr:row>54</xdr:row>
          <xdr:rowOff>47625</xdr:rowOff>
        </xdr:to>
        <xdr:sp macro="" textlink="">
          <xdr:nvSpPr>
            <xdr:cNvPr id="30757" name="Check Box 37" hidden="1">
              <a:extLst>
                <a:ext uri="{63B3BB69-23CF-44E3-9099-C40C66FF867C}">
                  <a14:compatExt spid="_x0000_s30757"/>
                </a:ext>
                <a:ext uri="{FF2B5EF4-FFF2-40B4-BE49-F238E27FC236}">
                  <a16:creationId xmlns:a16="http://schemas.microsoft.com/office/drawing/2014/main" id="{00000000-0008-0000-1B00-00002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50</xdr:row>
          <xdr:rowOff>152400</xdr:rowOff>
        </xdr:from>
        <xdr:to>
          <xdr:col>9</xdr:col>
          <xdr:colOff>285750</xdr:colOff>
          <xdr:row>52</xdr:row>
          <xdr:rowOff>66675</xdr:rowOff>
        </xdr:to>
        <xdr:sp macro="" textlink="">
          <xdr:nvSpPr>
            <xdr:cNvPr id="30758" name="Check Box 38" hidden="1">
              <a:extLst>
                <a:ext uri="{63B3BB69-23CF-44E3-9099-C40C66FF867C}">
                  <a14:compatExt spid="_x0000_s30758"/>
                </a:ext>
                <a:ext uri="{FF2B5EF4-FFF2-40B4-BE49-F238E27FC236}">
                  <a16:creationId xmlns:a16="http://schemas.microsoft.com/office/drawing/2014/main" id="{00000000-0008-0000-1B00-00002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50</xdr:row>
          <xdr:rowOff>142875</xdr:rowOff>
        </xdr:from>
        <xdr:to>
          <xdr:col>8</xdr:col>
          <xdr:colOff>304800</xdr:colOff>
          <xdr:row>52</xdr:row>
          <xdr:rowOff>57150</xdr:rowOff>
        </xdr:to>
        <xdr:sp macro="" textlink="">
          <xdr:nvSpPr>
            <xdr:cNvPr id="30759" name="Check Box 39" hidden="1">
              <a:extLst>
                <a:ext uri="{63B3BB69-23CF-44E3-9099-C40C66FF867C}">
                  <a14:compatExt spid="_x0000_s30759"/>
                </a:ext>
                <a:ext uri="{FF2B5EF4-FFF2-40B4-BE49-F238E27FC236}">
                  <a16:creationId xmlns:a16="http://schemas.microsoft.com/office/drawing/2014/main" id="{00000000-0008-0000-1B00-00002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36</xdr:row>
          <xdr:rowOff>38100</xdr:rowOff>
        </xdr:from>
        <xdr:to>
          <xdr:col>15</xdr:col>
          <xdr:colOff>0</xdr:colOff>
          <xdr:row>38</xdr:row>
          <xdr:rowOff>66675</xdr:rowOff>
        </xdr:to>
        <xdr:sp macro="" textlink="">
          <xdr:nvSpPr>
            <xdr:cNvPr id="30760" name="Check Box 40" hidden="1">
              <a:extLst>
                <a:ext uri="{63B3BB69-23CF-44E3-9099-C40C66FF867C}">
                  <a14:compatExt spid="_x0000_s30760"/>
                </a:ext>
                <a:ext uri="{FF2B5EF4-FFF2-40B4-BE49-F238E27FC236}">
                  <a16:creationId xmlns:a16="http://schemas.microsoft.com/office/drawing/2014/main" id="{00000000-0008-0000-1B00-00002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40</xdr:row>
          <xdr:rowOff>133350</xdr:rowOff>
        </xdr:from>
        <xdr:to>
          <xdr:col>9</xdr:col>
          <xdr:colOff>342900</xdr:colOff>
          <xdr:row>42</xdr:row>
          <xdr:rowOff>47625</xdr:rowOff>
        </xdr:to>
        <xdr:sp macro="" textlink="">
          <xdr:nvSpPr>
            <xdr:cNvPr id="30761" name="Check Box 41" hidden="1">
              <a:extLst>
                <a:ext uri="{63B3BB69-23CF-44E3-9099-C40C66FF867C}">
                  <a14:compatExt spid="_x0000_s30761"/>
                </a:ext>
                <a:ext uri="{FF2B5EF4-FFF2-40B4-BE49-F238E27FC236}">
                  <a16:creationId xmlns:a16="http://schemas.microsoft.com/office/drawing/2014/main" id="{00000000-0008-0000-1B00-00002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40</xdr:row>
          <xdr:rowOff>171450</xdr:rowOff>
        </xdr:from>
        <xdr:to>
          <xdr:col>11</xdr:col>
          <xdr:colOff>314325</xdr:colOff>
          <xdr:row>42</xdr:row>
          <xdr:rowOff>9525</xdr:rowOff>
        </xdr:to>
        <xdr:sp macro="" textlink="">
          <xdr:nvSpPr>
            <xdr:cNvPr id="30762" name="Check Box 42" hidden="1">
              <a:extLst>
                <a:ext uri="{63B3BB69-23CF-44E3-9099-C40C66FF867C}">
                  <a14:compatExt spid="_x0000_s30762"/>
                </a:ext>
                <a:ext uri="{FF2B5EF4-FFF2-40B4-BE49-F238E27FC236}">
                  <a16:creationId xmlns:a16="http://schemas.microsoft.com/office/drawing/2014/main" id="{00000000-0008-0000-1B00-00002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333375</xdr:colOff>
          <xdr:row>53</xdr:row>
          <xdr:rowOff>133350</xdr:rowOff>
        </xdr:from>
        <xdr:to>
          <xdr:col>13</xdr:col>
          <xdr:colOff>104775</xdr:colOff>
          <xdr:row>55</xdr:row>
          <xdr:rowOff>47625</xdr:rowOff>
        </xdr:to>
        <xdr:sp macro="" textlink="">
          <xdr:nvSpPr>
            <xdr:cNvPr id="30763" name="Check Box 43" hidden="1">
              <a:extLst>
                <a:ext uri="{63B3BB69-23CF-44E3-9099-C40C66FF867C}">
                  <a14:compatExt spid="_x0000_s30763"/>
                </a:ext>
                <a:ext uri="{FF2B5EF4-FFF2-40B4-BE49-F238E27FC236}">
                  <a16:creationId xmlns:a16="http://schemas.microsoft.com/office/drawing/2014/main" id="{00000000-0008-0000-1B00-00002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53</xdr:row>
          <xdr:rowOff>123825</xdr:rowOff>
        </xdr:from>
        <xdr:to>
          <xdr:col>12</xdr:col>
          <xdr:colOff>333375</xdr:colOff>
          <xdr:row>55</xdr:row>
          <xdr:rowOff>38100</xdr:rowOff>
        </xdr:to>
        <xdr:sp macro="" textlink="">
          <xdr:nvSpPr>
            <xdr:cNvPr id="30764" name="Check Box 44" hidden="1">
              <a:extLst>
                <a:ext uri="{63B3BB69-23CF-44E3-9099-C40C66FF867C}">
                  <a14:compatExt spid="_x0000_s30764"/>
                </a:ext>
                <a:ext uri="{FF2B5EF4-FFF2-40B4-BE49-F238E27FC236}">
                  <a16:creationId xmlns:a16="http://schemas.microsoft.com/office/drawing/2014/main" id="{00000000-0008-0000-1B00-00002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12</xdr:row>
          <xdr:rowOff>123825</xdr:rowOff>
        </xdr:from>
        <xdr:to>
          <xdr:col>13</xdr:col>
          <xdr:colOff>504825</xdr:colOff>
          <xdr:row>14</xdr:row>
          <xdr:rowOff>38100</xdr:rowOff>
        </xdr:to>
        <xdr:sp macro="" textlink="">
          <xdr:nvSpPr>
            <xdr:cNvPr id="30765" name="Check Box 45" hidden="1">
              <a:extLst>
                <a:ext uri="{63B3BB69-23CF-44E3-9099-C40C66FF867C}">
                  <a14:compatExt spid="_x0000_s30765"/>
                </a:ext>
                <a:ext uri="{FF2B5EF4-FFF2-40B4-BE49-F238E27FC236}">
                  <a16:creationId xmlns:a16="http://schemas.microsoft.com/office/drawing/2014/main" id="{00000000-0008-0000-1B00-00002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12</xdr:row>
          <xdr:rowOff>123825</xdr:rowOff>
        </xdr:from>
        <xdr:to>
          <xdr:col>15</xdr:col>
          <xdr:colOff>171450</xdr:colOff>
          <xdr:row>14</xdr:row>
          <xdr:rowOff>38100</xdr:rowOff>
        </xdr:to>
        <xdr:sp macro="" textlink="">
          <xdr:nvSpPr>
            <xdr:cNvPr id="30766" name="Check Box 46" hidden="1">
              <a:extLst>
                <a:ext uri="{63B3BB69-23CF-44E3-9099-C40C66FF867C}">
                  <a14:compatExt spid="_x0000_s30766"/>
                </a:ext>
                <a:ext uri="{FF2B5EF4-FFF2-40B4-BE49-F238E27FC236}">
                  <a16:creationId xmlns:a16="http://schemas.microsoft.com/office/drawing/2014/main" id="{00000000-0008-0000-1B00-00002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13</xdr:row>
          <xdr:rowOff>104775</xdr:rowOff>
        </xdr:from>
        <xdr:to>
          <xdr:col>6</xdr:col>
          <xdr:colOff>647700</xdr:colOff>
          <xdr:row>15</xdr:row>
          <xdr:rowOff>19050</xdr:rowOff>
        </xdr:to>
        <xdr:sp macro="" textlink="">
          <xdr:nvSpPr>
            <xdr:cNvPr id="30767" name="Check Box 47" hidden="1">
              <a:extLst>
                <a:ext uri="{63B3BB69-23CF-44E3-9099-C40C66FF867C}">
                  <a14:compatExt spid="_x0000_s30767"/>
                </a:ext>
                <a:ext uri="{FF2B5EF4-FFF2-40B4-BE49-F238E27FC236}">
                  <a16:creationId xmlns:a16="http://schemas.microsoft.com/office/drawing/2014/main" id="{00000000-0008-0000-1B00-00002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13</xdr:row>
          <xdr:rowOff>104775</xdr:rowOff>
        </xdr:from>
        <xdr:to>
          <xdr:col>8</xdr:col>
          <xdr:colOff>276225</xdr:colOff>
          <xdr:row>15</xdr:row>
          <xdr:rowOff>19050</xdr:rowOff>
        </xdr:to>
        <xdr:sp macro="" textlink="">
          <xdr:nvSpPr>
            <xdr:cNvPr id="30768" name="Check Box 48" hidden="1">
              <a:extLst>
                <a:ext uri="{63B3BB69-23CF-44E3-9099-C40C66FF867C}">
                  <a14:compatExt spid="_x0000_s30768"/>
                </a:ext>
                <a:ext uri="{FF2B5EF4-FFF2-40B4-BE49-F238E27FC236}">
                  <a16:creationId xmlns:a16="http://schemas.microsoft.com/office/drawing/2014/main" id="{00000000-0008-0000-1B00-00003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38</xdr:row>
          <xdr:rowOff>123825</xdr:rowOff>
        </xdr:from>
        <xdr:to>
          <xdr:col>13</xdr:col>
          <xdr:colOff>552450</xdr:colOff>
          <xdr:row>40</xdr:row>
          <xdr:rowOff>38100</xdr:rowOff>
        </xdr:to>
        <xdr:sp macro="" textlink="">
          <xdr:nvSpPr>
            <xdr:cNvPr id="30769" name="Check Box 49" hidden="1">
              <a:extLst>
                <a:ext uri="{63B3BB69-23CF-44E3-9099-C40C66FF867C}">
                  <a14:compatExt spid="_x0000_s30769"/>
                </a:ext>
                <a:ext uri="{FF2B5EF4-FFF2-40B4-BE49-F238E27FC236}">
                  <a16:creationId xmlns:a16="http://schemas.microsoft.com/office/drawing/2014/main" id="{00000000-0008-0000-1B00-00003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38</xdr:row>
          <xdr:rowOff>123825</xdr:rowOff>
        </xdr:from>
        <xdr:to>
          <xdr:col>15</xdr:col>
          <xdr:colOff>66675</xdr:colOff>
          <xdr:row>40</xdr:row>
          <xdr:rowOff>38100</xdr:rowOff>
        </xdr:to>
        <xdr:sp macro="" textlink="">
          <xdr:nvSpPr>
            <xdr:cNvPr id="30770" name="Check Box 50" hidden="1">
              <a:extLst>
                <a:ext uri="{63B3BB69-23CF-44E3-9099-C40C66FF867C}">
                  <a14:compatExt spid="_x0000_s30770"/>
                </a:ext>
                <a:ext uri="{FF2B5EF4-FFF2-40B4-BE49-F238E27FC236}">
                  <a16:creationId xmlns:a16="http://schemas.microsoft.com/office/drawing/2014/main" id="{00000000-0008-0000-1B00-00003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39</xdr:row>
          <xdr:rowOff>104775</xdr:rowOff>
        </xdr:from>
        <xdr:to>
          <xdr:col>6</xdr:col>
          <xdr:colOff>647700</xdr:colOff>
          <xdr:row>41</xdr:row>
          <xdr:rowOff>19050</xdr:rowOff>
        </xdr:to>
        <xdr:sp macro="" textlink="">
          <xdr:nvSpPr>
            <xdr:cNvPr id="30771" name="Check Box 51" hidden="1">
              <a:extLst>
                <a:ext uri="{63B3BB69-23CF-44E3-9099-C40C66FF867C}">
                  <a14:compatExt spid="_x0000_s30771"/>
                </a:ext>
                <a:ext uri="{FF2B5EF4-FFF2-40B4-BE49-F238E27FC236}">
                  <a16:creationId xmlns:a16="http://schemas.microsoft.com/office/drawing/2014/main" id="{00000000-0008-0000-1B00-00003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39</xdr:row>
          <xdr:rowOff>104775</xdr:rowOff>
        </xdr:from>
        <xdr:to>
          <xdr:col>8</xdr:col>
          <xdr:colOff>276225</xdr:colOff>
          <xdr:row>41</xdr:row>
          <xdr:rowOff>19050</xdr:rowOff>
        </xdr:to>
        <xdr:sp macro="" textlink="">
          <xdr:nvSpPr>
            <xdr:cNvPr id="30772" name="Check Box 52" hidden="1">
              <a:extLst>
                <a:ext uri="{63B3BB69-23CF-44E3-9099-C40C66FF867C}">
                  <a14:compatExt spid="_x0000_s30772"/>
                </a:ext>
                <a:ext uri="{FF2B5EF4-FFF2-40B4-BE49-F238E27FC236}">
                  <a16:creationId xmlns:a16="http://schemas.microsoft.com/office/drawing/2014/main" id="{00000000-0008-0000-1B00-000034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12</xdr:row>
          <xdr:rowOff>123825</xdr:rowOff>
        </xdr:from>
        <xdr:to>
          <xdr:col>16</xdr:col>
          <xdr:colOff>133350</xdr:colOff>
          <xdr:row>14</xdr:row>
          <xdr:rowOff>38100</xdr:rowOff>
        </xdr:to>
        <xdr:sp macro="" textlink="">
          <xdr:nvSpPr>
            <xdr:cNvPr id="30773" name="Check Box 53" hidden="1">
              <a:extLst>
                <a:ext uri="{63B3BB69-23CF-44E3-9099-C40C66FF867C}">
                  <a14:compatExt spid="_x0000_s30773"/>
                </a:ext>
                <a:ext uri="{FF2B5EF4-FFF2-40B4-BE49-F238E27FC236}">
                  <a16:creationId xmlns:a16="http://schemas.microsoft.com/office/drawing/2014/main" id="{00000000-0008-0000-1B00-000035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13</xdr:row>
          <xdr:rowOff>104775</xdr:rowOff>
        </xdr:from>
        <xdr:to>
          <xdr:col>9</xdr:col>
          <xdr:colOff>142875</xdr:colOff>
          <xdr:row>15</xdr:row>
          <xdr:rowOff>19050</xdr:rowOff>
        </xdr:to>
        <xdr:sp macro="" textlink="">
          <xdr:nvSpPr>
            <xdr:cNvPr id="30774" name="Check Box 54" hidden="1">
              <a:extLst>
                <a:ext uri="{63B3BB69-23CF-44E3-9099-C40C66FF867C}">
                  <a14:compatExt spid="_x0000_s30774"/>
                </a:ext>
                <a:ext uri="{FF2B5EF4-FFF2-40B4-BE49-F238E27FC236}">
                  <a16:creationId xmlns:a16="http://schemas.microsoft.com/office/drawing/2014/main" id="{00000000-0008-0000-1B00-000036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38</xdr:row>
          <xdr:rowOff>123825</xdr:rowOff>
        </xdr:from>
        <xdr:to>
          <xdr:col>16</xdr:col>
          <xdr:colOff>152400</xdr:colOff>
          <xdr:row>40</xdr:row>
          <xdr:rowOff>38100</xdr:rowOff>
        </xdr:to>
        <xdr:sp macro="" textlink="">
          <xdr:nvSpPr>
            <xdr:cNvPr id="30775" name="Check Box 55" hidden="1">
              <a:extLst>
                <a:ext uri="{63B3BB69-23CF-44E3-9099-C40C66FF867C}">
                  <a14:compatExt spid="_x0000_s30775"/>
                </a:ext>
                <a:ext uri="{FF2B5EF4-FFF2-40B4-BE49-F238E27FC236}">
                  <a16:creationId xmlns:a16="http://schemas.microsoft.com/office/drawing/2014/main" id="{00000000-0008-0000-1B00-000037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39</xdr:row>
          <xdr:rowOff>104775</xdr:rowOff>
        </xdr:from>
        <xdr:to>
          <xdr:col>9</xdr:col>
          <xdr:colOff>200025</xdr:colOff>
          <xdr:row>41</xdr:row>
          <xdr:rowOff>19050</xdr:rowOff>
        </xdr:to>
        <xdr:sp macro="" textlink="">
          <xdr:nvSpPr>
            <xdr:cNvPr id="30776" name="Check Box 56" hidden="1">
              <a:extLst>
                <a:ext uri="{63B3BB69-23CF-44E3-9099-C40C66FF867C}">
                  <a14:compatExt spid="_x0000_s30776"/>
                </a:ext>
                <a:ext uri="{FF2B5EF4-FFF2-40B4-BE49-F238E27FC236}">
                  <a16:creationId xmlns:a16="http://schemas.microsoft.com/office/drawing/2014/main" id="{00000000-0008-0000-1B00-000038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45</xdr:row>
          <xdr:rowOff>133350</xdr:rowOff>
        </xdr:from>
        <xdr:to>
          <xdr:col>8</xdr:col>
          <xdr:colOff>400050</xdr:colOff>
          <xdr:row>47</xdr:row>
          <xdr:rowOff>47625</xdr:rowOff>
        </xdr:to>
        <xdr:sp macro="" textlink="">
          <xdr:nvSpPr>
            <xdr:cNvPr id="30777" name="Check Box 57" hidden="1">
              <a:extLst>
                <a:ext uri="{63B3BB69-23CF-44E3-9099-C40C66FF867C}">
                  <a14:compatExt spid="_x0000_s30777"/>
                </a:ext>
                <a:ext uri="{FF2B5EF4-FFF2-40B4-BE49-F238E27FC236}">
                  <a16:creationId xmlns:a16="http://schemas.microsoft.com/office/drawing/2014/main" id="{00000000-0008-0000-1B00-000039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45</xdr:row>
          <xdr:rowOff>171450</xdr:rowOff>
        </xdr:from>
        <xdr:to>
          <xdr:col>10</xdr:col>
          <xdr:colOff>19050</xdr:colOff>
          <xdr:row>47</xdr:row>
          <xdr:rowOff>9525</xdr:rowOff>
        </xdr:to>
        <xdr:sp macro="" textlink="">
          <xdr:nvSpPr>
            <xdr:cNvPr id="30778" name="Check Box 58" hidden="1">
              <a:extLst>
                <a:ext uri="{63B3BB69-23CF-44E3-9099-C40C66FF867C}">
                  <a14:compatExt spid="_x0000_s30778"/>
                </a:ext>
                <a:ext uri="{FF2B5EF4-FFF2-40B4-BE49-F238E27FC236}">
                  <a16:creationId xmlns:a16="http://schemas.microsoft.com/office/drawing/2014/main" id="{00000000-0008-0000-1B00-00003A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609600</xdr:colOff>
          <xdr:row>25</xdr:row>
          <xdr:rowOff>104775</xdr:rowOff>
        </xdr:from>
        <xdr:to>
          <xdr:col>15</xdr:col>
          <xdr:colOff>152400</xdr:colOff>
          <xdr:row>27</xdr:row>
          <xdr:rowOff>19050</xdr:rowOff>
        </xdr:to>
        <xdr:sp macro="" textlink="">
          <xdr:nvSpPr>
            <xdr:cNvPr id="30779" name="Check Box 59" hidden="1">
              <a:extLst>
                <a:ext uri="{63B3BB69-23CF-44E3-9099-C40C66FF867C}">
                  <a14:compatExt spid="_x0000_s30779"/>
                </a:ext>
                <a:ext uri="{FF2B5EF4-FFF2-40B4-BE49-F238E27FC236}">
                  <a16:creationId xmlns:a16="http://schemas.microsoft.com/office/drawing/2014/main" id="{00000000-0008-0000-1B00-00003B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628650</xdr:colOff>
          <xdr:row>49</xdr:row>
          <xdr:rowOff>104775</xdr:rowOff>
        </xdr:from>
        <xdr:to>
          <xdr:col>15</xdr:col>
          <xdr:colOff>171450</xdr:colOff>
          <xdr:row>51</xdr:row>
          <xdr:rowOff>19050</xdr:rowOff>
        </xdr:to>
        <xdr:sp macro="" textlink="">
          <xdr:nvSpPr>
            <xdr:cNvPr id="30780" name="Check Box 60" hidden="1">
              <a:extLst>
                <a:ext uri="{63B3BB69-23CF-44E3-9099-C40C66FF867C}">
                  <a14:compatExt spid="_x0000_s30780"/>
                </a:ext>
                <a:ext uri="{FF2B5EF4-FFF2-40B4-BE49-F238E27FC236}">
                  <a16:creationId xmlns:a16="http://schemas.microsoft.com/office/drawing/2014/main" id="{00000000-0008-0000-1B00-00003C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53</xdr:row>
          <xdr:rowOff>133350</xdr:rowOff>
        </xdr:from>
        <xdr:to>
          <xdr:col>13</xdr:col>
          <xdr:colOff>419100</xdr:colOff>
          <xdr:row>55</xdr:row>
          <xdr:rowOff>47625</xdr:rowOff>
        </xdr:to>
        <xdr:sp macro="" textlink="">
          <xdr:nvSpPr>
            <xdr:cNvPr id="30781" name="Check Box 61" hidden="1">
              <a:extLst>
                <a:ext uri="{63B3BB69-23CF-44E3-9099-C40C66FF867C}">
                  <a14:compatExt spid="_x0000_s30781"/>
                </a:ext>
                <a:ext uri="{FF2B5EF4-FFF2-40B4-BE49-F238E27FC236}">
                  <a16:creationId xmlns:a16="http://schemas.microsoft.com/office/drawing/2014/main" id="{00000000-0008-0000-1B00-00003D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52</xdr:row>
          <xdr:rowOff>133350</xdr:rowOff>
        </xdr:from>
        <xdr:to>
          <xdr:col>8</xdr:col>
          <xdr:colOff>428625</xdr:colOff>
          <xdr:row>54</xdr:row>
          <xdr:rowOff>47625</xdr:rowOff>
        </xdr:to>
        <xdr:sp macro="" textlink="">
          <xdr:nvSpPr>
            <xdr:cNvPr id="30782" name="Check Box 62" hidden="1">
              <a:extLst>
                <a:ext uri="{63B3BB69-23CF-44E3-9099-C40C66FF867C}">
                  <a14:compatExt spid="_x0000_s30782"/>
                </a:ext>
                <a:ext uri="{FF2B5EF4-FFF2-40B4-BE49-F238E27FC236}">
                  <a16:creationId xmlns:a16="http://schemas.microsoft.com/office/drawing/2014/main" id="{00000000-0008-0000-1B00-00003E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295275</xdr:colOff>
          <xdr:row>51</xdr:row>
          <xdr:rowOff>133350</xdr:rowOff>
        </xdr:from>
        <xdr:to>
          <xdr:col>12</xdr:col>
          <xdr:colOff>295275</xdr:colOff>
          <xdr:row>53</xdr:row>
          <xdr:rowOff>47625</xdr:rowOff>
        </xdr:to>
        <xdr:sp macro="" textlink="">
          <xdr:nvSpPr>
            <xdr:cNvPr id="30783" name="Check Box 63" hidden="1">
              <a:extLst>
                <a:ext uri="{63B3BB69-23CF-44E3-9099-C40C66FF867C}">
                  <a14:compatExt spid="_x0000_s30783"/>
                </a:ext>
                <a:ext uri="{FF2B5EF4-FFF2-40B4-BE49-F238E27FC236}">
                  <a16:creationId xmlns:a16="http://schemas.microsoft.com/office/drawing/2014/main" id="{00000000-0008-0000-1B00-00003F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47</xdr:row>
          <xdr:rowOff>152400</xdr:rowOff>
        </xdr:from>
        <xdr:to>
          <xdr:col>12</xdr:col>
          <xdr:colOff>647700</xdr:colOff>
          <xdr:row>50</xdr:row>
          <xdr:rowOff>19050</xdr:rowOff>
        </xdr:to>
        <xdr:sp macro="" textlink="">
          <xdr:nvSpPr>
            <xdr:cNvPr id="30784" name="Check Box 64" hidden="1">
              <a:extLst>
                <a:ext uri="{63B3BB69-23CF-44E3-9099-C40C66FF867C}">
                  <a14:compatExt spid="_x0000_s30784"/>
                </a:ext>
                <a:ext uri="{FF2B5EF4-FFF2-40B4-BE49-F238E27FC236}">
                  <a16:creationId xmlns:a16="http://schemas.microsoft.com/office/drawing/2014/main" id="{00000000-0008-0000-1B00-000040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55</xdr:row>
          <xdr:rowOff>95250</xdr:rowOff>
        </xdr:from>
        <xdr:to>
          <xdr:col>11</xdr:col>
          <xdr:colOff>304800</xdr:colOff>
          <xdr:row>57</xdr:row>
          <xdr:rowOff>9525</xdr:rowOff>
        </xdr:to>
        <xdr:sp macro="" textlink="">
          <xdr:nvSpPr>
            <xdr:cNvPr id="30785" name="Check Box 65" hidden="1">
              <a:extLst>
                <a:ext uri="{63B3BB69-23CF-44E3-9099-C40C66FF867C}">
                  <a14:compatExt spid="_x0000_s30785"/>
                </a:ext>
                <a:ext uri="{FF2B5EF4-FFF2-40B4-BE49-F238E27FC236}">
                  <a16:creationId xmlns:a16="http://schemas.microsoft.com/office/drawing/2014/main" id="{00000000-0008-0000-1B00-000041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55</xdr:row>
          <xdr:rowOff>95250</xdr:rowOff>
        </xdr:from>
        <xdr:to>
          <xdr:col>12</xdr:col>
          <xdr:colOff>400050</xdr:colOff>
          <xdr:row>57</xdr:row>
          <xdr:rowOff>9525</xdr:rowOff>
        </xdr:to>
        <xdr:sp macro="" textlink="">
          <xdr:nvSpPr>
            <xdr:cNvPr id="30786" name="Check Box 66" hidden="1">
              <a:extLst>
                <a:ext uri="{63B3BB69-23CF-44E3-9099-C40C66FF867C}">
                  <a14:compatExt spid="_x0000_s30786"/>
                </a:ext>
                <a:ext uri="{FF2B5EF4-FFF2-40B4-BE49-F238E27FC236}">
                  <a16:creationId xmlns:a16="http://schemas.microsoft.com/office/drawing/2014/main" id="{00000000-0008-0000-1B00-000042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55</xdr:row>
          <xdr:rowOff>114300</xdr:rowOff>
        </xdr:from>
        <xdr:to>
          <xdr:col>13</xdr:col>
          <xdr:colOff>66675</xdr:colOff>
          <xdr:row>57</xdr:row>
          <xdr:rowOff>28575</xdr:rowOff>
        </xdr:to>
        <xdr:sp macro="" textlink="">
          <xdr:nvSpPr>
            <xdr:cNvPr id="30787" name="Check Box 67" hidden="1">
              <a:extLst>
                <a:ext uri="{63B3BB69-23CF-44E3-9099-C40C66FF867C}">
                  <a14:compatExt spid="_x0000_s30787"/>
                </a:ext>
                <a:ext uri="{FF2B5EF4-FFF2-40B4-BE49-F238E27FC236}">
                  <a16:creationId xmlns:a16="http://schemas.microsoft.com/office/drawing/2014/main" id="{00000000-0008-0000-1B00-0000437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N/A</a:t>
              </a:r>
            </a:p>
          </xdr:txBody>
        </xdr:sp>
        <xdr:clientData/>
      </xdr:twoCellAnchor>
    </mc:Choice>
    <mc:Fallback/>
  </mc:AlternateContent>
  <xdr:twoCellAnchor editAs="oneCell">
    <xdr:from>
      <xdr:col>5</xdr:col>
      <xdr:colOff>552450</xdr:colOff>
      <xdr:row>0</xdr:row>
      <xdr:rowOff>133350</xdr:rowOff>
    </xdr:from>
    <xdr:to>
      <xdr:col>10</xdr:col>
      <xdr:colOff>0</xdr:colOff>
      <xdr:row>0</xdr:row>
      <xdr:rowOff>752475</xdr:rowOff>
    </xdr:to>
    <xdr:pic>
      <xdr:nvPicPr>
        <xdr:cNvPr id="31087" name="Picture 1">
          <a:extLst>
            <a:ext uri="{FF2B5EF4-FFF2-40B4-BE49-F238E27FC236}">
              <a16:creationId xmlns:a16="http://schemas.microsoft.com/office/drawing/2014/main" id="{00000000-0008-0000-1B00-00006F79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47900" y="133350"/>
          <a:ext cx="1809750"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9525</xdr:colOff>
      <xdr:row>2</xdr:row>
      <xdr:rowOff>47625</xdr:rowOff>
    </xdr:to>
    <xdr:pic>
      <xdr:nvPicPr>
        <xdr:cNvPr id="6" name="Picture 1">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54</xdr:col>
          <xdr:colOff>457200</xdr:colOff>
          <xdr:row>2</xdr:row>
          <xdr:rowOff>57150</xdr:rowOff>
        </xdr:from>
        <xdr:to>
          <xdr:col>59</xdr:col>
          <xdr:colOff>361950</xdr:colOff>
          <xdr:row>6</xdr:row>
          <xdr:rowOff>28575</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1C00-000002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600" b="1" i="0" u="none" strike="noStrike" baseline="0">
                  <a:solidFill>
                    <a:srgbClr val="000000"/>
                  </a:solidFill>
                  <a:latin typeface="Arial"/>
                  <a:cs typeface="Arial"/>
                </a:rPr>
                <a:t>Sort Time Log</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85725</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3" name="Picture 1">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9</xdr:col>
      <xdr:colOff>57150</xdr:colOff>
      <xdr:row>2</xdr:row>
      <xdr:rowOff>85725</xdr:rowOff>
    </xdr:to>
    <xdr:pic>
      <xdr:nvPicPr>
        <xdr:cNvPr id="4" name="Picture 1">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37904" name="Picture 1">
          <a:extLst>
            <a:ext uri="{FF2B5EF4-FFF2-40B4-BE49-F238E27FC236}">
              <a16:creationId xmlns:a16="http://schemas.microsoft.com/office/drawing/2014/main" id="{00000000-0008-0000-1E00-0000109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13915" name="Picture 1">
          <a:extLst>
            <a:ext uri="{FF2B5EF4-FFF2-40B4-BE49-F238E27FC236}">
              <a16:creationId xmlns:a16="http://schemas.microsoft.com/office/drawing/2014/main" id="{00000000-0008-0000-1F00-00005B3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57150</xdr:colOff>
      <xdr:row>2</xdr:row>
      <xdr:rowOff>47625</xdr:rowOff>
    </xdr:to>
    <xdr:pic>
      <xdr:nvPicPr>
        <xdr:cNvPr id="14938" name="Picture 1">
          <a:extLst>
            <a:ext uri="{FF2B5EF4-FFF2-40B4-BE49-F238E27FC236}">
              <a16:creationId xmlns:a16="http://schemas.microsoft.com/office/drawing/2014/main" id="{00000000-0008-0000-2000-00005A3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858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6" Type="http://schemas.openxmlformats.org/officeDocument/2006/relationships/ctrlProp" Target="../ctrlProps/ctrlProp33.xml"/><Relationship Id="rId21" Type="http://schemas.openxmlformats.org/officeDocument/2006/relationships/ctrlProp" Target="../ctrlProps/ctrlProp28.xml"/><Relationship Id="rId42" Type="http://schemas.openxmlformats.org/officeDocument/2006/relationships/ctrlProp" Target="../ctrlProps/ctrlProp49.xml"/><Relationship Id="rId47" Type="http://schemas.openxmlformats.org/officeDocument/2006/relationships/ctrlProp" Target="../ctrlProps/ctrlProp54.xml"/><Relationship Id="rId63" Type="http://schemas.openxmlformats.org/officeDocument/2006/relationships/ctrlProp" Target="../ctrlProps/ctrlProp70.xml"/><Relationship Id="rId68" Type="http://schemas.openxmlformats.org/officeDocument/2006/relationships/ctrlProp" Target="../ctrlProps/ctrlProp75.xml"/><Relationship Id="rId7" Type="http://schemas.openxmlformats.org/officeDocument/2006/relationships/ctrlProp" Target="../ctrlProps/ctrlProp14.xml"/><Relationship Id="rId2" Type="http://schemas.openxmlformats.org/officeDocument/2006/relationships/drawing" Target="../drawings/drawing12.xml"/><Relationship Id="rId16" Type="http://schemas.openxmlformats.org/officeDocument/2006/relationships/ctrlProp" Target="../ctrlProps/ctrlProp23.xml"/><Relationship Id="rId29" Type="http://schemas.openxmlformats.org/officeDocument/2006/relationships/ctrlProp" Target="../ctrlProps/ctrlProp36.xml"/><Relationship Id="rId11" Type="http://schemas.openxmlformats.org/officeDocument/2006/relationships/ctrlProp" Target="../ctrlProps/ctrlProp18.xml"/><Relationship Id="rId24" Type="http://schemas.openxmlformats.org/officeDocument/2006/relationships/ctrlProp" Target="../ctrlProps/ctrlProp31.xml"/><Relationship Id="rId32" Type="http://schemas.openxmlformats.org/officeDocument/2006/relationships/ctrlProp" Target="../ctrlProps/ctrlProp39.xml"/><Relationship Id="rId37" Type="http://schemas.openxmlformats.org/officeDocument/2006/relationships/ctrlProp" Target="../ctrlProps/ctrlProp44.xml"/><Relationship Id="rId40" Type="http://schemas.openxmlformats.org/officeDocument/2006/relationships/ctrlProp" Target="../ctrlProps/ctrlProp47.xml"/><Relationship Id="rId45" Type="http://schemas.openxmlformats.org/officeDocument/2006/relationships/ctrlProp" Target="../ctrlProps/ctrlProp52.xml"/><Relationship Id="rId53" Type="http://schemas.openxmlformats.org/officeDocument/2006/relationships/ctrlProp" Target="../ctrlProps/ctrlProp60.xml"/><Relationship Id="rId58" Type="http://schemas.openxmlformats.org/officeDocument/2006/relationships/ctrlProp" Target="../ctrlProps/ctrlProp65.xml"/><Relationship Id="rId66" Type="http://schemas.openxmlformats.org/officeDocument/2006/relationships/ctrlProp" Target="../ctrlProps/ctrlProp73.xml"/><Relationship Id="rId5" Type="http://schemas.openxmlformats.org/officeDocument/2006/relationships/ctrlProp" Target="../ctrlProps/ctrlProp12.xml"/><Relationship Id="rId61" Type="http://schemas.openxmlformats.org/officeDocument/2006/relationships/ctrlProp" Target="../ctrlProps/ctrlProp68.xml"/><Relationship Id="rId19" Type="http://schemas.openxmlformats.org/officeDocument/2006/relationships/ctrlProp" Target="../ctrlProps/ctrlProp26.xml"/><Relationship Id="rId14" Type="http://schemas.openxmlformats.org/officeDocument/2006/relationships/ctrlProp" Target="../ctrlProps/ctrlProp21.xml"/><Relationship Id="rId22" Type="http://schemas.openxmlformats.org/officeDocument/2006/relationships/ctrlProp" Target="../ctrlProps/ctrlProp29.xml"/><Relationship Id="rId27" Type="http://schemas.openxmlformats.org/officeDocument/2006/relationships/ctrlProp" Target="../ctrlProps/ctrlProp34.xml"/><Relationship Id="rId30" Type="http://schemas.openxmlformats.org/officeDocument/2006/relationships/ctrlProp" Target="../ctrlProps/ctrlProp37.xml"/><Relationship Id="rId35" Type="http://schemas.openxmlformats.org/officeDocument/2006/relationships/ctrlProp" Target="../ctrlProps/ctrlProp42.xml"/><Relationship Id="rId43" Type="http://schemas.openxmlformats.org/officeDocument/2006/relationships/ctrlProp" Target="../ctrlProps/ctrlProp50.xml"/><Relationship Id="rId48" Type="http://schemas.openxmlformats.org/officeDocument/2006/relationships/ctrlProp" Target="../ctrlProps/ctrlProp55.xml"/><Relationship Id="rId56" Type="http://schemas.openxmlformats.org/officeDocument/2006/relationships/ctrlProp" Target="../ctrlProps/ctrlProp63.xml"/><Relationship Id="rId64" Type="http://schemas.openxmlformats.org/officeDocument/2006/relationships/ctrlProp" Target="../ctrlProps/ctrlProp71.xml"/><Relationship Id="rId69" Type="http://schemas.openxmlformats.org/officeDocument/2006/relationships/ctrlProp" Target="../ctrlProps/ctrlProp76.xml"/><Relationship Id="rId8" Type="http://schemas.openxmlformats.org/officeDocument/2006/relationships/ctrlProp" Target="../ctrlProps/ctrlProp15.xml"/><Relationship Id="rId51" Type="http://schemas.openxmlformats.org/officeDocument/2006/relationships/ctrlProp" Target="../ctrlProps/ctrlProp58.xml"/><Relationship Id="rId3" Type="http://schemas.openxmlformats.org/officeDocument/2006/relationships/vmlDrawing" Target="../drawings/vmlDrawing4.vml"/><Relationship Id="rId12" Type="http://schemas.openxmlformats.org/officeDocument/2006/relationships/ctrlProp" Target="../ctrlProps/ctrlProp19.xml"/><Relationship Id="rId17" Type="http://schemas.openxmlformats.org/officeDocument/2006/relationships/ctrlProp" Target="../ctrlProps/ctrlProp24.xml"/><Relationship Id="rId25" Type="http://schemas.openxmlformats.org/officeDocument/2006/relationships/ctrlProp" Target="../ctrlProps/ctrlProp32.xml"/><Relationship Id="rId33" Type="http://schemas.openxmlformats.org/officeDocument/2006/relationships/ctrlProp" Target="../ctrlProps/ctrlProp40.xml"/><Relationship Id="rId38" Type="http://schemas.openxmlformats.org/officeDocument/2006/relationships/ctrlProp" Target="../ctrlProps/ctrlProp45.xml"/><Relationship Id="rId46" Type="http://schemas.openxmlformats.org/officeDocument/2006/relationships/ctrlProp" Target="../ctrlProps/ctrlProp53.xml"/><Relationship Id="rId59" Type="http://schemas.openxmlformats.org/officeDocument/2006/relationships/ctrlProp" Target="../ctrlProps/ctrlProp66.xml"/><Relationship Id="rId67" Type="http://schemas.openxmlformats.org/officeDocument/2006/relationships/ctrlProp" Target="../ctrlProps/ctrlProp74.xml"/><Relationship Id="rId20" Type="http://schemas.openxmlformats.org/officeDocument/2006/relationships/ctrlProp" Target="../ctrlProps/ctrlProp27.xml"/><Relationship Id="rId41" Type="http://schemas.openxmlformats.org/officeDocument/2006/relationships/ctrlProp" Target="../ctrlProps/ctrlProp48.xml"/><Relationship Id="rId54" Type="http://schemas.openxmlformats.org/officeDocument/2006/relationships/ctrlProp" Target="../ctrlProps/ctrlProp61.xml"/><Relationship Id="rId62" Type="http://schemas.openxmlformats.org/officeDocument/2006/relationships/ctrlProp" Target="../ctrlProps/ctrlProp69.xml"/><Relationship Id="rId70" Type="http://schemas.openxmlformats.org/officeDocument/2006/relationships/ctrlProp" Target="../ctrlProps/ctrlProp77.xml"/><Relationship Id="rId1" Type="http://schemas.openxmlformats.org/officeDocument/2006/relationships/printerSettings" Target="../printerSettings/printerSettings12.bin"/><Relationship Id="rId6" Type="http://schemas.openxmlformats.org/officeDocument/2006/relationships/ctrlProp" Target="../ctrlProps/ctrlProp13.xml"/><Relationship Id="rId15" Type="http://schemas.openxmlformats.org/officeDocument/2006/relationships/ctrlProp" Target="../ctrlProps/ctrlProp22.xml"/><Relationship Id="rId23" Type="http://schemas.openxmlformats.org/officeDocument/2006/relationships/ctrlProp" Target="../ctrlProps/ctrlProp30.xml"/><Relationship Id="rId28" Type="http://schemas.openxmlformats.org/officeDocument/2006/relationships/ctrlProp" Target="../ctrlProps/ctrlProp35.xml"/><Relationship Id="rId36" Type="http://schemas.openxmlformats.org/officeDocument/2006/relationships/ctrlProp" Target="../ctrlProps/ctrlProp43.xml"/><Relationship Id="rId49" Type="http://schemas.openxmlformats.org/officeDocument/2006/relationships/ctrlProp" Target="../ctrlProps/ctrlProp56.xml"/><Relationship Id="rId57" Type="http://schemas.openxmlformats.org/officeDocument/2006/relationships/ctrlProp" Target="../ctrlProps/ctrlProp64.xml"/><Relationship Id="rId10" Type="http://schemas.openxmlformats.org/officeDocument/2006/relationships/ctrlProp" Target="../ctrlProps/ctrlProp17.xml"/><Relationship Id="rId31" Type="http://schemas.openxmlformats.org/officeDocument/2006/relationships/ctrlProp" Target="../ctrlProps/ctrlProp38.xml"/><Relationship Id="rId44" Type="http://schemas.openxmlformats.org/officeDocument/2006/relationships/ctrlProp" Target="../ctrlProps/ctrlProp51.xml"/><Relationship Id="rId52" Type="http://schemas.openxmlformats.org/officeDocument/2006/relationships/ctrlProp" Target="../ctrlProps/ctrlProp59.xml"/><Relationship Id="rId60" Type="http://schemas.openxmlformats.org/officeDocument/2006/relationships/ctrlProp" Target="../ctrlProps/ctrlProp67.xml"/><Relationship Id="rId65" Type="http://schemas.openxmlformats.org/officeDocument/2006/relationships/ctrlProp" Target="../ctrlProps/ctrlProp72.xml"/><Relationship Id="rId4" Type="http://schemas.openxmlformats.org/officeDocument/2006/relationships/ctrlProp" Target="../ctrlProps/ctrlProp11.xml"/><Relationship Id="rId9" Type="http://schemas.openxmlformats.org/officeDocument/2006/relationships/ctrlProp" Target="../ctrlProps/ctrlProp16.xml"/><Relationship Id="rId13" Type="http://schemas.openxmlformats.org/officeDocument/2006/relationships/ctrlProp" Target="../ctrlProps/ctrlProp20.xml"/><Relationship Id="rId18" Type="http://schemas.openxmlformats.org/officeDocument/2006/relationships/ctrlProp" Target="../ctrlProps/ctrlProp25.xml"/><Relationship Id="rId39" Type="http://schemas.openxmlformats.org/officeDocument/2006/relationships/ctrlProp" Target="../ctrlProps/ctrlProp46.xml"/><Relationship Id="rId34" Type="http://schemas.openxmlformats.org/officeDocument/2006/relationships/ctrlProp" Target="../ctrlProps/ctrlProp41.xml"/><Relationship Id="rId50" Type="http://schemas.openxmlformats.org/officeDocument/2006/relationships/ctrlProp" Target="../ctrlProps/ctrlProp57.xml"/><Relationship Id="rId55" Type="http://schemas.openxmlformats.org/officeDocument/2006/relationships/ctrlProp" Target="../ctrlProps/ctrlProp6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00.xml"/><Relationship Id="rId21" Type="http://schemas.openxmlformats.org/officeDocument/2006/relationships/ctrlProp" Target="../ctrlProps/ctrlProp95.xml"/><Relationship Id="rId42" Type="http://schemas.openxmlformats.org/officeDocument/2006/relationships/ctrlProp" Target="../ctrlProps/ctrlProp116.xml"/><Relationship Id="rId47" Type="http://schemas.openxmlformats.org/officeDocument/2006/relationships/ctrlProp" Target="../ctrlProps/ctrlProp121.xml"/><Relationship Id="rId63" Type="http://schemas.openxmlformats.org/officeDocument/2006/relationships/ctrlProp" Target="../ctrlProps/ctrlProp137.xml"/><Relationship Id="rId68" Type="http://schemas.openxmlformats.org/officeDocument/2006/relationships/ctrlProp" Target="../ctrlProps/ctrlProp142.xml"/><Relationship Id="rId7" Type="http://schemas.openxmlformats.org/officeDocument/2006/relationships/ctrlProp" Target="../ctrlProps/ctrlProp81.xml"/><Relationship Id="rId2" Type="http://schemas.openxmlformats.org/officeDocument/2006/relationships/drawing" Target="../drawings/drawing19.xml"/><Relationship Id="rId16" Type="http://schemas.openxmlformats.org/officeDocument/2006/relationships/ctrlProp" Target="../ctrlProps/ctrlProp90.xml"/><Relationship Id="rId29" Type="http://schemas.openxmlformats.org/officeDocument/2006/relationships/ctrlProp" Target="../ctrlProps/ctrlProp103.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37" Type="http://schemas.openxmlformats.org/officeDocument/2006/relationships/ctrlProp" Target="../ctrlProps/ctrlProp111.xml"/><Relationship Id="rId40" Type="http://schemas.openxmlformats.org/officeDocument/2006/relationships/ctrlProp" Target="../ctrlProps/ctrlProp114.xml"/><Relationship Id="rId45" Type="http://schemas.openxmlformats.org/officeDocument/2006/relationships/ctrlProp" Target="../ctrlProps/ctrlProp119.xml"/><Relationship Id="rId53" Type="http://schemas.openxmlformats.org/officeDocument/2006/relationships/ctrlProp" Target="../ctrlProps/ctrlProp127.xml"/><Relationship Id="rId58" Type="http://schemas.openxmlformats.org/officeDocument/2006/relationships/ctrlProp" Target="../ctrlProps/ctrlProp132.xml"/><Relationship Id="rId66" Type="http://schemas.openxmlformats.org/officeDocument/2006/relationships/ctrlProp" Target="../ctrlProps/ctrlProp140.xml"/><Relationship Id="rId5" Type="http://schemas.openxmlformats.org/officeDocument/2006/relationships/ctrlProp" Target="../ctrlProps/ctrlProp79.xml"/><Relationship Id="rId61" Type="http://schemas.openxmlformats.org/officeDocument/2006/relationships/ctrlProp" Target="../ctrlProps/ctrlProp135.xml"/><Relationship Id="rId19" Type="http://schemas.openxmlformats.org/officeDocument/2006/relationships/ctrlProp" Target="../ctrlProps/ctrlProp9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35" Type="http://schemas.openxmlformats.org/officeDocument/2006/relationships/ctrlProp" Target="../ctrlProps/ctrlProp109.xml"/><Relationship Id="rId43" Type="http://schemas.openxmlformats.org/officeDocument/2006/relationships/ctrlProp" Target="../ctrlProps/ctrlProp117.xml"/><Relationship Id="rId48" Type="http://schemas.openxmlformats.org/officeDocument/2006/relationships/ctrlProp" Target="../ctrlProps/ctrlProp122.xml"/><Relationship Id="rId56" Type="http://schemas.openxmlformats.org/officeDocument/2006/relationships/ctrlProp" Target="../ctrlProps/ctrlProp130.xml"/><Relationship Id="rId64" Type="http://schemas.openxmlformats.org/officeDocument/2006/relationships/ctrlProp" Target="../ctrlProps/ctrlProp138.xml"/><Relationship Id="rId69" Type="http://schemas.openxmlformats.org/officeDocument/2006/relationships/ctrlProp" Target="../ctrlProps/ctrlProp143.xml"/><Relationship Id="rId8" Type="http://schemas.openxmlformats.org/officeDocument/2006/relationships/ctrlProp" Target="../ctrlProps/ctrlProp82.xml"/><Relationship Id="rId51" Type="http://schemas.openxmlformats.org/officeDocument/2006/relationships/ctrlProp" Target="../ctrlProps/ctrlProp125.xml"/><Relationship Id="rId3" Type="http://schemas.openxmlformats.org/officeDocument/2006/relationships/vmlDrawing" Target="../drawings/vmlDrawing5.v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38" Type="http://schemas.openxmlformats.org/officeDocument/2006/relationships/ctrlProp" Target="../ctrlProps/ctrlProp112.xml"/><Relationship Id="rId46" Type="http://schemas.openxmlformats.org/officeDocument/2006/relationships/ctrlProp" Target="../ctrlProps/ctrlProp120.xml"/><Relationship Id="rId59" Type="http://schemas.openxmlformats.org/officeDocument/2006/relationships/ctrlProp" Target="../ctrlProps/ctrlProp133.xml"/><Relationship Id="rId67" Type="http://schemas.openxmlformats.org/officeDocument/2006/relationships/ctrlProp" Target="../ctrlProps/ctrlProp141.xml"/><Relationship Id="rId20" Type="http://schemas.openxmlformats.org/officeDocument/2006/relationships/ctrlProp" Target="../ctrlProps/ctrlProp94.xml"/><Relationship Id="rId41" Type="http://schemas.openxmlformats.org/officeDocument/2006/relationships/ctrlProp" Target="../ctrlProps/ctrlProp115.xml"/><Relationship Id="rId54" Type="http://schemas.openxmlformats.org/officeDocument/2006/relationships/ctrlProp" Target="../ctrlProps/ctrlProp128.xml"/><Relationship Id="rId62" Type="http://schemas.openxmlformats.org/officeDocument/2006/relationships/ctrlProp" Target="../ctrlProps/ctrlProp136.xml"/><Relationship Id="rId70" Type="http://schemas.openxmlformats.org/officeDocument/2006/relationships/ctrlProp" Target="../ctrlProps/ctrlProp144.xml"/><Relationship Id="rId1" Type="http://schemas.openxmlformats.org/officeDocument/2006/relationships/printerSettings" Target="../printerSettings/printerSettings19.bin"/><Relationship Id="rId6" Type="http://schemas.openxmlformats.org/officeDocument/2006/relationships/ctrlProp" Target="../ctrlProps/ctrlProp80.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36" Type="http://schemas.openxmlformats.org/officeDocument/2006/relationships/ctrlProp" Target="../ctrlProps/ctrlProp110.xml"/><Relationship Id="rId49" Type="http://schemas.openxmlformats.org/officeDocument/2006/relationships/ctrlProp" Target="../ctrlProps/ctrlProp123.xml"/><Relationship Id="rId57" Type="http://schemas.openxmlformats.org/officeDocument/2006/relationships/ctrlProp" Target="../ctrlProps/ctrlProp131.xml"/><Relationship Id="rId10" Type="http://schemas.openxmlformats.org/officeDocument/2006/relationships/ctrlProp" Target="../ctrlProps/ctrlProp84.xml"/><Relationship Id="rId31" Type="http://schemas.openxmlformats.org/officeDocument/2006/relationships/ctrlProp" Target="../ctrlProps/ctrlProp105.xml"/><Relationship Id="rId44" Type="http://schemas.openxmlformats.org/officeDocument/2006/relationships/ctrlProp" Target="../ctrlProps/ctrlProp118.xml"/><Relationship Id="rId52" Type="http://schemas.openxmlformats.org/officeDocument/2006/relationships/ctrlProp" Target="../ctrlProps/ctrlProp126.xml"/><Relationship Id="rId60" Type="http://schemas.openxmlformats.org/officeDocument/2006/relationships/ctrlProp" Target="../ctrlProps/ctrlProp134.xml"/><Relationship Id="rId65" Type="http://schemas.openxmlformats.org/officeDocument/2006/relationships/ctrlProp" Target="../ctrlProps/ctrlProp139.xml"/><Relationship Id="rId4" Type="http://schemas.openxmlformats.org/officeDocument/2006/relationships/ctrlProp" Target="../ctrlProps/ctrlProp78.xml"/><Relationship Id="rId9" Type="http://schemas.openxmlformats.org/officeDocument/2006/relationships/ctrlProp" Target="../ctrlProps/ctrlProp83.xml"/><Relationship Id="rId13" Type="http://schemas.openxmlformats.org/officeDocument/2006/relationships/ctrlProp" Target="../ctrlProps/ctrlProp87.xml"/><Relationship Id="rId18" Type="http://schemas.openxmlformats.org/officeDocument/2006/relationships/ctrlProp" Target="../ctrlProps/ctrlProp92.xml"/><Relationship Id="rId39" Type="http://schemas.openxmlformats.org/officeDocument/2006/relationships/ctrlProp" Target="../ctrlProps/ctrlProp113.xml"/><Relationship Id="rId34" Type="http://schemas.openxmlformats.org/officeDocument/2006/relationships/ctrlProp" Target="../ctrlProps/ctrlProp108.xml"/><Relationship Id="rId50" Type="http://schemas.openxmlformats.org/officeDocument/2006/relationships/ctrlProp" Target="../ctrlProps/ctrlProp124.xml"/><Relationship Id="rId55" Type="http://schemas.openxmlformats.org/officeDocument/2006/relationships/ctrlProp" Target="../ctrlProps/ctrlProp12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4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146.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6" Type="http://schemas.openxmlformats.org/officeDocument/2006/relationships/ctrlProp" Target="../ctrlProps/ctrlProp169.xml"/><Relationship Id="rId21" Type="http://schemas.openxmlformats.org/officeDocument/2006/relationships/ctrlProp" Target="../ctrlProps/ctrlProp164.xml"/><Relationship Id="rId42" Type="http://schemas.openxmlformats.org/officeDocument/2006/relationships/ctrlProp" Target="../ctrlProps/ctrlProp185.xml"/><Relationship Id="rId47" Type="http://schemas.openxmlformats.org/officeDocument/2006/relationships/ctrlProp" Target="../ctrlProps/ctrlProp190.xml"/><Relationship Id="rId63" Type="http://schemas.openxmlformats.org/officeDocument/2006/relationships/ctrlProp" Target="../ctrlProps/ctrlProp206.xml"/><Relationship Id="rId68" Type="http://schemas.openxmlformats.org/officeDocument/2006/relationships/ctrlProp" Target="../ctrlProps/ctrlProp211.xml"/><Relationship Id="rId7" Type="http://schemas.openxmlformats.org/officeDocument/2006/relationships/ctrlProp" Target="../ctrlProps/ctrlProp150.xml"/><Relationship Id="rId2" Type="http://schemas.openxmlformats.org/officeDocument/2006/relationships/drawing" Target="../drawings/drawing28.xml"/><Relationship Id="rId16" Type="http://schemas.openxmlformats.org/officeDocument/2006/relationships/ctrlProp" Target="../ctrlProps/ctrlProp159.xml"/><Relationship Id="rId29" Type="http://schemas.openxmlformats.org/officeDocument/2006/relationships/ctrlProp" Target="../ctrlProps/ctrlProp172.xml"/><Relationship Id="rId11" Type="http://schemas.openxmlformats.org/officeDocument/2006/relationships/ctrlProp" Target="../ctrlProps/ctrlProp154.xml"/><Relationship Id="rId24" Type="http://schemas.openxmlformats.org/officeDocument/2006/relationships/ctrlProp" Target="../ctrlProps/ctrlProp167.xml"/><Relationship Id="rId32" Type="http://schemas.openxmlformats.org/officeDocument/2006/relationships/ctrlProp" Target="../ctrlProps/ctrlProp175.xml"/><Relationship Id="rId37" Type="http://schemas.openxmlformats.org/officeDocument/2006/relationships/ctrlProp" Target="../ctrlProps/ctrlProp180.xml"/><Relationship Id="rId40" Type="http://schemas.openxmlformats.org/officeDocument/2006/relationships/ctrlProp" Target="../ctrlProps/ctrlProp183.xml"/><Relationship Id="rId45" Type="http://schemas.openxmlformats.org/officeDocument/2006/relationships/ctrlProp" Target="../ctrlProps/ctrlProp188.xml"/><Relationship Id="rId53" Type="http://schemas.openxmlformats.org/officeDocument/2006/relationships/ctrlProp" Target="../ctrlProps/ctrlProp196.xml"/><Relationship Id="rId58" Type="http://schemas.openxmlformats.org/officeDocument/2006/relationships/ctrlProp" Target="../ctrlProps/ctrlProp201.xml"/><Relationship Id="rId66" Type="http://schemas.openxmlformats.org/officeDocument/2006/relationships/ctrlProp" Target="../ctrlProps/ctrlProp209.xml"/><Relationship Id="rId5" Type="http://schemas.openxmlformats.org/officeDocument/2006/relationships/ctrlProp" Target="../ctrlProps/ctrlProp148.xml"/><Relationship Id="rId61" Type="http://schemas.openxmlformats.org/officeDocument/2006/relationships/ctrlProp" Target="../ctrlProps/ctrlProp204.xml"/><Relationship Id="rId19" Type="http://schemas.openxmlformats.org/officeDocument/2006/relationships/ctrlProp" Target="../ctrlProps/ctrlProp162.xml"/><Relationship Id="rId14" Type="http://schemas.openxmlformats.org/officeDocument/2006/relationships/ctrlProp" Target="../ctrlProps/ctrlProp157.xml"/><Relationship Id="rId22" Type="http://schemas.openxmlformats.org/officeDocument/2006/relationships/ctrlProp" Target="../ctrlProps/ctrlProp165.xml"/><Relationship Id="rId27" Type="http://schemas.openxmlformats.org/officeDocument/2006/relationships/ctrlProp" Target="../ctrlProps/ctrlProp170.xml"/><Relationship Id="rId30" Type="http://schemas.openxmlformats.org/officeDocument/2006/relationships/ctrlProp" Target="../ctrlProps/ctrlProp173.xml"/><Relationship Id="rId35" Type="http://schemas.openxmlformats.org/officeDocument/2006/relationships/ctrlProp" Target="../ctrlProps/ctrlProp178.xml"/><Relationship Id="rId43" Type="http://schemas.openxmlformats.org/officeDocument/2006/relationships/ctrlProp" Target="../ctrlProps/ctrlProp186.xml"/><Relationship Id="rId48" Type="http://schemas.openxmlformats.org/officeDocument/2006/relationships/ctrlProp" Target="../ctrlProps/ctrlProp191.xml"/><Relationship Id="rId56" Type="http://schemas.openxmlformats.org/officeDocument/2006/relationships/ctrlProp" Target="../ctrlProps/ctrlProp199.xml"/><Relationship Id="rId64" Type="http://schemas.openxmlformats.org/officeDocument/2006/relationships/ctrlProp" Target="../ctrlProps/ctrlProp207.xml"/><Relationship Id="rId69" Type="http://schemas.openxmlformats.org/officeDocument/2006/relationships/ctrlProp" Target="../ctrlProps/ctrlProp212.xml"/><Relationship Id="rId8" Type="http://schemas.openxmlformats.org/officeDocument/2006/relationships/ctrlProp" Target="../ctrlProps/ctrlProp151.xml"/><Relationship Id="rId51" Type="http://schemas.openxmlformats.org/officeDocument/2006/relationships/ctrlProp" Target="../ctrlProps/ctrlProp194.xml"/><Relationship Id="rId3" Type="http://schemas.openxmlformats.org/officeDocument/2006/relationships/vmlDrawing" Target="../drawings/vmlDrawing8.vml"/><Relationship Id="rId12" Type="http://schemas.openxmlformats.org/officeDocument/2006/relationships/ctrlProp" Target="../ctrlProps/ctrlProp155.xml"/><Relationship Id="rId17" Type="http://schemas.openxmlformats.org/officeDocument/2006/relationships/ctrlProp" Target="../ctrlProps/ctrlProp160.xml"/><Relationship Id="rId25" Type="http://schemas.openxmlformats.org/officeDocument/2006/relationships/ctrlProp" Target="../ctrlProps/ctrlProp168.xml"/><Relationship Id="rId33" Type="http://schemas.openxmlformats.org/officeDocument/2006/relationships/ctrlProp" Target="../ctrlProps/ctrlProp176.xml"/><Relationship Id="rId38" Type="http://schemas.openxmlformats.org/officeDocument/2006/relationships/ctrlProp" Target="../ctrlProps/ctrlProp181.xml"/><Relationship Id="rId46" Type="http://schemas.openxmlformats.org/officeDocument/2006/relationships/ctrlProp" Target="../ctrlProps/ctrlProp189.xml"/><Relationship Id="rId59" Type="http://schemas.openxmlformats.org/officeDocument/2006/relationships/ctrlProp" Target="../ctrlProps/ctrlProp202.xml"/><Relationship Id="rId67" Type="http://schemas.openxmlformats.org/officeDocument/2006/relationships/ctrlProp" Target="../ctrlProps/ctrlProp210.xml"/><Relationship Id="rId20" Type="http://schemas.openxmlformats.org/officeDocument/2006/relationships/ctrlProp" Target="../ctrlProps/ctrlProp163.xml"/><Relationship Id="rId41" Type="http://schemas.openxmlformats.org/officeDocument/2006/relationships/ctrlProp" Target="../ctrlProps/ctrlProp184.xml"/><Relationship Id="rId54" Type="http://schemas.openxmlformats.org/officeDocument/2006/relationships/ctrlProp" Target="../ctrlProps/ctrlProp197.xml"/><Relationship Id="rId62" Type="http://schemas.openxmlformats.org/officeDocument/2006/relationships/ctrlProp" Target="../ctrlProps/ctrlProp205.xml"/><Relationship Id="rId70" Type="http://schemas.openxmlformats.org/officeDocument/2006/relationships/ctrlProp" Target="../ctrlProps/ctrlProp213.xml"/><Relationship Id="rId1" Type="http://schemas.openxmlformats.org/officeDocument/2006/relationships/printerSettings" Target="../printerSettings/printerSettings28.bin"/><Relationship Id="rId6" Type="http://schemas.openxmlformats.org/officeDocument/2006/relationships/ctrlProp" Target="../ctrlProps/ctrlProp149.xml"/><Relationship Id="rId15" Type="http://schemas.openxmlformats.org/officeDocument/2006/relationships/ctrlProp" Target="../ctrlProps/ctrlProp158.xml"/><Relationship Id="rId23" Type="http://schemas.openxmlformats.org/officeDocument/2006/relationships/ctrlProp" Target="../ctrlProps/ctrlProp166.xml"/><Relationship Id="rId28" Type="http://schemas.openxmlformats.org/officeDocument/2006/relationships/ctrlProp" Target="../ctrlProps/ctrlProp171.xml"/><Relationship Id="rId36" Type="http://schemas.openxmlformats.org/officeDocument/2006/relationships/ctrlProp" Target="../ctrlProps/ctrlProp179.xml"/><Relationship Id="rId49" Type="http://schemas.openxmlformats.org/officeDocument/2006/relationships/ctrlProp" Target="../ctrlProps/ctrlProp192.xml"/><Relationship Id="rId57" Type="http://schemas.openxmlformats.org/officeDocument/2006/relationships/ctrlProp" Target="../ctrlProps/ctrlProp200.xml"/><Relationship Id="rId10" Type="http://schemas.openxmlformats.org/officeDocument/2006/relationships/ctrlProp" Target="../ctrlProps/ctrlProp153.xml"/><Relationship Id="rId31" Type="http://schemas.openxmlformats.org/officeDocument/2006/relationships/ctrlProp" Target="../ctrlProps/ctrlProp174.xml"/><Relationship Id="rId44" Type="http://schemas.openxmlformats.org/officeDocument/2006/relationships/ctrlProp" Target="../ctrlProps/ctrlProp187.xml"/><Relationship Id="rId52" Type="http://schemas.openxmlformats.org/officeDocument/2006/relationships/ctrlProp" Target="../ctrlProps/ctrlProp195.xml"/><Relationship Id="rId60" Type="http://schemas.openxmlformats.org/officeDocument/2006/relationships/ctrlProp" Target="../ctrlProps/ctrlProp203.xml"/><Relationship Id="rId65" Type="http://schemas.openxmlformats.org/officeDocument/2006/relationships/ctrlProp" Target="../ctrlProps/ctrlProp208.xml"/><Relationship Id="rId4" Type="http://schemas.openxmlformats.org/officeDocument/2006/relationships/ctrlProp" Target="../ctrlProps/ctrlProp147.xml"/><Relationship Id="rId9" Type="http://schemas.openxmlformats.org/officeDocument/2006/relationships/ctrlProp" Target="../ctrlProps/ctrlProp152.xml"/><Relationship Id="rId13" Type="http://schemas.openxmlformats.org/officeDocument/2006/relationships/ctrlProp" Target="../ctrlProps/ctrlProp156.xml"/><Relationship Id="rId18" Type="http://schemas.openxmlformats.org/officeDocument/2006/relationships/ctrlProp" Target="../ctrlProps/ctrlProp161.xml"/><Relationship Id="rId39" Type="http://schemas.openxmlformats.org/officeDocument/2006/relationships/ctrlProp" Target="../ctrlProps/ctrlProp182.xml"/><Relationship Id="rId34" Type="http://schemas.openxmlformats.org/officeDocument/2006/relationships/ctrlProp" Target="../ctrlProps/ctrlProp177.xml"/><Relationship Id="rId50" Type="http://schemas.openxmlformats.org/officeDocument/2006/relationships/ctrlProp" Target="../ctrlProps/ctrlProp193.xml"/><Relationship Id="rId55" Type="http://schemas.openxmlformats.org/officeDocument/2006/relationships/ctrlProp" Target="../ctrlProps/ctrlProp19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14.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AZ72"/>
  <sheetViews>
    <sheetView showGridLines="0" topLeftCell="A13" workbookViewId="0">
      <selection activeCell="A42" sqref="A42:AZ42"/>
    </sheetView>
  </sheetViews>
  <sheetFormatPr defaultColWidth="9.140625" defaultRowHeight="12.75" x14ac:dyDescent="0.2"/>
  <cols>
    <col min="1" max="52" width="1.7109375" style="110" customWidth="1"/>
    <col min="53" max="56" width="9.140625" style="110"/>
    <col min="57" max="57" width="16.140625" style="110" bestFit="1" customWidth="1"/>
    <col min="58" max="16384" width="9.140625" style="110"/>
  </cols>
  <sheetData>
    <row r="1" spans="1:52" x14ac:dyDescent="0.2">
      <c r="A1" s="145"/>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c r="AO1" s="145"/>
      <c r="AP1" s="145"/>
      <c r="AQ1" s="145"/>
      <c r="AR1" s="145"/>
      <c r="AS1" s="145"/>
      <c r="AT1" s="145"/>
      <c r="AU1" s="145"/>
      <c r="AV1" s="145"/>
      <c r="AW1" s="145"/>
      <c r="AX1" s="145"/>
      <c r="AY1" s="145"/>
      <c r="AZ1" s="145"/>
    </row>
    <row r="2" spans="1:52" x14ac:dyDescent="0.2">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row>
    <row r="3" spans="1:52" x14ac:dyDescent="0.2">
      <c r="A3" s="145"/>
      <c r="B3" s="145"/>
      <c r="C3" s="145"/>
      <c r="D3" s="145"/>
      <c r="E3" s="145"/>
      <c r="F3" s="145"/>
      <c r="G3" s="145"/>
      <c r="H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c r="AT3" s="145"/>
      <c r="AU3" s="145"/>
      <c r="AV3" s="145"/>
      <c r="AW3" s="145"/>
      <c r="AX3" s="145"/>
      <c r="AY3" s="145"/>
      <c r="AZ3" s="145"/>
    </row>
    <row r="4" spans="1:52" x14ac:dyDescent="0.2">
      <c r="A4" s="147" t="s">
        <v>331</v>
      </c>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row>
    <row r="5" spans="1:52" x14ac:dyDescent="0.2">
      <c r="A5" s="145"/>
      <c r="B5" s="145"/>
      <c r="C5" s="145"/>
      <c r="D5" s="145"/>
      <c r="E5" s="145"/>
      <c r="F5" s="145"/>
      <c r="G5" s="145"/>
      <c r="H5" s="145"/>
      <c r="I5" s="145"/>
      <c r="J5" s="145"/>
      <c r="K5" s="145"/>
      <c r="L5" s="145"/>
      <c r="M5" s="145"/>
      <c r="N5" s="145"/>
      <c r="O5" s="145"/>
      <c r="P5" s="145"/>
      <c r="Q5" s="145"/>
      <c r="R5" s="145"/>
      <c r="S5" s="145"/>
      <c r="T5" s="145"/>
      <c r="U5" s="145"/>
      <c r="V5" s="145"/>
      <c r="W5" s="145"/>
      <c r="X5" s="145"/>
      <c r="Y5" s="145"/>
      <c r="Z5" s="145"/>
      <c r="AA5" s="145"/>
      <c r="AB5" s="145"/>
      <c r="AC5" s="145"/>
      <c r="AD5" s="145"/>
      <c r="AE5" s="145"/>
      <c r="AF5" s="145"/>
      <c r="AG5" s="145"/>
      <c r="AH5" s="145"/>
      <c r="AI5" s="145"/>
      <c r="AJ5" s="145"/>
      <c r="AK5" s="145"/>
      <c r="AL5" s="145"/>
      <c r="AM5" s="145"/>
      <c r="AN5" s="145"/>
      <c r="AO5" s="145"/>
      <c r="AP5" s="145"/>
      <c r="AQ5" s="145"/>
      <c r="AR5" s="145"/>
      <c r="AS5" s="145"/>
      <c r="AT5" s="145"/>
      <c r="AU5" s="145"/>
      <c r="AV5" s="145"/>
      <c r="AW5" s="145"/>
      <c r="AX5" s="145"/>
      <c r="AY5" s="145"/>
      <c r="AZ5" s="145"/>
    </row>
    <row r="6" spans="1:52" x14ac:dyDescent="0.2">
      <c r="A6" s="143" t="s">
        <v>327</v>
      </c>
      <c r="B6" s="143"/>
      <c r="C6" s="143"/>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row>
    <row r="7" spans="1:52" x14ac:dyDescent="0.2">
      <c r="A7" s="143" t="s">
        <v>460</v>
      </c>
      <c r="B7" s="143"/>
      <c r="C7" s="143"/>
      <c r="D7" s="143"/>
      <c r="E7" s="143"/>
      <c r="F7" s="143"/>
      <c r="G7" s="143"/>
      <c r="H7" s="143"/>
      <c r="I7" s="143"/>
      <c r="J7" s="143"/>
      <c r="K7" s="143"/>
      <c r="L7" s="143"/>
      <c r="M7" s="143"/>
      <c r="N7" s="143"/>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row>
    <row r="8" spans="1:52" x14ac:dyDescent="0.2">
      <c r="A8" s="143"/>
      <c r="B8" s="143"/>
      <c r="C8" s="143"/>
      <c r="D8" s="143"/>
      <c r="E8" s="143"/>
      <c r="F8" s="143"/>
      <c r="G8" s="143"/>
      <c r="H8" s="143"/>
      <c r="I8" s="143"/>
      <c r="J8" s="143"/>
      <c r="K8" s="143"/>
      <c r="L8" s="143"/>
      <c r="M8" s="143"/>
      <c r="N8" s="143"/>
      <c r="O8" s="143"/>
      <c r="P8" s="143"/>
      <c r="Q8" s="143"/>
      <c r="R8" s="143"/>
      <c r="S8" s="143"/>
      <c r="T8" s="143"/>
      <c r="U8" s="143"/>
      <c r="V8" s="143"/>
      <c r="W8" s="143"/>
      <c r="X8" s="143"/>
      <c r="Y8" s="143"/>
      <c r="Z8" s="143"/>
      <c r="AA8" s="143"/>
      <c r="AB8" s="143"/>
      <c r="AC8" s="143"/>
      <c r="AD8" s="143"/>
      <c r="AE8" s="143"/>
      <c r="AF8" s="143"/>
      <c r="AG8" s="143"/>
      <c r="AH8" s="143"/>
      <c r="AI8" s="143"/>
      <c r="AJ8" s="143"/>
      <c r="AK8" s="143"/>
      <c r="AL8" s="143"/>
      <c r="AM8" s="143"/>
      <c r="AN8" s="143"/>
      <c r="AO8" s="143"/>
      <c r="AP8" s="143"/>
      <c r="AQ8" s="143"/>
      <c r="AR8" s="143"/>
      <c r="AS8" s="143"/>
      <c r="AT8" s="143"/>
      <c r="AU8" s="143"/>
      <c r="AV8" s="143"/>
      <c r="AW8" s="143"/>
      <c r="AX8" s="143"/>
      <c r="AY8" s="143"/>
      <c r="AZ8" s="143"/>
    </row>
    <row r="9" spans="1:52" x14ac:dyDescent="0.2">
      <c r="A9" s="145" t="s">
        <v>324</v>
      </c>
      <c r="B9" s="145"/>
      <c r="C9" s="145"/>
      <c r="D9" s="145"/>
      <c r="E9" s="145"/>
      <c r="F9" s="145"/>
      <c r="G9" s="145"/>
      <c r="H9" s="145"/>
      <c r="I9" s="145"/>
      <c r="J9" s="145"/>
      <c r="K9" s="145"/>
      <c r="L9" s="145"/>
      <c r="M9" s="145"/>
      <c r="N9" s="145"/>
      <c r="O9" s="145"/>
      <c r="P9" s="145"/>
      <c r="Q9" s="144" t="s">
        <v>325</v>
      </c>
      <c r="R9" s="144"/>
      <c r="S9" s="144"/>
      <c r="T9" s="143" t="s">
        <v>328</v>
      </c>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row>
    <row r="10" spans="1:52" ht="5.25" customHeight="1" x14ac:dyDescent="0.2">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row>
    <row r="11" spans="1:52" x14ac:dyDescent="0.2">
      <c r="A11" s="145" t="s">
        <v>324</v>
      </c>
      <c r="B11" s="145"/>
      <c r="C11" s="145"/>
      <c r="D11" s="145"/>
      <c r="E11" s="145"/>
      <c r="F11" s="145"/>
      <c r="G11" s="145"/>
      <c r="H11" s="145"/>
      <c r="I11" s="145"/>
      <c r="J11" s="145"/>
      <c r="K11" s="145"/>
      <c r="L11" s="145"/>
      <c r="M11" s="145"/>
      <c r="N11" s="145"/>
      <c r="O11" s="145"/>
      <c r="P11" s="145"/>
      <c r="Q11" s="146" t="s">
        <v>326</v>
      </c>
      <c r="R11" s="146"/>
      <c r="S11" s="146"/>
      <c r="T11" s="143" t="s">
        <v>329</v>
      </c>
      <c r="U11" s="143"/>
      <c r="V11" s="143"/>
      <c r="W11" s="143"/>
      <c r="X11" s="143"/>
      <c r="Y11" s="143"/>
      <c r="Z11" s="143"/>
      <c r="AA11" s="143"/>
      <c r="AB11" s="143"/>
      <c r="AC11" s="143"/>
      <c r="AD11" s="143"/>
      <c r="AE11" s="143"/>
      <c r="AF11" s="143"/>
      <c r="AG11" s="143"/>
      <c r="AH11" s="143"/>
      <c r="AI11" s="143"/>
      <c r="AJ11" s="143"/>
      <c r="AK11" s="143"/>
      <c r="AL11" s="143"/>
      <c r="AM11" s="143"/>
      <c r="AN11" s="143"/>
      <c r="AO11" s="143"/>
      <c r="AP11" s="143"/>
      <c r="AQ11" s="143"/>
      <c r="AR11" s="143"/>
      <c r="AS11" s="143"/>
      <c r="AT11" s="143"/>
      <c r="AU11" s="143"/>
      <c r="AV11" s="143"/>
      <c r="AW11" s="143"/>
      <c r="AX11" s="143"/>
      <c r="AY11" s="143"/>
      <c r="AZ11" s="143"/>
    </row>
    <row r="12" spans="1:52" ht="5.25" customHeight="1" x14ac:dyDescent="0.2">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row>
    <row r="13" spans="1:52" x14ac:dyDescent="0.2">
      <c r="A13" s="143" t="s">
        <v>330</v>
      </c>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c r="AA13" s="143"/>
      <c r="AB13" s="143"/>
      <c r="AC13" s="143"/>
      <c r="AD13" s="143"/>
      <c r="AE13" s="143"/>
      <c r="AF13" s="143"/>
      <c r="AG13" s="143"/>
      <c r="AH13" s="143"/>
      <c r="AI13" s="143"/>
      <c r="AJ13" s="143"/>
      <c r="AK13" s="143"/>
      <c r="AL13" s="143"/>
      <c r="AM13" s="143"/>
      <c r="AN13" s="143"/>
      <c r="AO13" s="143"/>
      <c r="AP13" s="143"/>
      <c r="AQ13" s="143"/>
      <c r="AR13" s="143"/>
      <c r="AS13" s="143"/>
      <c r="AT13" s="143"/>
      <c r="AU13" s="143"/>
      <c r="AV13" s="143"/>
      <c r="AW13" s="143"/>
      <c r="AX13" s="143"/>
      <c r="AY13" s="143"/>
      <c r="AZ13" s="143"/>
    </row>
    <row r="14" spans="1:52" ht="5.25" customHeight="1" x14ac:dyDescent="0.2">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row>
    <row r="15" spans="1:52" x14ac:dyDescent="0.2">
      <c r="A15" s="143" t="s">
        <v>465</v>
      </c>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43"/>
      <c r="AK15" s="143"/>
      <c r="AL15" s="143"/>
      <c r="AM15" s="143"/>
      <c r="AN15" s="143"/>
      <c r="AO15" s="143"/>
      <c r="AP15" s="143"/>
      <c r="AQ15" s="143"/>
      <c r="AR15" s="143"/>
      <c r="AS15" s="143"/>
      <c r="AT15" s="143"/>
      <c r="AU15" s="143"/>
      <c r="AV15" s="143"/>
      <c r="AW15" s="143"/>
      <c r="AX15" s="143"/>
      <c r="AY15" s="143"/>
      <c r="AZ15" s="143"/>
    </row>
    <row r="16" spans="1:52" x14ac:dyDescent="0.2">
      <c r="A16" s="143" t="s">
        <v>466</v>
      </c>
      <c r="B16" s="143"/>
      <c r="C16" s="143"/>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row>
    <row r="17" spans="1:52" ht="5.25" customHeight="1" x14ac:dyDescent="0.2">
      <c r="A17" s="143"/>
      <c r="B17" s="143"/>
      <c r="C17" s="143"/>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43"/>
      <c r="AK17" s="143"/>
      <c r="AL17" s="143"/>
      <c r="AM17" s="143"/>
      <c r="AN17" s="143"/>
      <c r="AO17" s="143"/>
      <c r="AP17" s="143"/>
      <c r="AQ17" s="143"/>
      <c r="AR17" s="143"/>
      <c r="AS17" s="143"/>
      <c r="AT17" s="143"/>
      <c r="AU17" s="143"/>
      <c r="AV17" s="143"/>
      <c r="AW17" s="143"/>
      <c r="AX17" s="143"/>
      <c r="AY17" s="143"/>
      <c r="AZ17" s="143"/>
    </row>
    <row r="18" spans="1:52" x14ac:dyDescent="0.2">
      <c r="A18" s="143" t="s">
        <v>468</v>
      </c>
      <c r="B18" s="143"/>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43"/>
      <c r="AK18" s="143"/>
      <c r="AL18" s="143"/>
      <c r="AM18" s="143"/>
      <c r="AN18" s="143"/>
      <c r="AO18" s="143"/>
      <c r="AP18" s="143"/>
      <c r="AQ18" s="143"/>
      <c r="AR18" s="143"/>
      <c r="AS18" s="143"/>
      <c r="AT18" s="143"/>
      <c r="AU18" s="143"/>
      <c r="AV18" s="143"/>
      <c r="AW18" s="143"/>
      <c r="AX18" s="143"/>
      <c r="AY18" s="143"/>
      <c r="AZ18" s="143"/>
    </row>
    <row r="19" spans="1:52" ht="5.25" customHeight="1" x14ac:dyDescent="0.2">
      <c r="A19" s="143"/>
      <c r="B19" s="143"/>
      <c r="C19" s="143"/>
      <c r="D19" s="143"/>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43"/>
      <c r="AK19" s="143"/>
      <c r="AL19" s="143"/>
      <c r="AM19" s="143"/>
      <c r="AN19" s="143"/>
      <c r="AO19" s="143"/>
      <c r="AP19" s="143"/>
      <c r="AQ19" s="143"/>
      <c r="AR19" s="143"/>
      <c r="AS19" s="143"/>
      <c r="AT19" s="143"/>
      <c r="AU19" s="143"/>
      <c r="AV19" s="143"/>
      <c r="AW19" s="143"/>
      <c r="AX19" s="143"/>
      <c r="AY19" s="143"/>
      <c r="AZ19" s="143"/>
    </row>
    <row r="20" spans="1:52" x14ac:dyDescent="0.2">
      <c r="A20" s="143" t="s">
        <v>349</v>
      </c>
      <c r="B20" s="143"/>
      <c r="C20" s="143"/>
      <c r="D20" s="143"/>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row>
    <row r="21" spans="1:52" x14ac:dyDescent="0.2">
      <c r="A21" s="143" t="s">
        <v>350</v>
      </c>
      <c r="B21" s="143"/>
      <c r="C21" s="14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row>
    <row r="22" spans="1:52" ht="5.25" customHeight="1" x14ac:dyDescent="0.2">
      <c r="A22" s="143"/>
      <c r="B22" s="143"/>
      <c r="C22" s="143"/>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row>
    <row r="23" spans="1:52" x14ac:dyDescent="0.2">
      <c r="A23" s="143" t="s">
        <v>517</v>
      </c>
      <c r="B23" s="143"/>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row>
    <row r="24" spans="1:52" x14ac:dyDescent="0.2">
      <c r="A24" s="143" t="s">
        <v>518</v>
      </c>
      <c r="B24" s="143"/>
      <c r="C24" s="143"/>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row>
    <row r="25" spans="1:52" ht="5.25" customHeight="1" x14ac:dyDescent="0.2">
      <c r="A25" s="143"/>
      <c r="B25" s="143"/>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row>
    <row r="26" spans="1:52" x14ac:dyDescent="0.2">
      <c r="A26" s="143" t="s">
        <v>345</v>
      </c>
      <c r="B26" s="143"/>
      <c r="C26" s="143"/>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row>
    <row r="27" spans="1:52" ht="5.25" customHeight="1" x14ac:dyDescent="0.2">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row>
    <row r="28" spans="1:52" x14ac:dyDescent="0.2">
      <c r="A28" s="143" t="s">
        <v>483</v>
      </c>
      <c r="B28" s="143"/>
      <c r="C28" s="143"/>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row>
    <row r="29" spans="1:52" x14ac:dyDescent="0.2">
      <c r="A29" s="143" t="s">
        <v>485</v>
      </c>
      <c r="B29" s="143"/>
      <c r="C29" s="143"/>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row>
    <row r="30" spans="1:52" x14ac:dyDescent="0.2">
      <c r="A30" s="143" t="s">
        <v>484</v>
      </c>
      <c r="B30" s="143"/>
      <c r="C30" s="143"/>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row>
    <row r="31" spans="1:52" ht="5.25" customHeight="1" x14ac:dyDescent="0.2">
      <c r="A31" s="143"/>
      <c r="B31" s="143"/>
      <c r="C31" s="143"/>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row>
    <row r="32" spans="1:52" x14ac:dyDescent="0.2">
      <c r="A32" s="143" t="s">
        <v>513</v>
      </c>
      <c r="B32" s="143"/>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row>
    <row r="33" spans="1:52" x14ac:dyDescent="0.2">
      <c r="A33" s="143" t="s">
        <v>514</v>
      </c>
      <c r="B33" s="143"/>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row>
    <row r="34" spans="1:52" ht="5.25" customHeight="1" x14ac:dyDescent="0.2">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row>
    <row r="35" spans="1:52" x14ac:dyDescent="0.2">
      <c r="A35" s="143" t="s">
        <v>469</v>
      </c>
      <c r="B35" s="143"/>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row>
    <row r="36" spans="1:52" x14ac:dyDescent="0.2">
      <c r="A36" s="143" t="s">
        <v>470</v>
      </c>
      <c r="B36" s="143"/>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row>
    <row r="37" spans="1:52" x14ac:dyDescent="0.2">
      <c r="A37" s="143" t="s">
        <v>471</v>
      </c>
      <c r="B37" s="143"/>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row>
    <row r="38" spans="1:52" ht="5.25" customHeight="1" x14ac:dyDescent="0.2">
      <c r="A38" s="143"/>
      <c r="B38" s="143"/>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row>
    <row r="39" spans="1:52" x14ac:dyDescent="0.2">
      <c r="A39" s="143" t="s">
        <v>332</v>
      </c>
      <c r="B39" s="143"/>
      <c r="C39" s="143"/>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row>
    <row r="40" spans="1:52" x14ac:dyDescent="0.2">
      <c r="A40" s="143" t="s">
        <v>337</v>
      </c>
      <c r="B40" s="143"/>
      <c r="C40" s="143"/>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row>
    <row r="41" spans="1:52" x14ac:dyDescent="0.2">
      <c r="A41" s="143" t="s">
        <v>333</v>
      </c>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row>
    <row r="42" spans="1:52" x14ac:dyDescent="0.2">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row>
    <row r="43" spans="1:52" x14ac:dyDescent="0.2">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row>
    <row r="44" spans="1:52" x14ac:dyDescent="0.2">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row>
    <row r="45" spans="1:52" x14ac:dyDescent="0.2">
      <c r="A45" s="152" t="s">
        <v>344</v>
      </c>
      <c r="B45" s="152"/>
      <c r="C45" s="152"/>
      <c r="D45" s="152"/>
      <c r="E45" s="152"/>
      <c r="F45" s="152"/>
      <c r="G45" s="152"/>
      <c r="H45" s="152"/>
      <c r="I45" s="152"/>
      <c r="J45" s="152"/>
      <c r="K45" s="152"/>
      <c r="L45" s="152"/>
      <c r="M45" s="152"/>
      <c r="N45" s="152"/>
      <c r="O45" s="152"/>
      <c r="P45" s="152"/>
      <c r="Q45" s="152"/>
      <c r="R45" s="152"/>
      <c r="S45" s="152"/>
      <c r="T45" s="152"/>
      <c r="U45" s="152"/>
      <c r="V45" s="152"/>
      <c r="W45" s="152"/>
      <c r="X45" s="152"/>
      <c r="Y45" s="152"/>
      <c r="Z45" s="152"/>
      <c r="AA45" s="152"/>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row>
    <row r="46" spans="1:52" x14ac:dyDescent="0.2">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row>
    <row r="47" spans="1:52" x14ac:dyDescent="0.2">
      <c r="A47" s="150" t="s">
        <v>341</v>
      </c>
      <c r="B47" s="150"/>
      <c r="C47" s="150"/>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0"/>
      <c r="AD47" s="150"/>
      <c r="AE47" s="150"/>
      <c r="AF47" s="150"/>
      <c r="AG47" s="150"/>
      <c r="AH47" s="150"/>
      <c r="AI47" s="150"/>
      <c r="AJ47" s="150"/>
      <c r="AK47" s="150"/>
      <c r="AL47" s="150"/>
      <c r="AM47" s="150"/>
      <c r="AN47" s="150"/>
      <c r="AO47" s="150"/>
      <c r="AP47" s="150"/>
      <c r="AQ47" s="150"/>
      <c r="AR47" s="150"/>
      <c r="AS47" s="150"/>
      <c r="AT47" s="150"/>
      <c r="AU47" s="150"/>
      <c r="AV47" s="150"/>
      <c r="AW47" s="150"/>
      <c r="AX47" s="150"/>
      <c r="AY47" s="150"/>
      <c r="AZ47" s="150"/>
    </row>
    <row r="48" spans="1:52" x14ac:dyDescent="0.2">
      <c r="A48" s="150" t="s">
        <v>338</v>
      </c>
      <c r="B48" s="150"/>
      <c r="C48" s="150"/>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150"/>
      <c r="AB48" s="150"/>
      <c r="AC48" s="150"/>
      <c r="AD48" s="150"/>
      <c r="AE48" s="150"/>
      <c r="AF48" s="150"/>
      <c r="AG48" s="150"/>
      <c r="AH48" s="150"/>
      <c r="AI48" s="150"/>
      <c r="AJ48" s="150"/>
      <c r="AK48" s="150"/>
      <c r="AL48" s="150"/>
      <c r="AM48" s="150"/>
      <c r="AN48" s="150"/>
      <c r="AO48" s="150"/>
      <c r="AP48" s="150"/>
      <c r="AQ48" s="150"/>
      <c r="AR48" s="150"/>
      <c r="AS48" s="150"/>
      <c r="AT48" s="150"/>
      <c r="AU48" s="150"/>
      <c r="AV48" s="150"/>
      <c r="AW48" s="150"/>
      <c r="AX48" s="150"/>
      <c r="AY48" s="150"/>
      <c r="AZ48" s="150"/>
    </row>
    <row r="49" spans="1:52" ht="5.25" customHeight="1" x14ac:dyDescent="0.2">
      <c r="A49" s="153"/>
      <c r="B49" s="153"/>
      <c r="C49" s="15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153"/>
      <c r="AB49" s="153"/>
      <c r="AC49" s="153"/>
      <c r="AD49" s="153"/>
      <c r="AE49" s="153"/>
      <c r="AF49" s="153"/>
      <c r="AG49" s="153"/>
      <c r="AH49" s="153"/>
      <c r="AI49" s="153"/>
      <c r="AJ49" s="153"/>
      <c r="AK49" s="153"/>
      <c r="AL49" s="153"/>
      <c r="AM49" s="153"/>
      <c r="AN49" s="153"/>
      <c r="AO49" s="153"/>
      <c r="AP49" s="153"/>
      <c r="AQ49" s="153"/>
      <c r="AR49" s="153"/>
      <c r="AS49" s="153"/>
      <c r="AT49" s="153"/>
      <c r="AU49" s="153"/>
      <c r="AV49" s="153"/>
      <c r="AW49" s="153"/>
      <c r="AX49" s="153"/>
      <c r="AY49" s="153"/>
      <c r="AZ49" s="153"/>
    </row>
    <row r="50" spans="1:52" x14ac:dyDescent="0.2">
      <c r="A50" s="151" t="s">
        <v>334</v>
      </c>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c r="AA50" s="151"/>
      <c r="AB50" s="151"/>
      <c r="AC50" s="151"/>
      <c r="AD50" s="151"/>
      <c r="AE50" s="151"/>
      <c r="AF50" s="151"/>
      <c r="AG50" s="151"/>
      <c r="AH50" s="151"/>
      <c r="AI50" s="151"/>
      <c r="AJ50" s="151"/>
      <c r="AK50" s="151"/>
      <c r="AL50" s="151"/>
      <c r="AM50" s="151"/>
      <c r="AN50" s="151"/>
      <c r="AO50" s="151"/>
      <c r="AP50" s="151"/>
      <c r="AQ50" s="151"/>
      <c r="AR50" s="151"/>
      <c r="AS50" s="151"/>
      <c r="AT50" s="151"/>
      <c r="AU50" s="151"/>
      <c r="AV50" s="151"/>
      <c r="AW50" s="151"/>
      <c r="AX50" s="151"/>
      <c r="AY50" s="151"/>
      <c r="AZ50" s="151"/>
    </row>
    <row r="51" spans="1:52" x14ac:dyDescent="0.2">
      <c r="A51" s="151" t="s">
        <v>336</v>
      </c>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1"/>
      <c r="AB51" s="151"/>
      <c r="AC51" s="151"/>
      <c r="AD51" s="151"/>
      <c r="AE51" s="151"/>
      <c r="AF51" s="151"/>
      <c r="AG51" s="151"/>
      <c r="AH51" s="151"/>
      <c r="AI51" s="151"/>
      <c r="AJ51" s="151"/>
      <c r="AK51" s="151"/>
      <c r="AL51" s="151"/>
      <c r="AM51" s="151"/>
      <c r="AN51" s="151"/>
      <c r="AO51" s="151"/>
      <c r="AP51" s="151"/>
      <c r="AQ51" s="151"/>
      <c r="AR51" s="151"/>
      <c r="AS51" s="151"/>
      <c r="AT51" s="151"/>
      <c r="AU51" s="151"/>
      <c r="AV51" s="151"/>
      <c r="AW51" s="151"/>
      <c r="AX51" s="151"/>
      <c r="AY51" s="151"/>
      <c r="AZ51" s="151"/>
    </row>
    <row r="52" spans="1:52" x14ac:dyDescent="0.2">
      <c r="A52" s="151" t="s">
        <v>335</v>
      </c>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151"/>
      <c r="Z52" s="151"/>
      <c r="AA52" s="151"/>
      <c r="AB52" s="151"/>
      <c r="AC52" s="151"/>
      <c r="AD52" s="151"/>
      <c r="AE52" s="151"/>
      <c r="AF52" s="151"/>
      <c r="AG52" s="151"/>
      <c r="AH52" s="151"/>
      <c r="AI52" s="151"/>
      <c r="AJ52" s="151"/>
      <c r="AK52" s="151"/>
      <c r="AL52" s="151"/>
      <c r="AM52" s="151"/>
      <c r="AN52" s="151"/>
      <c r="AO52" s="151"/>
      <c r="AP52" s="151"/>
      <c r="AQ52" s="151"/>
      <c r="AR52" s="151"/>
      <c r="AS52" s="151"/>
      <c r="AT52" s="151"/>
      <c r="AU52" s="151"/>
      <c r="AV52" s="151"/>
      <c r="AW52" s="151"/>
      <c r="AX52" s="151"/>
      <c r="AY52" s="151"/>
      <c r="AZ52" s="151"/>
    </row>
    <row r="53" spans="1:52" ht="5.25" customHeight="1" x14ac:dyDescent="0.2">
      <c r="A53" s="153"/>
      <c r="B53" s="153"/>
      <c r="C53" s="153"/>
      <c r="D53" s="153"/>
      <c r="E53" s="153"/>
      <c r="F53" s="153"/>
      <c r="G53" s="153"/>
      <c r="H53" s="153"/>
      <c r="I53" s="153"/>
      <c r="J53" s="153"/>
      <c r="K53" s="153"/>
      <c r="L53" s="153"/>
      <c r="M53" s="153"/>
      <c r="N53" s="153"/>
      <c r="O53" s="153"/>
      <c r="P53" s="153"/>
      <c r="Q53" s="153"/>
      <c r="R53" s="153"/>
      <c r="S53" s="153"/>
      <c r="T53" s="153"/>
      <c r="U53" s="153"/>
      <c r="V53" s="153"/>
      <c r="W53" s="153"/>
      <c r="X53" s="153"/>
      <c r="Y53" s="153"/>
      <c r="Z53" s="153"/>
      <c r="AA53" s="153"/>
      <c r="AB53" s="153"/>
      <c r="AC53" s="153"/>
      <c r="AD53" s="153"/>
      <c r="AE53" s="153"/>
      <c r="AF53" s="153"/>
      <c r="AG53" s="153"/>
      <c r="AH53" s="153"/>
      <c r="AI53" s="153"/>
      <c r="AJ53" s="153"/>
      <c r="AK53" s="153"/>
      <c r="AL53" s="153"/>
      <c r="AM53" s="153"/>
      <c r="AN53" s="153"/>
      <c r="AO53" s="153"/>
      <c r="AP53" s="153"/>
      <c r="AQ53" s="153"/>
      <c r="AR53" s="153"/>
      <c r="AS53" s="153"/>
      <c r="AT53" s="153"/>
      <c r="AU53" s="153"/>
      <c r="AV53" s="153"/>
      <c r="AW53" s="153"/>
      <c r="AX53" s="153"/>
      <c r="AY53" s="153"/>
      <c r="AZ53" s="153"/>
    </row>
    <row r="54" spans="1:52" x14ac:dyDescent="0.2">
      <c r="A54" s="150" t="s">
        <v>340</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row>
    <row r="55" spans="1:52" x14ac:dyDescent="0.2">
      <c r="A55" s="150" t="s">
        <v>339</v>
      </c>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50"/>
      <c r="AA55" s="150"/>
      <c r="AB55" s="150"/>
      <c r="AC55" s="150"/>
      <c r="AD55" s="150"/>
      <c r="AE55" s="150"/>
      <c r="AF55" s="150"/>
      <c r="AG55" s="150"/>
      <c r="AH55" s="150"/>
      <c r="AI55" s="150"/>
      <c r="AJ55" s="150"/>
      <c r="AK55" s="150"/>
      <c r="AL55" s="150"/>
      <c r="AM55" s="150"/>
      <c r="AN55" s="150"/>
      <c r="AO55" s="150"/>
      <c r="AP55" s="150"/>
      <c r="AQ55" s="150"/>
      <c r="AR55" s="150"/>
      <c r="AS55" s="150"/>
      <c r="AT55" s="150"/>
      <c r="AU55" s="150"/>
      <c r="AV55" s="150"/>
      <c r="AW55" s="150"/>
      <c r="AX55" s="150"/>
      <c r="AY55" s="150"/>
      <c r="AZ55" s="150"/>
    </row>
    <row r="56" spans="1:52" x14ac:dyDescent="0.2">
      <c r="A56" s="150" t="s">
        <v>342</v>
      </c>
      <c r="B56" s="150"/>
      <c r="C56" s="150"/>
      <c r="D56" s="150"/>
      <c r="E56" s="150"/>
      <c r="F56" s="150"/>
      <c r="G56" s="150"/>
      <c r="H56" s="150"/>
      <c r="I56" s="150"/>
      <c r="J56" s="150"/>
      <c r="K56" s="150"/>
      <c r="L56" s="150"/>
      <c r="M56" s="150"/>
      <c r="N56" s="150"/>
      <c r="O56" s="150"/>
      <c r="P56" s="150"/>
      <c r="Q56" s="150"/>
      <c r="R56" s="150"/>
      <c r="S56" s="150"/>
      <c r="T56" s="150"/>
      <c r="U56" s="150"/>
      <c r="V56" s="150"/>
      <c r="W56" s="150"/>
      <c r="X56" s="150"/>
      <c r="Y56" s="150"/>
      <c r="Z56" s="150"/>
      <c r="AA56" s="150"/>
      <c r="AB56" s="150"/>
      <c r="AC56" s="150"/>
      <c r="AD56" s="150"/>
      <c r="AE56" s="150"/>
      <c r="AF56" s="150"/>
      <c r="AG56" s="150"/>
      <c r="AH56" s="150"/>
      <c r="AI56" s="150"/>
      <c r="AJ56" s="150"/>
      <c r="AK56" s="150"/>
      <c r="AL56" s="150"/>
      <c r="AM56" s="150"/>
      <c r="AN56" s="150"/>
      <c r="AO56" s="150"/>
      <c r="AP56" s="150"/>
      <c r="AQ56" s="150"/>
      <c r="AR56" s="150"/>
      <c r="AS56" s="150"/>
      <c r="AT56" s="150"/>
      <c r="AU56" s="150"/>
      <c r="AV56" s="150"/>
      <c r="AW56" s="150"/>
      <c r="AX56" s="150"/>
      <c r="AY56" s="150"/>
      <c r="AZ56" s="150"/>
    </row>
    <row r="57" spans="1:52" x14ac:dyDescent="0.2">
      <c r="A57" s="150" t="s">
        <v>343</v>
      </c>
      <c r="B57" s="150"/>
      <c r="C57" s="150"/>
      <c r="D57" s="150"/>
      <c r="E57" s="150"/>
      <c r="F57" s="150"/>
      <c r="G57" s="150"/>
      <c r="H57" s="150"/>
      <c r="I57" s="150"/>
      <c r="J57" s="150"/>
      <c r="K57" s="150"/>
      <c r="L57" s="150"/>
      <c r="M57" s="150"/>
      <c r="N57" s="150"/>
      <c r="O57" s="150"/>
      <c r="P57" s="150"/>
      <c r="Q57" s="150"/>
      <c r="R57" s="150"/>
      <c r="S57" s="150"/>
      <c r="T57" s="150"/>
      <c r="U57" s="150"/>
      <c r="V57" s="150"/>
      <c r="W57" s="150"/>
      <c r="X57" s="150"/>
      <c r="Y57" s="150"/>
      <c r="Z57" s="150"/>
      <c r="AA57" s="150"/>
      <c r="AB57" s="150"/>
      <c r="AC57" s="150"/>
      <c r="AD57" s="150"/>
      <c r="AE57" s="150"/>
      <c r="AF57" s="150"/>
      <c r="AG57" s="150"/>
      <c r="AH57" s="150"/>
      <c r="AI57" s="150"/>
      <c r="AJ57" s="150"/>
      <c r="AK57" s="150"/>
      <c r="AL57" s="150"/>
      <c r="AM57" s="150"/>
      <c r="AN57" s="150"/>
      <c r="AO57" s="150"/>
      <c r="AP57" s="150"/>
      <c r="AQ57" s="150"/>
      <c r="AR57" s="150"/>
      <c r="AS57" s="150"/>
      <c r="AT57" s="150"/>
      <c r="AU57" s="150"/>
      <c r="AV57" s="150"/>
      <c r="AW57" s="150"/>
      <c r="AX57" s="150"/>
      <c r="AY57" s="150"/>
      <c r="AZ57" s="150"/>
    </row>
    <row r="58" spans="1:52" x14ac:dyDescent="0.2">
      <c r="A58" s="150"/>
      <c r="B58" s="150"/>
      <c r="C58" s="150"/>
      <c r="D58" s="150"/>
      <c r="E58" s="150"/>
      <c r="F58" s="150"/>
      <c r="G58" s="150"/>
      <c r="H58" s="150"/>
      <c r="I58" s="150"/>
      <c r="J58" s="150"/>
      <c r="K58" s="150"/>
      <c r="L58" s="150"/>
      <c r="M58" s="150"/>
      <c r="N58" s="150"/>
      <c r="O58" s="150"/>
      <c r="P58" s="150"/>
      <c r="Q58" s="150"/>
      <c r="R58" s="150"/>
      <c r="S58" s="150"/>
      <c r="T58" s="150"/>
      <c r="U58" s="150"/>
      <c r="V58" s="150"/>
      <c r="W58" s="150"/>
      <c r="X58" s="150"/>
      <c r="Y58" s="150"/>
      <c r="Z58" s="150"/>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row>
    <row r="59" spans="1:52" x14ac:dyDescent="0.2">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row>
    <row r="60" spans="1:52" x14ac:dyDescent="0.2">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row>
    <row r="61" spans="1:52" x14ac:dyDescent="0.2">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row>
    <row r="62" spans="1:52" x14ac:dyDescent="0.2">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row>
    <row r="63" spans="1:52" x14ac:dyDescent="0.2">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row>
    <row r="64" spans="1:52" x14ac:dyDescent="0.2">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row>
    <row r="65" spans="1:52" x14ac:dyDescent="0.2">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row>
    <row r="66" spans="1:52" x14ac:dyDescent="0.2">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143"/>
    </row>
    <row r="67" spans="1:52" x14ac:dyDescent="0.2">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143"/>
    </row>
    <row r="68" spans="1:52" x14ac:dyDescent="0.2">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143"/>
    </row>
    <row r="69" spans="1:52" x14ac:dyDescent="0.2">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143"/>
    </row>
    <row r="70" spans="1:52" x14ac:dyDescent="0.2">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143"/>
    </row>
    <row r="71" spans="1:52" x14ac:dyDescent="0.2">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143"/>
    </row>
    <row r="72" spans="1:52" s="6" customFormat="1" ht="13.5" customHeight="1" x14ac:dyDescent="0.2">
      <c r="A72" s="148" t="s">
        <v>323</v>
      </c>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9" t="str">
        <f>'Data Entry'!AK9</f>
        <v>LTS-CUS-F-01 rev 2.0</v>
      </c>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149"/>
    </row>
  </sheetData>
  <mergeCells count="75">
    <mergeCell ref="A27:AZ27"/>
    <mergeCell ref="A28:AZ28"/>
    <mergeCell ref="A29:AZ29"/>
    <mergeCell ref="A62:AZ62"/>
    <mergeCell ref="A65:AZ65"/>
    <mergeCell ref="A41:AZ41"/>
    <mergeCell ref="A42:AZ42"/>
    <mergeCell ref="A46:AZ46"/>
    <mergeCell ref="A47:AZ47"/>
    <mergeCell ref="A43:AZ43"/>
    <mergeCell ref="A44:AZ44"/>
    <mergeCell ref="A45:AZ45"/>
    <mergeCell ref="A50:AZ50"/>
    <mergeCell ref="A54:AZ54"/>
    <mergeCell ref="A53:AZ53"/>
    <mergeCell ref="A49:AZ49"/>
    <mergeCell ref="A51:AZ51"/>
    <mergeCell ref="A61:AZ61"/>
    <mergeCell ref="A57:AZ57"/>
    <mergeCell ref="A58:AZ58"/>
    <mergeCell ref="A59:AZ59"/>
    <mergeCell ref="A60:AZ60"/>
    <mergeCell ref="A18:AZ18"/>
    <mergeCell ref="A37:AZ37"/>
    <mergeCell ref="A72:Z72"/>
    <mergeCell ref="AA72:AZ72"/>
    <mergeCell ref="A63:AZ63"/>
    <mergeCell ref="A70:AZ70"/>
    <mergeCell ref="A71:AZ71"/>
    <mergeCell ref="A68:AZ68"/>
    <mergeCell ref="A69:AZ69"/>
    <mergeCell ref="A64:AZ64"/>
    <mergeCell ref="A67:AZ67"/>
    <mergeCell ref="A66:AZ66"/>
    <mergeCell ref="A55:AZ55"/>
    <mergeCell ref="A48:AZ48"/>
    <mergeCell ref="A52:AZ52"/>
    <mergeCell ref="A56:AZ56"/>
    <mergeCell ref="A22:AZ22"/>
    <mergeCell ref="A26:AZ26"/>
    <mergeCell ref="A40:AZ40"/>
    <mergeCell ref="A19:AZ19"/>
    <mergeCell ref="A36:AZ36"/>
    <mergeCell ref="A38:AZ38"/>
    <mergeCell ref="A32:AZ32"/>
    <mergeCell ref="A31:AZ31"/>
    <mergeCell ref="A33:AZ33"/>
    <mergeCell ref="A39:AZ39"/>
    <mergeCell ref="A21:AZ21"/>
    <mergeCell ref="A34:AZ34"/>
    <mergeCell ref="A23:AZ23"/>
    <mergeCell ref="A24:AZ24"/>
    <mergeCell ref="A25:AZ25"/>
    <mergeCell ref="A35:AZ35"/>
    <mergeCell ref="A1:AZ3"/>
    <mergeCell ref="A4:AZ4"/>
    <mergeCell ref="A5:AZ5"/>
    <mergeCell ref="A6:AZ6"/>
    <mergeCell ref="A7:AZ7"/>
    <mergeCell ref="A30:AZ30"/>
    <mergeCell ref="A8:AZ8"/>
    <mergeCell ref="A10:AZ10"/>
    <mergeCell ref="A13:AZ13"/>
    <mergeCell ref="A15:AZ15"/>
    <mergeCell ref="A16:AZ16"/>
    <mergeCell ref="T11:AZ11"/>
    <mergeCell ref="Q9:S9"/>
    <mergeCell ref="A9:P9"/>
    <mergeCell ref="T9:AZ9"/>
    <mergeCell ref="A12:AZ12"/>
    <mergeCell ref="A14:AZ14"/>
    <mergeCell ref="A11:P11"/>
    <mergeCell ref="Q11:S11"/>
    <mergeCell ref="A17:AZ17"/>
    <mergeCell ref="A20:AZ20"/>
  </mergeCell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tabColor rgb="FF002060"/>
  </sheetPr>
  <dimension ref="A1:BP105"/>
  <sheetViews>
    <sheetView tabSelected="1" workbookViewId="0">
      <selection activeCell="N20" sqref="N20:AJ20"/>
    </sheetView>
  </sheetViews>
  <sheetFormatPr defaultColWidth="9.140625" defaultRowHeight="12" customHeight="1" x14ac:dyDescent="0.2"/>
  <cols>
    <col min="1" max="52" width="1.7109375" style="6" customWidth="1"/>
    <col min="53" max="54" width="4.7109375" style="6" customWidth="1"/>
    <col min="55" max="55" width="28.7109375" style="6" customWidth="1"/>
    <col min="56" max="62" width="9.140625" style="6"/>
    <col min="63" max="64" width="9.140625" style="6" hidden="1" customWidth="1"/>
    <col min="65" max="65" width="16.7109375" style="91" hidden="1" customWidth="1"/>
    <col min="66" max="68" width="9.140625" style="6" hidden="1" customWidth="1"/>
    <col min="69" max="16384" width="9.140625" style="6"/>
  </cols>
  <sheetData>
    <row r="1" spans="1:68"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K1" s="6">
        <v>0</v>
      </c>
      <c r="BM1" s="1" t="s">
        <v>244</v>
      </c>
      <c r="BP1" s="6" t="s">
        <v>146</v>
      </c>
    </row>
    <row r="2" spans="1:68"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c r="BK2" s="6">
        <v>1</v>
      </c>
      <c r="BM2" s="111">
        <v>1</v>
      </c>
      <c r="BP2" s="6" t="s">
        <v>147</v>
      </c>
    </row>
    <row r="3" spans="1:68"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K3" s="6">
        <v>2</v>
      </c>
      <c r="BM3" s="2" t="s">
        <v>165</v>
      </c>
      <c r="BP3" s="6" t="s">
        <v>148</v>
      </c>
    </row>
    <row r="4" spans="1:68" ht="12" customHeight="1" x14ac:dyDescent="0.2">
      <c r="A4" s="164" t="s">
        <v>104</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K4" s="6">
        <v>3</v>
      </c>
      <c r="BP4" s="6" t="s">
        <v>149</v>
      </c>
    </row>
    <row r="5" spans="1:68" ht="12" customHeight="1" x14ac:dyDescent="0.2">
      <c r="A5" s="196"/>
      <c r="B5" s="196"/>
      <c r="C5" s="196"/>
      <c r="D5" s="196"/>
      <c r="E5" s="196"/>
      <c r="F5" s="196"/>
      <c r="G5" s="196"/>
      <c r="H5" s="196"/>
      <c r="I5" s="196"/>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K5" s="6">
        <v>4</v>
      </c>
      <c r="BM5" s="1" t="s">
        <v>132</v>
      </c>
      <c r="BP5" s="6" t="s">
        <v>150</v>
      </c>
    </row>
    <row r="6" spans="1:68" ht="12" customHeight="1" x14ac:dyDescent="0.2">
      <c r="A6" s="155" t="s">
        <v>105</v>
      </c>
      <c r="B6" s="155"/>
      <c r="C6" s="155"/>
      <c r="D6" s="155"/>
      <c r="E6" s="155"/>
      <c r="F6" s="155"/>
      <c r="G6" s="155"/>
      <c r="H6" s="155"/>
      <c r="I6" s="155"/>
      <c r="J6" s="155"/>
      <c r="K6" s="155"/>
      <c r="L6" s="155"/>
      <c r="M6" s="6" t="s">
        <v>0</v>
      </c>
      <c r="N6" s="156"/>
      <c r="O6" s="156"/>
      <c r="P6" s="156"/>
      <c r="Q6" s="156"/>
      <c r="R6" s="156"/>
      <c r="S6" s="156"/>
      <c r="T6" s="156"/>
      <c r="U6" s="156"/>
      <c r="V6" s="156"/>
      <c r="W6" s="156"/>
      <c r="X6" s="156"/>
      <c r="Y6" s="156"/>
      <c r="Z6" s="156"/>
      <c r="AA6" s="156"/>
      <c r="AB6" s="156"/>
      <c r="AC6" s="156"/>
      <c r="AD6" s="156"/>
      <c r="AE6" s="156"/>
      <c r="AF6" s="156"/>
      <c r="AG6" s="156"/>
      <c r="AH6" s="156"/>
      <c r="AI6" s="156"/>
      <c r="AJ6" s="156"/>
      <c r="AK6" s="154"/>
      <c r="AL6" s="154"/>
      <c r="AM6" s="154"/>
      <c r="AN6" s="154"/>
      <c r="AO6" s="154"/>
      <c r="AP6" s="154"/>
      <c r="AQ6" s="154"/>
      <c r="AR6" s="154"/>
      <c r="AS6" s="154"/>
      <c r="AT6" s="154"/>
      <c r="AU6" s="154"/>
      <c r="AV6" s="154"/>
      <c r="AW6" s="154"/>
      <c r="AX6" s="154"/>
      <c r="AY6" s="154"/>
      <c r="AZ6" s="154"/>
      <c r="BK6" s="6">
        <v>5</v>
      </c>
      <c r="BM6" s="111">
        <v>6</v>
      </c>
      <c r="BP6" s="6" t="s">
        <v>151</v>
      </c>
    </row>
    <row r="7" spans="1:68" ht="12" customHeight="1" x14ac:dyDescent="0.2">
      <c r="A7" s="155" t="s">
        <v>239</v>
      </c>
      <c r="B7" s="155"/>
      <c r="C7" s="155"/>
      <c r="D7" s="155"/>
      <c r="E7" s="155"/>
      <c r="F7" s="155"/>
      <c r="G7" s="155"/>
      <c r="H7" s="155"/>
      <c r="I7" s="155"/>
      <c r="J7" s="155"/>
      <c r="K7" s="155"/>
      <c r="L7" s="155"/>
      <c r="M7" s="6" t="s">
        <v>0</v>
      </c>
      <c r="N7" s="163"/>
      <c r="O7" s="163"/>
      <c r="P7" s="163"/>
      <c r="Q7" s="163"/>
      <c r="R7" s="163"/>
      <c r="S7" s="163"/>
      <c r="T7" s="163"/>
      <c r="U7" s="163"/>
      <c r="V7" s="163"/>
      <c r="W7" s="163"/>
      <c r="X7" s="163"/>
      <c r="Y7" s="163"/>
      <c r="Z7" s="163"/>
      <c r="AA7" s="163"/>
      <c r="AB7" s="163"/>
      <c r="AC7" s="163"/>
      <c r="AD7" s="163"/>
      <c r="AE7" s="163"/>
      <c r="AF7" s="163"/>
      <c r="AG7" s="163"/>
      <c r="AH7" s="163"/>
      <c r="AI7" s="163"/>
      <c r="AJ7" s="163"/>
      <c r="AK7" s="154"/>
      <c r="AL7" s="154"/>
      <c r="AM7" s="154"/>
      <c r="AN7" s="154"/>
      <c r="AO7" s="154"/>
      <c r="AP7" s="154"/>
      <c r="AQ7" s="154"/>
      <c r="AR7" s="154"/>
      <c r="AS7" s="154"/>
      <c r="AT7" s="154"/>
      <c r="AU7" s="154"/>
      <c r="AV7" s="154"/>
      <c r="AW7" s="154"/>
      <c r="AX7" s="154"/>
      <c r="AY7" s="154"/>
      <c r="AZ7" s="154"/>
      <c r="BK7" s="6">
        <v>6</v>
      </c>
      <c r="BM7" s="2" t="s">
        <v>103</v>
      </c>
    </row>
    <row r="8" spans="1:68" ht="12" customHeight="1" x14ac:dyDescent="0.2">
      <c r="A8" s="155" t="s">
        <v>240</v>
      </c>
      <c r="B8" s="155"/>
      <c r="C8" s="155"/>
      <c r="D8" s="155"/>
      <c r="E8" s="155"/>
      <c r="F8" s="155"/>
      <c r="G8" s="155"/>
      <c r="H8" s="155"/>
      <c r="I8" s="155"/>
      <c r="J8" s="155"/>
      <c r="K8" s="155"/>
      <c r="L8" s="155"/>
      <c r="M8" s="6" t="s">
        <v>0</v>
      </c>
      <c r="N8" s="156"/>
      <c r="O8" s="156"/>
      <c r="P8" s="156"/>
      <c r="Q8" s="156"/>
      <c r="R8" s="156"/>
      <c r="S8" s="156"/>
      <c r="T8" s="156"/>
      <c r="U8" s="156"/>
      <c r="V8" s="156"/>
      <c r="W8" s="156"/>
      <c r="X8" s="156"/>
      <c r="Y8" s="156"/>
      <c r="Z8" s="156"/>
      <c r="AA8" s="156"/>
      <c r="AB8" s="156"/>
      <c r="AC8" s="156"/>
      <c r="AD8" s="156"/>
      <c r="AE8" s="156"/>
      <c r="AF8" s="156"/>
      <c r="AG8" s="156"/>
      <c r="AH8" s="156"/>
      <c r="AI8" s="156"/>
      <c r="AJ8" s="157"/>
      <c r="AK8" s="158" t="s">
        <v>106</v>
      </c>
      <c r="AL8" s="158"/>
      <c r="AM8" s="158"/>
      <c r="AN8" s="158"/>
      <c r="AO8" s="158"/>
      <c r="AP8" s="158"/>
      <c r="AQ8" s="158"/>
      <c r="AR8" s="158"/>
      <c r="AS8" s="158"/>
      <c r="AT8" s="158"/>
      <c r="AU8" s="158"/>
      <c r="AV8" s="158"/>
      <c r="AW8" s="158"/>
      <c r="AX8" s="158"/>
      <c r="AY8" s="158"/>
      <c r="AZ8" s="158"/>
      <c r="BK8" s="6">
        <v>7</v>
      </c>
    </row>
    <row r="9" spans="1:68" ht="12" customHeight="1" x14ac:dyDescent="0.2">
      <c r="A9" s="200" t="s">
        <v>241</v>
      </c>
      <c r="B9" s="200"/>
      <c r="C9" s="200"/>
      <c r="D9" s="200"/>
      <c r="E9" s="200"/>
      <c r="F9" s="200"/>
      <c r="G9" s="200"/>
      <c r="H9" s="200"/>
      <c r="I9" s="200"/>
      <c r="J9" s="200"/>
      <c r="K9" s="200"/>
      <c r="L9" s="200"/>
      <c r="M9" s="3" t="s">
        <v>0</v>
      </c>
      <c r="N9" s="156"/>
      <c r="O9" s="156"/>
      <c r="P9" s="156"/>
      <c r="Q9" s="156"/>
      <c r="R9" s="156"/>
      <c r="S9" s="156"/>
      <c r="T9" s="156"/>
      <c r="U9" s="156"/>
      <c r="V9" s="156"/>
      <c r="W9" s="156"/>
      <c r="X9" s="156"/>
      <c r="Y9" s="156"/>
      <c r="Z9" s="156"/>
      <c r="AA9" s="156"/>
      <c r="AB9" s="156"/>
      <c r="AC9" s="156"/>
      <c r="AD9" s="156"/>
      <c r="AE9" s="156"/>
      <c r="AF9" s="156"/>
      <c r="AG9" s="156"/>
      <c r="AH9" s="156"/>
      <c r="AI9" s="156"/>
      <c r="AJ9" s="157"/>
      <c r="AK9" s="197" t="s">
        <v>543</v>
      </c>
      <c r="AL9" s="198"/>
      <c r="AM9" s="198"/>
      <c r="AN9" s="198"/>
      <c r="AO9" s="198"/>
      <c r="AP9" s="198"/>
      <c r="AQ9" s="198"/>
      <c r="AR9" s="198"/>
      <c r="AS9" s="198"/>
      <c r="AT9" s="198"/>
      <c r="AU9" s="198"/>
      <c r="AV9" s="198"/>
      <c r="AW9" s="198"/>
      <c r="AX9" s="198"/>
      <c r="AY9" s="198"/>
      <c r="AZ9" s="199"/>
      <c r="BK9" s="6">
        <v>8</v>
      </c>
      <c r="BM9" s="1"/>
      <c r="BP9" s="6" t="s">
        <v>93</v>
      </c>
    </row>
    <row r="10" spans="1:68" ht="12" customHeight="1" x14ac:dyDescent="0.2">
      <c r="A10" s="159" t="str">
        <f>IF($G$43=1,"DELIVERY DATE","#1 DELIVERY DATE")</f>
        <v>DELIVERY DATE</v>
      </c>
      <c r="B10" s="159"/>
      <c r="C10" s="159"/>
      <c r="D10" s="159"/>
      <c r="E10" s="159"/>
      <c r="F10" s="159"/>
      <c r="G10" s="159"/>
      <c r="H10" s="159"/>
      <c r="I10" s="159"/>
      <c r="J10" s="159"/>
      <c r="K10" s="159"/>
      <c r="L10" s="159"/>
      <c r="M10" s="109" t="s">
        <v>0</v>
      </c>
      <c r="N10" s="160"/>
      <c r="O10" s="160"/>
      <c r="P10" s="160"/>
      <c r="Q10" s="160"/>
      <c r="R10" s="160"/>
      <c r="S10" s="160"/>
      <c r="T10" s="160"/>
      <c r="U10" s="160"/>
      <c r="V10" s="160"/>
      <c r="W10" s="160"/>
      <c r="X10" s="160"/>
      <c r="Y10" s="160"/>
      <c r="Z10" s="160"/>
      <c r="AA10" s="160"/>
      <c r="AB10" s="160"/>
      <c r="AC10" s="160"/>
      <c r="AD10" s="160"/>
      <c r="AE10" s="160"/>
      <c r="AF10" s="160"/>
      <c r="AG10" s="160"/>
      <c r="AH10" s="160"/>
      <c r="AI10" s="160"/>
      <c r="AJ10" s="160"/>
      <c r="AK10" s="161" t="s">
        <v>108</v>
      </c>
      <c r="AL10" s="161"/>
      <c r="AM10" s="161"/>
      <c r="AN10" s="161"/>
      <c r="AO10" s="161"/>
      <c r="AP10" s="161"/>
      <c r="AQ10" s="161"/>
      <c r="AR10" s="161"/>
      <c r="AS10" s="161"/>
      <c r="AT10" s="161"/>
      <c r="AU10" s="161"/>
      <c r="AV10" s="161"/>
      <c r="AW10" s="161"/>
      <c r="AX10" s="161"/>
      <c r="AY10" s="161"/>
      <c r="AZ10" s="161"/>
      <c r="BK10" s="6">
        <v>9</v>
      </c>
      <c r="BM10" s="111"/>
      <c r="BP10" s="6" t="s">
        <v>94</v>
      </c>
    </row>
    <row r="11" spans="1:68" ht="12" customHeight="1" x14ac:dyDescent="0.2">
      <c r="A11" s="155" t="str">
        <f>IF($G$43=1,"SUPPLIER NAME","#1 SUPPLIER NAME")</f>
        <v>SUPPLIER NAME</v>
      </c>
      <c r="B11" s="155"/>
      <c r="C11" s="155"/>
      <c r="D11" s="155"/>
      <c r="E11" s="155"/>
      <c r="F11" s="155"/>
      <c r="G11" s="155"/>
      <c r="H11" s="155"/>
      <c r="I11" s="155"/>
      <c r="J11" s="155"/>
      <c r="K11" s="155"/>
      <c r="L11" s="155"/>
      <c r="M11" s="6" t="s">
        <v>0</v>
      </c>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61"/>
      <c r="AL11" s="161"/>
      <c r="AM11" s="161"/>
      <c r="AN11" s="161"/>
      <c r="AO11" s="161"/>
      <c r="AP11" s="161"/>
      <c r="AQ11" s="161"/>
      <c r="AR11" s="161"/>
      <c r="AS11" s="161"/>
      <c r="AT11" s="161"/>
      <c r="AU11" s="161"/>
      <c r="AV11" s="161"/>
      <c r="AW11" s="161"/>
      <c r="AX11" s="161"/>
      <c r="AY11" s="161"/>
      <c r="AZ11" s="161"/>
      <c r="BK11" s="6">
        <v>10</v>
      </c>
      <c r="BM11" s="2"/>
    </row>
    <row r="12" spans="1:68" ht="12" customHeight="1" x14ac:dyDescent="0.2">
      <c r="A12" s="155" t="str">
        <f>IF($G$43=1,"BARGE NAME","#1 BARGE NAME")</f>
        <v>BARGE NAME</v>
      </c>
      <c r="B12" s="155"/>
      <c r="C12" s="155"/>
      <c r="D12" s="155"/>
      <c r="E12" s="155"/>
      <c r="F12" s="155"/>
      <c r="G12" s="155"/>
      <c r="H12" s="155"/>
      <c r="I12" s="155"/>
      <c r="J12" s="155"/>
      <c r="K12" s="155"/>
      <c r="L12" s="155"/>
      <c r="M12" s="6" t="s">
        <v>0</v>
      </c>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61"/>
      <c r="AL12" s="161"/>
      <c r="AM12" s="161"/>
      <c r="AN12" s="161"/>
      <c r="AO12" s="161"/>
      <c r="AP12" s="161"/>
      <c r="AQ12" s="161"/>
      <c r="AR12" s="161"/>
      <c r="AS12" s="161"/>
      <c r="AT12" s="161"/>
      <c r="AU12" s="161"/>
      <c r="AV12" s="161"/>
      <c r="AW12" s="161"/>
      <c r="AX12" s="161"/>
      <c r="AY12" s="161"/>
      <c r="AZ12" s="161"/>
      <c r="BK12" s="6">
        <v>11</v>
      </c>
    </row>
    <row r="13" spans="1:68" ht="12" customHeight="1" x14ac:dyDescent="0.2">
      <c r="A13" s="155" t="str">
        <f>IF($G$43=1,"BARGE CAPTAIN NAME","#1 BARGE CAPTAIN NAME")</f>
        <v>BARGE CAPTAIN NAME</v>
      </c>
      <c r="B13" s="155"/>
      <c r="C13" s="155"/>
      <c r="D13" s="155"/>
      <c r="E13" s="155"/>
      <c r="F13" s="155"/>
      <c r="G13" s="155"/>
      <c r="H13" s="155"/>
      <c r="I13" s="155"/>
      <c r="J13" s="155"/>
      <c r="K13" s="155"/>
      <c r="L13" s="155"/>
      <c r="M13" s="6" t="s">
        <v>0</v>
      </c>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7"/>
      <c r="AK13" s="161"/>
      <c r="AL13" s="161"/>
      <c r="AM13" s="161"/>
      <c r="AN13" s="161"/>
      <c r="AO13" s="161"/>
      <c r="AP13" s="161"/>
      <c r="AQ13" s="161"/>
      <c r="AR13" s="161"/>
      <c r="AS13" s="161"/>
      <c r="AT13" s="161"/>
      <c r="AU13" s="161"/>
      <c r="AV13" s="161"/>
      <c r="AW13" s="161"/>
      <c r="AX13" s="161"/>
      <c r="AY13" s="161"/>
      <c r="AZ13" s="161"/>
      <c r="BK13" s="6">
        <v>12</v>
      </c>
      <c r="BM13" s="1" t="s">
        <v>111</v>
      </c>
    </row>
    <row r="14" spans="1:68" ht="12" customHeight="1" x14ac:dyDescent="0.2">
      <c r="A14" s="155" t="str">
        <f>IF($G$43=1,"GRADE","#1 GRADE")</f>
        <v>GRADE</v>
      </c>
      <c r="B14" s="155"/>
      <c r="C14" s="155"/>
      <c r="D14" s="155"/>
      <c r="E14" s="155"/>
      <c r="F14" s="155"/>
      <c r="G14" s="155"/>
      <c r="H14" s="155"/>
      <c r="I14" s="155"/>
      <c r="J14" s="155"/>
      <c r="K14" s="155"/>
      <c r="L14" s="155"/>
      <c r="M14" s="10" t="s">
        <v>0</v>
      </c>
      <c r="N14" s="203"/>
      <c r="O14" s="203"/>
      <c r="P14" s="203"/>
      <c r="Q14" s="203"/>
      <c r="R14" s="203"/>
      <c r="S14" s="203"/>
      <c r="T14" s="203"/>
      <c r="U14" s="203"/>
      <c r="V14" s="203"/>
      <c r="W14" s="203"/>
      <c r="X14" s="203"/>
      <c r="Y14" s="203"/>
      <c r="Z14" s="203"/>
      <c r="AA14" s="203"/>
      <c r="AB14" s="203"/>
      <c r="AC14" s="203"/>
      <c r="AD14" s="203"/>
      <c r="AE14" s="203"/>
      <c r="AF14" s="203"/>
      <c r="AG14" s="203"/>
      <c r="AH14" s="203"/>
      <c r="AI14" s="203"/>
      <c r="AJ14" s="203"/>
      <c r="AK14" s="161"/>
      <c r="AL14" s="161"/>
      <c r="AM14" s="161"/>
      <c r="AN14" s="161"/>
      <c r="AO14" s="161"/>
      <c r="AP14" s="161"/>
      <c r="AQ14" s="161"/>
      <c r="AR14" s="161"/>
      <c r="AS14" s="161"/>
      <c r="AT14" s="161"/>
      <c r="AU14" s="161"/>
      <c r="AV14" s="161"/>
      <c r="AW14" s="161"/>
      <c r="AX14" s="161"/>
      <c r="AY14" s="161"/>
      <c r="AZ14" s="161"/>
      <c r="BB14" s="13"/>
      <c r="BC14" s="13"/>
      <c r="BK14" s="6">
        <v>13</v>
      </c>
      <c r="BM14" s="111">
        <v>2</v>
      </c>
    </row>
    <row r="15" spans="1:68" ht="12" customHeight="1" x14ac:dyDescent="0.2">
      <c r="A15" s="159" t="str">
        <f>IF($G$43=1,"","# 2 DELIVERY DATE")</f>
        <v/>
      </c>
      <c r="B15" s="159"/>
      <c r="C15" s="159"/>
      <c r="D15" s="159"/>
      <c r="E15" s="159"/>
      <c r="F15" s="159"/>
      <c r="G15" s="159"/>
      <c r="H15" s="159"/>
      <c r="I15" s="159"/>
      <c r="J15" s="159"/>
      <c r="K15" s="159"/>
      <c r="L15" s="159"/>
      <c r="M15" s="109" t="str">
        <f>IF($G$43=1,"",":")</f>
        <v/>
      </c>
      <c r="N15" s="160"/>
      <c r="O15" s="160"/>
      <c r="P15" s="160"/>
      <c r="Q15" s="160"/>
      <c r="R15" s="160"/>
      <c r="S15" s="160"/>
      <c r="T15" s="160"/>
      <c r="U15" s="160"/>
      <c r="V15" s="160"/>
      <c r="W15" s="160"/>
      <c r="X15" s="160"/>
      <c r="Y15" s="160"/>
      <c r="Z15" s="160"/>
      <c r="AA15" s="160"/>
      <c r="AB15" s="160"/>
      <c r="AC15" s="160"/>
      <c r="AD15" s="160"/>
      <c r="AE15" s="160"/>
      <c r="AF15" s="160"/>
      <c r="AG15" s="160"/>
      <c r="AH15" s="160"/>
      <c r="AI15" s="160"/>
      <c r="AJ15" s="160"/>
      <c r="AK15" s="161"/>
      <c r="AL15" s="161"/>
      <c r="AM15" s="161"/>
      <c r="AN15" s="161"/>
      <c r="AO15" s="161"/>
      <c r="AP15" s="161"/>
      <c r="AQ15" s="161"/>
      <c r="AR15" s="161"/>
      <c r="AS15" s="161"/>
      <c r="AT15" s="161"/>
      <c r="AU15" s="161"/>
      <c r="AV15" s="161"/>
      <c r="AW15" s="161"/>
      <c r="AX15" s="161"/>
      <c r="AY15" s="161"/>
      <c r="AZ15" s="161"/>
      <c r="BB15" s="13"/>
      <c r="BC15" s="13"/>
      <c r="BK15" s="6">
        <v>14</v>
      </c>
      <c r="BM15" s="2" t="s">
        <v>112</v>
      </c>
    </row>
    <row r="16" spans="1:68" ht="12" customHeight="1" x14ac:dyDescent="0.2">
      <c r="A16" s="155" t="str">
        <f>IF($G$43=1,"","# 2 SUPPLIER NAME")</f>
        <v/>
      </c>
      <c r="B16" s="155"/>
      <c r="C16" s="155"/>
      <c r="D16" s="155"/>
      <c r="E16" s="155"/>
      <c r="F16" s="155"/>
      <c r="G16" s="155"/>
      <c r="H16" s="155"/>
      <c r="I16" s="155"/>
      <c r="J16" s="155"/>
      <c r="K16" s="155"/>
      <c r="L16" s="155"/>
      <c r="M16" s="6" t="str">
        <f>IF($G$43=1,"",":")</f>
        <v/>
      </c>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61"/>
      <c r="AL16" s="161"/>
      <c r="AM16" s="161"/>
      <c r="AN16" s="161"/>
      <c r="AO16" s="161"/>
      <c r="AP16" s="161"/>
      <c r="AQ16" s="161"/>
      <c r="AR16" s="161"/>
      <c r="AS16" s="161"/>
      <c r="AT16" s="161"/>
      <c r="AU16" s="161"/>
      <c r="AV16" s="161"/>
      <c r="AW16" s="161"/>
      <c r="AX16" s="161"/>
      <c r="AY16" s="161"/>
      <c r="AZ16" s="161"/>
      <c r="BB16" s="13"/>
      <c r="BC16" s="13"/>
      <c r="BK16" s="6">
        <v>15</v>
      </c>
    </row>
    <row r="17" spans="1:65" ht="12" customHeight="1" x14ac:dyDescent="0.2">
      <c r="A17" s="155" t="str">
        <f>IF($G$43=1,"","# 2 BARGE NAME")</f>
        <v/>
      </c>
      <c r="B17" s="155"/>
      <c r="C17" s="155"/>
      <c r="D17" s="155"/>
      <c r="E17" s="155"/>
      <c r="F17" s="155"/>
      <c r="G17" s="155"/>
      <c r="H17" s="155"/>
      <c r="I17" s="155"/>
      <c r="J17" s="155"/>
      <c r="K17" s="155"/>
      <c r="L17" s="155"/>
      <c r="M17" s="6" t="str">
        <f>IF($G$43=1,"",":")</f>
        <v/>
      </c>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61"/>
      <c r="AL17" s="161"/>
      <c r="AM17" s="161"/>
      <c r="AN17" s="161"/>
      <c r="AO17" s="161"/>
      <c r="AP17" s="161"/>
      <c r="AQ17" s="161"/>
      <c r="AR17" s="161"/>
      <c r="AS17" s="161"/>
      <c r="AT17" s="161"/>
      <c r="AU17" s="161"/>
      <c r="AV17" s="161"/>
      <c r="AW17" s="161"/>
      <c r="AX17" s="161"/>
      <c r="AY17" s="161"/>
      <c r="AZ17" s="161"/>
      <c r="BK17" s="6">
        <v>16</v>
      </c>
      <c r="BM17" s="1" t="s">
        <v>464</v>
      </c>
    </row>
    <row r="18" spans="1:65" ht="12" customHeight="1" x14ac:dyDescent="0.2">
      <c r="A18" s="155" t="str">
        <f>IF($G$43=1,"","# 2 BARGE CAPTAIN NAME")</f>
        <v/>
      </c>
      <c r="B18" s="155"/>
      <c r="C18" s="155"/>
      <c r="D18" s="155"/>
      <c r="E18" s="155"/>
      <c r="F18" s="155"/>
      <c r="G18" s="155"/>
      <c r="H18" s="155"/>
      <c r="I18" s="155"/>
      <c r="J18" s="155"/>
      <c r="K18" s="155"/>
      <c r="L18" s="155"/>
      <c r="M18" s="6" t="str">
        <f>IF($G$43=1,"",":")</f>
        <v/>
      </c>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7"/>
      <c r="AK18" s="161"/>
      <c r="AL18" s="161"/>
      <c r="AM18" s="161"/>
      <c r="AN18" s="161"/>
      <c r="AO18" s="161"/>
      <c r="AP18" s="161"/>
      <c r="AQ18" s="161"/>
      <c r="AR18" s="161"/>
      <c r="AS18" s="161"/>
      <c r="AT18" s="161"/>
      <c r="AU18" s="161"/>
      <c r="AV18" s="161"/>
      <c r="AW18" s="161"/>
      <c r="AX18" s="161"/>
      <c r="AY18" s="161"/>
      <c r="AZ18" s="161"/>
      <c r="BK18" s="6">
        <v>17</v>
      </c>
      <c r="BM18" s="111">
        <v>2</v>
      </c>
    </row>
    <row r="19" spans="1:65" ht="12" customHeight="1" x14ac:dyDescent="0.2">
      <c r="A19" s="162" t="str">
        <f>IF($G$43=1,"","# 2 GRADE")</f>
        <v/>
      </c>
      <c r="B19" s="162"/>
      <c r="C19" s="162"/>
      <c r="D19" s="162"/>
      <c r="E19" s="162"/>
      <c r="F19" s="162"/>
      <c r="G19" s="162"/>
      <c r="H19" s="162"/>
      <c r="I19" s="162"/>
      <c r="J19" s="162"/>
      <c r="K19" s="162"/>
      <c r="L19" s="162"/>
      <c r="M19" s="10" t="str">
        <f>IF($G$43=1,"",":")</f>
        <v/>
      </c>
      <c r="N19" s="203"/>
      <c r="O19" s="203"/>
      <c r="P19" s="203"/>
      <c r="Q19" s="203"/>
      <c r="R19" s="203"/>
      <c r="S19" s="203"/>
      <c r="T19" s="203"/>
      <c r="U19" s="203"/>
      <c r="V19" s="203"/>
      <c r="W19" s="203"/>
      <c r="X19" s="203"/>
      <c r="Y19" s="203"/>
      <c r="Z19" s="203"/>
      <c r="AA19" s="203"/>
      <c r="AB19" s="203"/>
      <c r="AC19" s="203"/>
      <c r="AD19" s="203"/>
      <c r="AE19" s="203"/>
      <c r="AF19" s="203"/>
      <c r="AG19" s="203"/>
      <c r="AH19" s="203"/>
      <c r="AI19" s="203"/>
      <c r="AJ19" s="203"/>
      <c r="AK19" s="161"/>
      <c r="AL19" s="161"/>
      <c r="AM19" s="161"/>
      <c r="AN19" s="161"/>
      <c r="AO19" s="161"/>
      <c r="AP19" s="161"/>
      <c r="AQ19" s="161"/>
      <c r="AR19" s="161"/>
      <c r="AS19" s="161"/>
      <c r="AT19" s="161"/>
      <c r="AU19" s="161"/>
      <c r="AV19" s="161"/>
      <c r="AW19" s="161"/>
      <c r="AX19" s="161"/>
      <c r="AY19" s="161"/>
      <c r="AZ19" s="161"/>
      <c r="BK19" s="6">
        <v>18</v>
      </c>
      <c r="BM19" s="2" t="s">
        <v>479</v>
      </c>
    </row>
    <row r="20" spans="1:65" ht="12" customHeight="1" x14ac:dyDescent="0.2">
      <c r="A20" s="155" t="str">
        <f>IF($G$43=3,"# 3 DELIVERY DATE","")</f>
        <v/>
      </c>
      <c r="B20" s="155"/>
      <c r="C20" s="155"/>
      <c r="D20" s="155"/>
      <c r="E20" s="155"/>
      <c r="F20" s="155"/>
      <c r="G20" s="155"/>
      <c r="H20" s="155"/>
      <c r="I20" s="155"/>
      <c r="J20" s="155"/>
      <c r="K20" s="155"/>
      <c r="L20" s="155"/>
      <c r="M20" s="6" t="str">
        <f>IF($G$43=3,":","")</f>
        <v/>
      </c>
      <c r="N20" s="160"/>
      <c r="O20" s="160"/>
      <c r="P20" s="160"/>
      <c r="Q20" s="160"/>
      <c r="R20" s="160"/>
      <c r="S20" s="160"/>
      <c r="T20" s="160"/>
      <c r="U20" s="160"/>
      <c r="V20" s="160"/>
      <c r="W20" s="160"/>
      <c r="X20" s="160"/>
      <c r="Y20" s="160"/>
      <c r="Z20" s="160"/>
      <c r="AA20" s="160"/>
      <c r="AB20" s="160"/>
      <c r="AC20" s="160"/>
      <c r="AD20" s="160"/>
      <c r="AE20" s="160"/>
      <c r="AF20" s="160"/>
      <c r="AG20" s="160"/>
      <c r="AH20" s="160"/>
      <c r="AI20" s="160"/>
      <c r="AJ20" s="160"/>
      <c r="AK20" s="161"/>
      <c r="AL20" s="161"/>
      <c r="AM20" s="161"/>
      <c r="AN20" s="161"/>
      <c r="AO20" s="161"/>
      <c r="AP20" s="161"/>
      <c r="AQ20" s="161"/>
      <c r="AR20" s="161"/>
      <c r="AS20" s="161"/>
      <c r="AT20" s="161"/>
      <c r="AU20" s="161"/>
      <c r="AV20" s="161"/>
      <c r="AW20" s="161"/>
      <c r="AX20" s="161"/>
      <c r="AY20" s="161"/>
      <c r="AZ20" s="161"/>
      <c r="BD20" s="4"/>
      <c r="BK20" s="6">
        <v>19</v>
      </c>
    </row>
    <row r="21" spans="1:65" ht="12" customHeight="1" x14ac:dyDescent="0.2">
      <c r="A21" s="155" t="str">
        <f>IF($G$43=3,"# 3 SUPPLIER NAME","")</f>
        <v/>
      </c>
      <c r="B21" s="155"/>
      <c r="C21" s="155"/>
      <c r="D21" s="155"/>
      <c r="E21" s="155"/>
      <c r="F21" s="155"/>
      <c r="G21" s="155"/>
      <c r="H21" s="155"/>
      <c r="I21" s="155"/>
      <c r="J21" s="155"/>
      <c r="K21" s="155"/>
      <c r="L21" s="155"/>
      <c r="M21" s="6" t="str">
        <f>IF($G$43=3,":","")</f>
        <v/>
      </c>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61"/>
      <c r="AL21" s="161"/>
      <c r="AM21" s="161"/>
      <c r="AN21" s="161"/>
      <c r="AO21" s="161"/>
      <c r="AP21" s="161"/>
      <c r="AQ21" s="161"/>
      <c r="AR21" s="161"/>
      <c r="AS21" s="161"/>
      <c r="AT21" s="161"/>
      <c r="AU21" s="161"/>
      <c r="AV21" s="161"/>
      <c r="AW21" s="161"/>
      <c r="AX21" s="161"/>
      <c r="AY21" s="161"/>
      <c r="AZ21" s="161"/>
      <c r="BD21" s="4"/>
      <c r="BK21" s="6">
        <v>20</v>
      </c>
      <c r="BM21" s="1"/>
    </row>
    <row r="22" spans="1:65" ht="12" customHeight="1" x14ac:dyDescent="0.2">
      <c r="A22" s="155" t="str">
        <f>IF($G$43=3,"# 3 BARGE NAME","")</f>
        <v/>
      </c>
      <c r="B22" s="155"/>
      <c r="C22" s="155"/>
      <c r="D22" s="155"/>
      <c r="E22" s="155"/>
      <c r="F22" s="155"/>
      <c r="G22" s="155"/>
      <c r="H22" s="155"/>
      <c r="I22" s="155"/>
      <c r="J22" s="155"/>
      <c r="K22" s="155"/>
      <c r="L22" s="155"/>
      <c r="M22" s="6" t="str">
        <f>IF($G$43=3,":","")</f>
        <v/>
      </c>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61"/>
      <c r="AL22" s="161"/>
      <c r="AM22" s="161"/>
      <c r="AN22" s="161"/>
      <c r="AO22" s="161"/>
      <c r="AP22" s="161"/>
      <c r="AQ22" s="161"/>
      <c r="AR22" s="161"/>
      <c r="AS22" s="161"/>
      <c r="AT22" s="161"/>
      <c r="AU22" s="161"/>
      <c r="AV22" s="161"/>
      <c r="AW22" s="161"/>
      <c r="AX22" s="161"/>
      <c r="AY22" s="161"/>
      <c r="AZ22" s="161"/>
      <c r="BD22" s="4"/>
      <c r="BK22" s="6">
        <v>21</v>
      </c>
      <c r="BM22" s="111"/>
    </row>
    <row r="23" spans="1:65" ht="12" customHeight="1" x14ac:dyDescent="0.2">
      <c r="A23" s="155" t="str">
        <f>IF($G$43=3,"# 3 BARGE CAPTAIN NAME","")</f>
        <v/>
      </c>
      <c r="B23" s="155"/>
      <c r="C23" s="155"/>
      <c r="D23" s="155"/>
      <c r="E23" s="155"/>
      <c r="F23" s="155"/>
      <c r="G23" s="155"/>
      <c r="H23" s="155"/>
      <c r="I23" s="155"/>
      <c r="J23" s="155"/>
      <c r="K23" s="155"/>
      <c r="L23" s="155"/>
      <c r="M23" s="6" t="str">
        <f>IF($G$43=3,":","")</f>
        <v/>
      </c>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7"/>
      <c r="AK23" s="161"/>
      <c r="AL23" s="161"/>
      <c r="AM23" s="161"/>
      <c r="AN23" s="161"/>
      <c r="AO23" s="161"/>
      <c r="AP23" s="161"/>
      <c r="AQ23" s="161"/>
      <c r="AR23" s="161"/>
      <c r="AS23" s="161"/>
      <c r="AT23" s="161"/>
      <c r="AU23" s="161"/>
      <c r="AV23" s="161"/>
      <c r="AW23" s="161"/>
      <c r="AX23" s="161"/>
      <c r="AY23" s="161"/>
      <c r="AZ23" s="161"/>
      <c r="BD23" s="4"/>
      <c r="BK23" s="6">
        <v>22</v>
      </c>
      <c r="BM23" s="2"/>
    </row>
    <row r="24" spans="1:65" ht="12" customHeight="1" x14ac:dyDescent="0.2">
      <c r="A24" s="155" t="str">
        <f>IF($G$43=3,"# 3 GRADE","")</f>
        <v/>
      </c>
      <c r="B24" s="155"/>
      <c r="C24" s="155"/>
      <c r="D24" s="155"/>
      <c r="E24" s="155"/>
      <c r="F24" s="155"/>
      <c r="G24" s="155"/>
      <c r="H24" s="155"/>
      <c r="I24" s="155"/>
      <c r="J24" s="155"/>
      <c r="K24" s="155"/>
      <c r="L24" s="155"/>
      <c r="M24" s="6" t="str">
        <f>IF($G$43=3,":","")</f>
        <v/>
      </c>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61"/>
      <c r="AL24" s="161"/>
      <c r="AM24" s="161"/>
      <c r="AN24" s="161"/>
      <c r="AO24" s="161"/>
      <c r="AP24" s="161"/>
      <c r="AQ24" s="161"/>
      <c r="AR24" s="161"/>
      <c r="AS24" s="161"/>
      <c r="AT24" s="161"/>
      <c r="AU24" s="161"/>
      <c r="AV24" s="161"/>
      <c r="AW24" s="161"/>
      <c r="AX24" s="161"/>
      <c r="AY24" s="161"/>
      <c r="AZ24" s="161"/>
      <c r="BK24" s="6">
        <v>23</v>
      </c>
    </row>
    <row r="25" spans="1:65" ht="12" customHeight="1" x14ac:dyDescent="0.2">
      <c r="A25" s="154"/>
      <c r="B25" s="154"/>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54"/>
      <c r="AJ25" s="154"/>
      <c r="AK25" s="161"/>
      <c r="AL25" s="161"/>
      <c r="AM25" s="161"/>
      <c r="AN25" s="161"/>
      <c r="AO25" s="161"/>
      <c r="AP25" s="161"/>
      <c r="AQ25" s="161"/>
      <c r="AR25" s="161"/>
      <c r="AS25" s="161"/>
      <c r="AT25" s="161"/>
      <c r="AU25" s="161"/>
      <c r="AV25" s="161"/>
      <c r="AW25" s="161"/>
      <c r="AX25" s="161"/>
      <c r="AY25" s="161"/>
      <c r="AZ25" s="161"/>
      <c r="BD25" s="4"/>
      <c r="BK25" s="6">
        <v>24</v>
      </c>
      <c r="BM25" s="1" t="s">
        <v>116</v>
      </c>
    </row>
    <row r="26" spans="1:65" ht="12" customHeight="1" x14ac:dyDescent="0.2">
      <c r="A26" s="155" t="s">
        <v>475</v>
      </c>
      <c r="B26" s="155"/>
      <c r="C26" s="155"/>
      <c r="D26" s="155"/>
      <c r="E26" s="155"/>
      <c r="F26" s="155"/>
      <c r="G26" s="155"/>
      <c r="H26" s="155"/>
      <c r="I26" s="155"/>
      <c r="J26" s="155"/>
      <c r="K26" s="155"/>
      <c r="L26" s="155"/>
      <c r="M26" s="6" t="s">
        <v>0</v>
      </c>
      <c r="N26" s="156" t="s">
        <v>546</v>
      </c>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61"/>
      <c r="AL26" s="161"/>
      <c r="AM26" s="161"/>
      <c r="AN26" s="161"/>
      <c r="AO26" s="161"/>
      <c r="AP26" s="161"/>
      <c r="AQ26" s="161"/>
      <c r="AR26" s="161"/>
      <c r="AS26" s="161"/>
      <c r="AT26" s="161"/>
      <c r="AU26" s="161"/>
      <c r="AV26" s="161"/>
      <c r="AW26" s="161"/>
      <c r="AX26" s="161"/>
      <c r="AY26" s="161"/>
      <c r="AZ26" s="161"/>
      <c r="BK26" s="6">
        <v>25</v>
      </c>
      <c r="BM26" s="111">
        <v>1</v>
      </c>
    </row>
    <row r="27" spans="1:65" ht="12" customHeight="1" x14ac:dyDescent="0.2">
      <c r="A27" s="155" t="s">
        <v>107</v>
      </c>
      <c r="B27" s="155"/>
      <c r="C27" s="155"/>
      <c r="D27" s="155"/>
      <c r="E27" s="155"/>
      <c r="F27" s="155"/>
      <c r="G27" s="155"/>
      <c r="H27" s="155"/>
      <c r="I27" s="155"/>
      <c r="J27" s="155"/>
      <c r="K27" s="155"/>
      <c r="L27" s="155"/>
      <c r="M27" s="6" t="s">
        <v>0</v>
      </c>
      <c r="N27" s="156" t="s">
        <v>545</v>
      </c>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61"/>
      <c r="AL27" s="161"/>
      <c r="AM27" s="161"/>
      <c r="AN27" s="161"/>
      <c r="AO27" s="161"/>
      <c r="AP27" s="161"/>
      <c r="AQ27" s="161"/>
      <c r="AR27" s="161"/>
      <c r="AS27" s="161"/>
      <c r="AT27" s="161"/>
      <c r="AU27" s="161"/>
      <c r="AV27" s="161"/>
      <c r="AW27" s="161"/>
      <c r="AX27" s="161"/>
      <c r="AY27" s="161"/>
      <c r="AZ27" s="161"/>
      <c r="BK27" s="6">
        <v>26</v>
      </c>
      <c r="BM27" s="2" t="s">
        <v>164</v>
      </c>
    </row>
    <row r="28" spans="1:65" ht="12" customHeight="1" x14ac:dyDescent="0.2">
      <c r="A28" s="155" t="s">
        <v>279</v>
      </c>
      <c r="B28" s="155"/>
      <c r="C28" s="155"/>
      <c r="D28" s="155"/>
      <c r="E28" s="155"/>
      <c r="F28" s="155"/>
      <c r="G28" s="155"/>
      <c r="H28" s="155"/>
      <c r="I28" s="155"/>
      <c r="J28" s="155"/>
      <c r="K28" s="155"/>
      <c r="L28" s="155"/>
      <c r="M28" s="6" t="s">
        <v>0</v>
      </c>
      <c r="N28" s="156"/>
      <c r="O28" s="156"/>
      <c r="P28" s="156"/>
      <c r="Q28" s="156"/>
      <c r="R28" s="156"/>
      <c r="S28" s="156"/>
      <c r="T28" s="156"/>
      <c r="U28" s="156"/>
      <c r="V28" s="156"/>
      <c r="W28" s="156"/>
      <c r="X28" s="156"/>
      <c r="Y28" s="156"/>
      <c r="Z28" s="156"/>
      <c r="AA28" s="156"/>
      <c r="AB28" s="156"/>
      <c r="AC28" s="156"/>
      <c r="AD28" s="156"/>
      <c r="AE28" s="156"/>
      <c r="AF28" s="156"/>
      <c r="AG28" s="156"/>
      <c r="AH28" s="156"/>
      <c r="AI28" s="156"/>
      <c r="AJ28" s="156"/>
      <c r="AK28" s="183" t="s">
        <v>110</v>
      </c>
      <c r="AL28" s="184"/>
      <c r="AM28" s="184"/>
      <c r="AN28" s="184"/>
      <c r="AO28" s="184"/>
      <c r="AP28" s="184"/>
      <c r="AQ28" s="184"/>
      <c r="AR28" s="184"/>
      <c r="AS28" s="184"/>
      <c r="AT28" s="184"/>
      <c r="AU28" s="184"/>
      <c r="AV28" s="184"/>
      <c r="AW28" s="184"/>
      <c r="AX28" s="184"/>
      <c r="AY28" s="184"/>
      <c r="AZ28" s="185"/>
      <c r="BK28" s="6">
        <v>27</v>
      </c>
    </row>
    <row r="29" spans="1:65" ht="12" customHeight="1" x14ac:dyDescent="0.2">
      <c r="A29" s="155" t="s">
        <v>131</v>
      </c>
      <c r="B29" s="155"/>
      <c r="C29" s="155"/>
      <c r="D29" s="155"/>
      <c r="E29" s="155"/>
      <c r="F29" s="155"/>
      <c r="G29" s="155"/>
      <c r="H29" s="155"/>
      <c r="I29" s="155"/>
      <c r="J29" s="155"/>
      <c r="K29" s="155"/>
      <c r="L29" s="155"/>
      <c r="M29" s="6" t="s">
        <v>0</v>
      </c>
      <c r="N29" s="156" t="s">
        <v>547</v>
      </c>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86"/>
      <c r="AL29" s="187"/>
      <c r="AM29" s="187"/>
      <c r="AN29" s="187"/>
      <c r="AO29" s="187"/>
      <c r="AP29" s="187"/>
      <c r="AQ29" s="187"/>
      <c r="AR29" s="187"/>
      <c r="AS29" s="187"/>
      <c r="AT29" s="187"/>
      <c r="AU29" s="187"/>
      <c r="AV29" s="187"/>
      <c r="AW29" s="187"/>
      <c r="AX29" s="187"/>
      <c r="AY29" s="187"/>
      <c r="AZ29" s="188"/>
      <c r="BD29" s="4"/>
      <c r="BK29" s="6">
        <v>28</v>
      </c>
      <c r="BM29" s="1" t="s">
        <v>162</v>
      </c>
    </row>
    <row r="30" spans="1:65" ht="12" hidden="1" customHeight="1" x14ac:dyDescent="0.2">
      <c r="A30" s="155" t="s">
        <v>403</v>
      </c>
      <c r="B30" s="155"/>
      <c r="C30" s="155"/>
      <c r="D30" s="155"/>
      <c r="E30" s="155"/>
      <c r="F30" s="155"/>
      <c r="G30" s="155"/>
      <c r="H30" s="155"/>
      <c r="I30" s="155"/>
      <c r="J30" s="155"/>
      <c r="K30" s="155"/>
      <c r="L30" s="155"/>
      <c r="M30" s="6" t="s">
        <v>0</v>
      </c>
      <c r="N30" s="156"/>
      <c r="O30" s="156"/>
      <c r="P30" s="156"/>
      <c r="Q30" s="156"/>
      <c r="R30" s="156"/>
      <c r="S30" s="156"/>
      <c r="T30" s="156"/>
      <c r="U30" s="156"/>
      <c r="V30" s="156"/>
      <c r="W30" s="156"/>
      <c r="X30" s="156"/>
      <c r="Y30" s="156"/>
      <c r="Z30" s="156"/>
      <c r="AA30" s="156"/>
      <c r="AB30" s="156"/>
      <c r="AC30" s="156"/>
      <c r="AD30" s="156"/>
      <c r="AE30" s="156"/>
      <c r="AF30" s="156"/>
      <c r="AG30" s="156"/>
      <c r="AH30" s="156"/>
      <c r="AI30" s="156"/>
      <c r="AJ30" s="156"/>
      <c r="AK30" s="186"/>
      <c r="AL30" s="187"/>
      <c r="AM30" s="187"/>
      <c r="AN30" s="187"/>
      <c r="AO30" s="187"/>
      <c r="AP30" s="187"/>
      <c r="AQ30" s="187"/>
      <c r="AR30" s="187"/>
      <c r="AS30" s="187"/>
      <c r="AT30" s="187"/>
      <c r="AU30" s="187"/>
      <c r="AV30" s="187"/>
      <c r="AW30" s="187"/>
      <c r="AX30" s="187"/>
      <c r="AY30" s="187"/>
      <c r="AZ30" s="188"/>
      <c r="BD30" s="4"/>
      <c r="BK30" s="6">
        <v>29</v>
      </c>
      <c r="BM30" s="112">
        <v>1</v>
      </c>
    </row>
    <row r="31" spans="1:65" ht="12" customHeight="1" x14ac:dyDescent="0.2">
      <c r="A31" s="154"/>
      <c r="B31" s="154"/>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86"/>
      <c r="AL31" s="187"/>
      <c r="AM31" s="187"/>
      <c r="AN31" s="187"/>
      <c r="AO31" s="187"/>
      <c r="AP31" s="187"/>
      <c r="AQ31" s="187"/>
      <c r="AR31" s="187"/>
      <c r="AS31" s="187"/>
      <c r="AT31" s="187"/>
      <c r="AU31" s="187"/>
      <c r="AV31" s="187"/>
      <c r="AW31" s="187"/>
      <c r="AX31" s="187"/>
      <c r="AY31" s="187"/>
      <c r="AZ31" s="188"/>
      <c r="BD31" s="4"/>
      <c r="BK31" s="6">
        <v>30</v>
      </c>
      <c r="BM31" s="2" t="s">
        <v>163</v>
      </c>
    </row>
    <row r="32" spans="1:65" ht="12" customHeight="1" x14ac:dyDescent="0.2">
      <c r="A32" s="155" t="s">
        <v>109</v>
      </c>
      <c r="B32" s="155"/>
      <c r="C32" s="155"/>
      <c r="D32" s="155"/>
      <c r="E32" s="155"/>
      <c r="F32" s="155"/>
      <c r="G32" s="155"/>
      <c r="H32" s="155"/>
      <c r="I32" s="155"/>
      <c r="J32" s="155"/>
      <c r="K32" s="155"/>
      <c r="L32" s="155"/>
      <c r="M32" s="6" t="s">
        <v>0</v>
      </c>
      <c r="N32" s="156"/>
      <c r="O32" s="156"/>
      <c r="P32" s="156"/>
      <c r="Q32" s="156"/>
      <c r="R32" s="156"/>
      <c r="S32" s="156"/>
      <c r="T32" s="156"/>
      <c r="U32" s="156"/>
      <c r="V32" s="156"/>
      <c r="W32" s="156"/>
      <c r="X32" s="156"/>
      <c r="Y32" s="156"/>
      <c r="Z32" s="156"/>
      <c r="AA32" s="156"/>
      <c r="AB32" s="156"/>
      <c r="AC32" s="156"/>
      <c r="AD32" s="156"/>
      <c r="AE32" s="156"/>
      <c r="AF32" s="156"/>
      <c r="AG32" s="156"/>
      <c r="AH32" s="156"/>
      <c r="AI32" s="156"/>
      <c r="AJ32" s="156"/>
      <c r="AK32" s="186"/>
      <c r="AL32" s="187"/>
      <c r="AM32" s="187"/>
      <c r="AN32" s="187"/>
      <c r="AO32" s="187"/>
      <c r="AP32" s="187"/>
      <c r="AQ32" s="187"/>
      <c r="AR32" s="187"/>
      <c r="AS32" s="187"/>
      <c r="AT32" s="187"/>
      <c r="AU32" s="187"/>
      <c r="AV32" s="187"/>
      <c r="AW32" s="187"/>
      <c r="AX32" s="187"/>
      <c r="AY32" s="187"/>
      <c r="AZ32" s="188"/>
      <c r="BD32" s="4"/>
    </row>
    <row r="33" spans="1:56" ht="12" customHeight="1" x14ac:dyDescent="0.2">
      <c r="A33" s="155" t="s">
        <v>125</v>
      </c>
      <c r="B33" s="155"/>
      <c r="C33" s="155"/>
      <c r="D33" s="155"/>
      <c r="E33" s="155"/>
      <c r="F33" s="155"/>
      <c r="G33" s="155"/>
      <c r="H33" s="155"/>
      <c r="I33" s="155"/>
      <c r="J33" s="155"/>
      <c r="K33" s="155"/>
      <c r="L33" s="155"/>
      <c r="M33" s="6" t="s">
        <v>0</v>
      </c>
      <c r="N33" s="181"/>
      <c r="O33" s="182"/>
      <c r="P33" s="182"/>
      <c r="Q33" s="182"/>
      <c r="R33" s="182"/>
      <c r="S33" s="182"/>
      <c r="T33" s="182"/>
      <c r="U33" s="182"/>
      <c r="V33" s="182"/>
      <c r="W33" s="182"/>
      <c r="X33" s="182"/>
      <c r="Y33" s="182"/>
      <c r="Z33" s="182"/>
      <c r="AA33" s="182"/>
      <c r="AB33" s="182"/>
      <c r="AC33" s="182"/>
      <c r="AD33" s="182"/>
      <c r="AE33" s="182"/>
      <c r="AF33" s="182"/>
      <c r="AG33" s="182"/>
      <c r="AH33" s="182"/>
      <c r="AI33" s="182"/>
      <c r="AJ33" s="182"/>
      <c r="AK33" s="186"/>
      <c r="AL33" s="187"/>
      <c r="AM33" s="187"/>
      <c r="AN33" s="187"/>
      <c r="AO33" s="187"/>
      <c r="AP33" s="187"/>
      <c r="AQ33" s="187"/>
      <c r="AR33" s="187"/>
      <c r="AS33" s="187"/>
      <c r="AT33" s="187"/>
      <c r="AU33" s="187"/>
      <c r="AV33" s="187"/>
      <c r="AW33" s="187"/>
      <c r="AX33" s="187"/>
      <c r="AY33" s="187"/>
      <c r="AZ33" s="188"/>
      <c r="BD33" s="4"/>
    </row>
    <row r="34" spans="1:56" ht="12" customHeight="1" x14ac:dyDescent="0.2">
      <c r="A34" s="155" t="s">
        <v>126</v>
      </c>
      <c r="B34" s="155"/>
      <c r="C34" s="155"/>
      <c r="D34" s="155"/>
      <c r="E34" s="155"/>
      <c r="F34" s="155"/>
      <c r="G34" s="155"/>
      <c r="H34" s="155"/>
      <c r="I34" s="155"/>
      <c r="J34" s="155"/>
      <c r="K34" s="155"/>
      <c r="L34" s="155"/>
      <c r="M34" s="6" t="s">
        <v>0</v>
      </c>
      <c r="N34" s="181"/>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6"/>
      <c r="AL34" s="187"/>
      <c r="AM34" s="187"/>
      <c r="AN34" s="187"/>
      <c r="AO34" s="187"/>
      <c r="AP34" s="187"/>
      <c r="AQ34" s="187"/>
      <c r="AR34" s="187"/>
      <c r="AS34" s="187"/>
      <c r="AT34" s="187"/>
      <c r="AU34" s="187"/>
      <c r="AV34" s="187"/>
      <c r="AW34" s="187"/>
      <c r="AX34" s="187"/>
      <c r="AY34" s="187"/>
      <c r="AZ34" s="188"/>
      <c r="BD34" s="4"/>
    </row>
    <row r="35" spans="1:56" ht="12" customHeight="1" x14ac:dyDescent="0.2">
      <c r="A35" s="155" t="s">
        <v>127</v>
      </c>
      <c r="B35" s="155"/>
      <c r="C35" s="155"/>
      <c r="D35" s="155"/>
      <c r="E35" s="155"/>
      <c r="F35" s="155"/>
      <c r="G35" s="155"/>
      <c r="H35" s="155"/>
      <c r="I35" s="155"/>
      <c r="J35" s="155"/>
      <c r="K35" s="155"/>
      <c r="L35" s="155"/>
      <c r="M35" s="6" t="s">
        <v>0</v>
      </c>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86"/>
      <c r="AL35" s="187"/>
      <c r="AM35" s="187"/>
      <c r="AN35" s="187"/>
      <c r="AO35" s="187"/>
      <c r="AP35" s="187"/>
      <c r="AQ35" s="187"/>
      <c r="AR35" s="187"/>
      <c r="AS35" s="187"/>
      <c r="AT35" s="187"/>
      <c r="AU35" s="187"/>
      <c r="AV35" s="187"/>
      <c r="AW35" s="187"/>
      <c r="AX35" s="187"/>
      <c r="AY35" s="187"/>
      <c r="AZ35" s="188"/>
      <c r="BD35" s="4"/>
    </row>
    <row r="36" spans="1:56" ht="12" customHeight="1" x14ac:dyDescent="0.2">
      <c r="A36" s="155" t="s">
        <v>128</v>
      </c>
      <c r="B36" s="155"/>
      <c r="C36" s="155"/>
      <c r="D36" s="155"/>
      <c r="E36" s="155"/>
      <c r="F36" s="155"/>
      <c r="G36" s="155"/>
      <c r="H36" s="155"/>
      <c r="I36" s="155"/>
      <c r="J36" s="155"/>
      <c r="K36" s="155"/>
      <c r="L36" s="155"/>
      <c r="M36" s="6" t="s">
        <v>0</v>
      </c>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86"/>
      <c r="AL36" s="187"/>
      <c r="AM36" s="187"/>
      <c r="AN36" s="187"/>
      <c r="AO36" s="187"/>
      <c r="AP36" s="187"/>
      <c r="AQ36" s="187"/>
      <c r="AR36" s="187"/>
      <c r="AS36" s="187"/>
      <c r="AT36" s="187"/>
      <c r="AU36" s="187"/>
      <c r="AV36" s="187"/>
      <c r="AW36" s="187"/>
      <c r="AX36" s="187"/>
      <c r="AY36" s="187"/>
      <c r="AZ36" s="188"/>
    </row>
    <row r="37" spans="1:56" ht="12" customHeight="1" x14ac:dyDescent="0.2">
      <c r="A37" s="155" t="s">
        <v>129</v>
      </c>
      <c r="B37" s="155"/>
      <c r="C37" s="155"/>
      <c r="D37" s="155"/>
      <c r="E37" s="155"/>
      <c r="F37" s="155"/>
      <c r="G37" s="155"/>
      <c r="H37" s="155"/>
      <c r="I37" s="155"/>
      <c r="J37" s="155"/>
      <c r="K37" s="155"/>
      <c r="L37" s="155"/>
      <c r="M37" s="6" t="s">
        <v>0</v>
      </c>
      <c r="N37" s="156"/>
      <c r="O37" s="156"/>
      <c r="P37" s="156"/>
      <c r="Q37" s="156"/>
      <c r="R37" s="156"/>
      <c r="S37" s="156"/>
      <c r="T37" s="156"/>
      <c r="U37" s="156"/>
      <c r="V37" s="156"/>
      <c r="W37" s="156"/>
      <c r="X37" s="156"/>
      <c r="Y37" s="156"/>
      <c r="Z37" s="156"/>
      <c r="AA37" s="156"/>
      <c r="AB37" s="156"/>
      <c r="AC37" s="156"/>
      <c r="AD37" s="156"/>
      <c r="AE37" s="156"/>
      <c r="AF37" s="156"/>
      <c r="AG37" s="156"/>
      <c r="AH37" s="156"/>
      <c r="AI37" s="156"/>
      <c r="AJ37" s="156"/>
      <c r="AK37" s="186"/>
      <c r="AL37" s="187"/>
      <c r="AM37" s="187"/>
      <c r="AN37" s="187"/>
      <c r="AO37" s="187"/>
      <c r="AP37" s="187"/>
      <c r="AQ37" s="187"/>
      <c r="AR37" s="187"/>
      <c r="AS37" s="187"/>
      <c r="AT37" s="187"/>
      <c r="AU37" s="187"/>
      <c r="AV37" s="187"/>
      <c r="AW37" s="187"/>
      <c r="AX37" s="187"/>
      <c r="AY37" s="187"/>
      <c r="AZ37" s="188"/>
    </row>
    <row r="38" spans="1:56" ht="12" customHeight="1" x14ac:dyDescent="0.2">
      <c r="A38" s="155" t="s">
        <v>130</v>
      </c>
      <c r="B38" s="155"/>
      <c r="C38" s="155"/>
      <c r="D38" s="155"/>
      <c r="E38" s="155"/>
      <c r="F38" s="155"/>
      <c r="G38" s="155"/>
      <c r="H38" s="155"/>
      <c r="I38" s="155"/>
      <c r="J38" s="155"/>
      <c r="K38" s="155"/>
      <c r="L38" s="155"/>
      <c r="M38" s="6" t="s">
        <v>0</v>
      </c>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86"/>
      <c r="AL38" s="187"/>
      <c r="AM38" s="187"/>
      <c r="AN38" s="187"/>
      <c r="AO38" s="187"/>
      <c r="AP38" s="187"/>
      <c r="AQ38" s="187"/>
      <c r="AR38" s="187"/>
      <c r="AS38" s="187"/>
      <c r="AT38" s="187"/>
      <c r="AU38" s="187"/>
      <c r="AV38" s="187"/>
      <c r="AW38" s="187"/>
      <c r="AX38" s="187"/>
      <c r="AY38" s="187"/>
      <c r="AZ38" s="188"/>
      <c r="BD38" s="4"/>
    </row>
    <row r="39" spans="1:56" ht="12" customHeight="1" x14ac:dyDescent="0.2">
      <c r="A39" s="155" t="s">
        <v>533</v>
      </c>
      <c r="B39" s="155"/>
      <c r="C39" s="155"/>
      <c r="D39" s="155"/>
      <c r="E39" s="155"/>
      <c r="F39" s="155"/>
      <c r="G39" s="155"/>
      <c r="H39" s="155"/>
      <c r="I39" s="155"/>
      <c r="J39" s="155"/>
      <c r="K39" s="155"/>
      <c r="L39" s="155"/>
      <c r="M39" s="6" t="s">
        <v>0</v>
      </c>
      <c r="N39" s="156" t="s">
        <v>548</v>
      </c>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89"/>
      <c r="AL39" s="190"/>
      <c r="AM39" s="190"/>
      <c r="AN39" s="190"/>
      <c r="AO39" s="190"/>
      <c r="AP39" s="190"/>
      <c r="AQ39" s="190"/>
      <c r="AR39" s="190"/>
      <c r="AS39" s="190"/>
      <c r="AT39" s="190"/>
      <c r="AU39" s="190"/>
      <c r="AV39" s="190"/>
      <c r="AW39" s="190"/>
      <c r="AX39" s="190"/>
      <c r="AY39" s="190"/>
      <c r="AZ39" s="191"/>
    </row>
    <row r="40" spans="1:56" ht="12" customHeight="1" x14ac:dyDescent="0.2">
      <c r="A40" s="154"/>
      <c r="B40" s="154"/>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54"/>
      <c r="AO40" s="154"/>
      <c r="AP40" s="154"/>
      <c r="AQ40" s="154"/>
      <c r="AR40" s="154"/>
      <c r="AS40" s="154"/>
      <c r="AT40" s="154"/>
      <c r="AU40" s="154"/>
      <c r="AV40" s="154"/>
      <c r="AW40" s="154"/>
      <c r="AX40" s="154"/>
      <c r="AY40" s="154"/>
      <c r="AZ40" s="154"/>
    </row>
    <row r="41" spans="1:56" ht="12" customHeight="1" x14ac:dyDescent="0.2">
      <c r="A41" s="164" t="s">
        <v>113</v>
      </c>
      <c r="B41" s="164"/>
      <c r="C41" s="164"/>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c r="AX41" s="164"/>
      <c r="AY41" s="164"/>
      <c r="AZ41" s="164"/>
    </row>
    <row r="42" spans="1:56" ht="12" customHeight="1" x14ac:dyDescent="0.2">
      <c r="A42" s="154"/>
      <c r="B42" s="154"/>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row>
    <row r="43" spans="1:56" ht="12" customHeight="1" x14ac:dyDescent="0.2">
      <c r="A43" s="166" t="s">
        <v>243</v>
      </c>
      <c r="B43" s="167"/>
      <c r="C43" s="167"/>
      <c r="D43" s="167"/>
      <c r="E43" s="167"/>
      <c r="F43" s="168"/>
      <c r="G43" s="175">
        <f>BM2</f>
        <v>1</v>
      </c>
      <c r="H43" s="176"/>
      <c r="I43" s="176"/>
      <c r="J43" s="176"/>
      <c r="K43" s="176"/>
      <c r="L43" s="177"/>
      <c r="M43" s="154"/>
      <c r="N43" s="192" t="s">
        <v>245</v>
      </c>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4"/>
    </row>
    <row r="44" spans="1:56" ht="12" customHeight="1" x14ac:dyDescent="0.2">
      <c r="A44" s="169"/>
      <c r="B44" s="170"/>
      <c r="C44" s="170"/>
      <c r="D44" s="170"/>
      <c r="E44" s="170"/>
      <c r="F44" s="171"/>
      <c r="G44" s="178"/>
      <c r="H44" s="179"/>
      <c r="I44" s="179"/>
      <c r="J44" s="179"/>
      <c r="K44" s="179"/>
      <c r="L44" s="180"/>
      <c r="M44" s="154"/>
      <c r="N44" s="155"/>
      <c r="O44" s="155"/>
      <c r="P44" s="155"/>
      <c r="Q44" s="155"/>
      <c r="R44" s="155"/>
      <c r="S44" s="155"/>
      <c r="T44" s="155"/>
      <c r="U44" s="155"/>
      <c r="V44" s="155"/>
      <c r="W44" s="155"/>
      <c r="X44" s="155"/>
      <c r="Y44" s="155"/>
      <c r="Z44" s="155"/>
      <c r="AA44" s="155"/>
      <c r="AB44" s="155"/>
      <c r="AC44" s="155"/>
      <c r="AD44" s="155"/>
      <c r="AE44" s="155"/>
      <c r="AF44" s="155"/>
      <c r="AG44" s="155"/>
      <c r="AH44" s="155"/>
      <c r="AI44" s="155"/>
      <c r="AJ44" s="155"/>
      <c r="AK44" s="155"/>
      <c r="AL44" s="155"/>
      <c r="AM44" s="155"/>
      <c r="AN44" s="155"/>
      <c r="AO44" s="155"/>
      <c r="AP44" s="155"/>
      <c r="AQ44" s="155"/>
      <c r="AR44" s="155"/>
      <c r="AS44" s="155"/>
      <c r="AT44" s="155"/>
      <c r="AU44" s="155"/>
      <c r="AV44" s="155"/>
      <c r="AW44" s="155"/>
      <c r="AX44" s="155"/>
      <c r="AY44" s="155"/>
      <c r="AZ44" s="155"/>
    </row>
    <row r="45" spans="1:56" ht="12" customHeight="1" x14ac:dyDescent="0.2">
      <c r="A45" s="169"/>
      <c r="B45" s="170"/>
      <c r="C45" s="170"/>
      <c r="D45" s="170"/>
      <c r="E45" s="170"/>
      <c r="F45" s="171"/>
      <c r="G45" s="178"/>
      <c r="H45" s="179"/>
      <c r="I45" s="179"/>
      <c r="J45" s="179"/>
      <c r="K45" s="179"/>
      <c r="L45" s="180"/>
      <c r="M45" s="154"/>
      <c r="N45" s="165" t="s">
        <v>242</v>
      </c>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row>
    <row r="46" spans="1:56" ht="12" customHeight="1" x14ac:dyDescent="0.2">
      <c r="A46" s="169"/>
      <c r="B46" s="170"/>
      <c r="C46" s="170"/>
      <c r="D46" s="170"/>
      <c r="E46" s="170"/>
      <c r="F46" s="171"/>
      <c r="G46" s="5"/>
      <c r="L46" s="7"/>
      <c r="M46" s="154"/>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B46" s="8"/>
    </row>
    <row r="47" spans="1:56" ht="12" customHeight="1" x14ac:dyDescent="0.2">
      <c r="A47" s="172"/>
      <c r="B47" s="173"/>
      <c r="C47" s="173"/>
      <c r="D47" s="173"/>
      <c r="E47" s="173"/>
      <c r="F47" s="174"/>
      <c r="G47" s="9"/>
      <c r="H47" s="10"/>
      <c r="I47" s="10"/>
      <c r="J47" s="10"/>
      <c r="K47" s="10"/>
      <c r="L47" s="11"/>
      <c r="M47" s="154"/>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row>
    <row r="48" spans="1:56" ht="12" customHeight="1" x14ac:dyDescent="0.2">
      <c r="A48" s="154"/>
      <c r="B48" s="154"/>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c r="AZ48" s="154"/>
    </row>
    <row r="49" spans="1:57" ht="12" customHeight="1" x14ac:dyDescent="0.2">
      <c r="A49" s="154"/>
      <c r="B49" s="154"/>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4"/>
      <c r="AU49" s="154"/>
      <c r="AV49" s="154"/>
      <c r="AW49" s="154"/>
      <c r="AX49" s="154"/>
      <c r="AY49" s="154"/>
      <c r="AZ49" s="154"/>
    </row>
    <row r="50" spans="1:57" ht="12" customHeight="1" x14ac:dyDescent="0.2">
      <c r="A50" s="166" t="s">
        <v>133</v>
      </c>
      <c r="B50" s="167"/>
      <c r="C50" s="167"/>
      <c r="D50" s="167"/>
      <c r="E50" s="167"/>
      <c r="F50" s="168"/>
      <c r="G50" s="175">
        <f>BM6</f>
        <v>6</v>
      </c>
      <c r="H50" s="176"/>
      <c r="I50" s="176"/>
      <c r="J50" s="176"/>
      <c r="K50" s="176"/>
      <c r="L50" s="177"/>
      <c r="N50" s="192" t="s">
        <v>134</v>
      </c>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4"/>
      <c r="BB50" s="201" t="s">
        <v>137</v>
      </c>
      <c r="BC50" s="202"/>
    </row>
    <row r="51" spans="1:57" ht="12" customHeight="1" x14ac:dyDescent="0.2">
      <c r="A51" s="169"/>
      <c r="B51" s="170"/>
      <c r="C51" s="170"/>
      <c r="D51" s="170"/>
      <c r="E51" s="170"/>
      <c r="F51" s="171"/>
      <c r="G51" s="178"/>
      <c r="H51" s="179"/>
      <c r="I51" s="179"/>
      <c r="J51" s="179"/>
      <c r="K51" s="179"/>
      <c r="L51" s="180"/>
      <c r="N51" s="155"/>
      <c r="O51" s="155"/>
      <c r="P51" s="155"/>
      <c r="Q51" s="155"/>
      <c r="R51" s="155"/>
      <c r="S51" s="155"/>
      <c r="T51" s="155"/>
      <c r="U51" s="155"/>
      <c r="V51" s="155"/>
      <c r="W51" s="155"/>
      <c r="X51" s="155"/>
      <c r="Y51" s="155"/>
      <c r="Z51" s="155"/>
      <c r="AA51" s="155"/>
      <c r="AB51" s="155"/>
      <c r="AC51" s="155"/>
      <c r="AD51" s="155"/>
      <c r="AE51" s="155"/>
      <c r="AF51" s="155"/>
      <c r="AG51" s="155"/>
      <c r="AH51" s="155"/>
      <c r="AI51" s="155"/>
      <c r="AJ51" s="155"/>
      <c r="AK51" s="155"/>
      <c r="AL51" s="155"/>
      <c r="AM51" s="155"/>
      <c r="AN51" s="155"/>
      <c r="AO51" s="155"/>
      <c r="AP51" s="155"/>
      <c r="AQ51" s="155"/>
      <c r="AR51" s="155"/>
      <c r="AS51" s="155"/>
      <c r="AT51" s="155"/>
      <c r="AU51" s="155"/>
      <c r="AV51" s="155"/>
      <c r="AW51" s="155"/>
      <c r="AX51" s="155"/>
      <c r="AY51" s="155"/>
      <c r="AZ51" s="155"/>
      <c r="BB51" s="12" t="s">
        <v>114</v>
      </c>
      <c r="BC51" s="7" t="s">
        <v>138</v>
      </c>
      <c r="BE51" s="8"/>
    </row>
    <row r="52" spans="1:57" ht="12" customHeight="1" x14ac:dyDescent="0.2">
      <c r="A52" s="169"/>
      <c r="B52" s="170"/>
      <c r="C52" s="170"/>
      <c r="D52" s="170"/>
      <c r="E52" s="170"/>
      <c r="F52" s="171"/>
      <c r="G52" s="178"/>
      <c r="H52" s="179"/>
      <c r="I52" s="179"/>
      <c r="J52" s="179"/>
      <c r="K52" s="179"/>
      <c r="L52" s="180"/>
      <c r="N52" s="165" t="s">
        <v>144</v>
      </c>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B52" s="12" t="s">
        <v>115</v>
      </c>
      <c r="BC52" s="7" t="s">
        <v>139</v>
      </c>
      <c r="BE52" s="8"/>
    </row>
    <row r="53" spans="1:57" ht="12" customHeight="1" x14ac:dyDescent="0.2">
      <c r="A53" s="169"/>
      <c r="B53" s="170"/>
      <c r="C53" s="170"/>
      <c r="D53" s="170"/>
      <c r="E53" s="170"/>
      <c r="F53" s="171"/>
      <c r="G53" s="5"/>
      <c r="L53" s="7"/>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B53" s="12" t="s">
        <v>117</v>
      </c>
      <c r="BC53" s="7" t="s">
        <v>140</v>
      </c>
      <c r="BE53" s="8"/>
    </row>
    <row r="54" spans="1:57" ht="12" customHeight="1" x14ac:dyDescent="0.2">
      <c r="A54" s="172"/>
      <c r="B54" s="173"/>
      <c r="C54" s="173"/>
      <c r="D54" s="173"/>
      <c r="E54" s="173"/>
      <c r="F54" s="174"/>
      <c r="G54" s="9"/>
      <c r="H54" s="10"/>
      <c r="I54" s="10"/>
      <c r="J54" s="10"/>
      <c r="K54" s="10"/>
      <c r="L54" s="11"/>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B54" s="12" t="s">
        <v>118</v>
      </c>
      <c r="BC54" s="7" t="s">
        <v>141</v>
      </c>
      <c r="BE54" s="8"/>
    </row>
    <row r="55" spans="1:57" ht="12" customHeight="1" x14ac:dyDescent="0.2">
      <c r="A55" s="154"/>
      <c r="B55" s="154"/>
      <c r="C55" s="154"/>
      <c r="D55" s="154"/>
      <c r="E55" s="154"/>
      <c r="F55" s="154"/>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B55" s="12" t="s">
        <v>119</v>
      </c>
      <c r="BC55" s="7" t="s">
        <v>142</v>
      </c>
    </row>
    <row r="56" spans="1:57" ht="12" customHeight="1" x14ac:dyDescent="0.2">
      <c r="A56" s="204"/>
      <c r="B56" s="204"/>
      <c r="C56" s="204"/>
      <c r="D56" s="204"/>
      <c r="E56" s="204"/>
      <c r="F56" s="204"/>
      <c r="G56" s="179"/>
      <c r="H56" s="179"/>
      <c r="I56" s="179"/>
      <c r="J56" s="179"/>
      <c r="K56" s="179"/>
      <c r="L56" s="179"/>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4"/>
      <c r="AU56" s="154"/>
      <c r="AV56" s="154"/>
      <c r="AW56" s="154"/>
      <c r="AX56" s="154"/>
      <c r="AY56" s="154"/>
      <c r="AZ56" s="154"/>
      <c r="BB56" s="101" t="s">
        <v>120</v>
      </c>
      <c r="BC56" s="11" t="s">
        <v>143</v>
      </c>
    </row>
    <row r="57" spans="1:57" ht="12" customHeight="1" x14ac:dyDescent="0.2">
      <c r="A57" s="204"/>
      <c r="B57" s="204"/>
      <c r="C57" s="204"/>
      <c r="D57" s="204"/>
      <c r="E57" s="204"/>
      <c r="F57" s="204"/>
      <c r="G57" s="179"/>
      <c r="H57" s="179"/>
      <c r="I57" s="179"/>
      <c r="J57" s="179"/>
      <c r="K57" s="179"/>
      <c r="L57" s="179"/>
      <c r="M57" s="154"/>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55"/>
      <c r="AK57" s="155"/>
      <c r="AL57" s="155"/>
      <c r="AM57" s="155"/>
      <c r="AN57" s="155"/>
      <c r="AO57" s="155"/>
      <c r="AP57" s="155"/>
      <c r="AQ57" s="155"/>
      <c r="AR57" s="155"/>
      <c r="AS57" s="155"/>
      <c r="AT57" s="155"/>
      <c r="AU57" s="155"/>
      <c r="AV57" s="155"/>
      <c r="AW57" s="155"/>
      <c r="AX57" s="155"/>
      <c r="AY57" s="155"/>
      <c r="AZ57" s="155"/>
    </row>
    <row r="58" spans="1:57" ht="12" customHeight="1" x14ac:dyDescent="0.2">
      <c r="A58" s="204"/>
      <c r="B58" s="204"/>
      <c r="C58" s="204"/>
      <c r="D58" s="204"/>
      <c r="E58" s="204"/>
      <c r="F58" s="204"/>
      <c r="G58" s="179"/>
      <c r="H58" s="179"/>
      <c r="I58" s="179"/>
      <c r="J58" s="179"/>
      <c r="K58" s="179"/>
      <c r="L58" s="179"/>
      <c r="M58" s="154"/>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row>
    <row r="59" spans="1:57" ht="12" customHeight="1" x14ac:dyDescent="0.2">
      <c r="A59" s="204"/>
      <c r="B59" s="204"/>
      <c r="C59" s="204"/>
      <c r="D59" s="204"/>
      <c r="E59" s="204"/>
      <c r="F59" s="204"/>
      <c r="M59" s="154"/>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row>
    <row r="60" spans="1:57" ht="12" customHeight="1" x14ac:dyDescent="0.2">
      <c r="A60" s="204"/>
      <c r="B60" s="204"/>
      <c r="C60" s="204"/>
      <c r="D60" s="204"/>
      <c r="E60" s="204"/>
      <c r="F60" s="204"/>
      <c r="M60" s="154"/>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B60" s="8"/>
    </row>
    <row r="61" spans="1:57" ht="12" customHeight="1" x14ac:dyDescent="0.2">
      <c r="A61" s="154"/>
      <c r="B61" s="154"/>
      <c r="C61" s="154"/>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4"/>
      <c r="AU61" s="154"/>
      <c r="AV61" s="154"/>
      <c r="AW61" s="154"/>
      <c r="AX61" s="154"/>
      <c r="AY61" s="154"/>
      <c r="AZ61" s="154"/>
      <c r="BB61" s="8"/>
    </row>
    <row r="62" spans="1:57" ht="12" customHeight="1" x14ac:dyDescent="0.2">
      <c r="A62" s="166" t="s">
        <v>121</v>
      </c>
      <c r="B62" s="167"/>
      <c r="C62" s="167"/>
      <c r="D62" s="167"/>
      <c r="E62" s="167"/>
      <c r="F62" s="168"/>
      <c r="G62" s="175">
        <f>BM14-1</f>
        <v>1</v>
      </c>
      <c r="H62" s="176"/>
      <c r="I62" s="176"/>
      <c r="J62" s="176"/>
      <c r="K62" s="176"/>
      <c r="L62" s="177"/>
      <c r="M62" s="195"/>
      <c r="N62" s="192" t="s">
        <v>135</v>
      </c>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4"/>
      <c r="BB62" s="8"/>
    </row>
    <row r="63" spans="1:57" ht="12" customHeight="1" x14ac:dyDescent="0.2">
      <c r="A63" s="169"/>
      <c r="B63" s="170"/>
      <c r="C63" s="170"/>
      <c r="D63" s="170"/>
      <c r="E63" s="170"/>
      <c r="F63" s="171"/>
      <c r="G63" s="178"/>
      <c r="H63" s="179"/>
      <c r="I63" s="179"/>
      <c r="J63" s="179"/>
      <c r="K63" s="179"/>
      <c r="L63" s="180"/>
      <c r="M63" s="19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55"/>
      <c r="AK63" s="155"/>
      <c r="AL63" s="155"/>
      <c r="AM63" s="155"/>
      <c r="AN63" s="155"/>
      <c r="AO63" s="155"/>
      <c r="AP63" s="155"/>
      <c r="AQ63" s="155"/>
      <c r="AR63" s="155"/>
      <c r="AS63" s="155"/>
      <c r="AT63" s="155"/>
      <c r="AU63" s="155"/>
      <c r="AV63" s="155"/>
      <c r="AW63" s="155"/>
      <c r="AX63" s="155"/>
      <c r="AY63" s="155"/>
      <c r="AZ63" s="155"/>
      <c r="BB63" s="8"/>
    </row>
    <row r="64" spans="1:57" ht="12" customHeight="1" x14ac:dyDescent="0.2">
      <c r="A64" s="169"/>
      <c r="B64" s="170"/>
      <c r="C64" s="170"/>
      <c r="D64" s="170"/>
      <c r="E64" s="170"/>
      <c r="F64" s="171"/>
      <c r="G64" s="178"/>
      <c r="H64" s="179"/>
      <c r="I64" s="179"/>
      <c r="J64" s="179"/>
      <c r="K64" s="179"/>
      <c r="L64" s="180"/>
      <c r="M64" s="195"/>
      <c r="N64" s="165" t="s">
        <v>145</v>
      </c>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B64" s="8"/>
    </row>
    <row r="65" spans="1:55" ht="12" customHeight="1" x14ac:dyDescent="0.2">
      <c r="A65" s="169"/>
      <c r="B65" s="170"/>
      <c r="C65" s="170"/>
      <c r="D65" s="170"/>
      <c r="E65" s="170"/>
      <c r="F65" s="171"/>
      <c r="G65" s="5"/>
      <c r="L65" s="7"/>
      <c r="M65" s="19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B65" s="8"/>
    </row>
    <row r="66" spans="1:55" ht="12" customHeight="1" x14ac:dyDescent="0.2">
      <c r="A66" s="172"/>
      <c r="B66" s="173"/>
      <c r="C66" s="173"/>
      <c r="D66" s="173"/>
      <c r="E66" s="173"/>
      <c r="F66" s="174"/>
      <c r="G66" s="9"/>
      <c r="H66" s="10"/>
      <c r="I66" s="10"/>
      <c r="J66" s="10"/>
      <c r="K66" s="10"/>
      <c r="L66" s="11"/>
      <c r="M66" s="19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B66" s="8"/>
    </row>
    <row r="67" spans="1:55" ht="12" customHeight="1" x14ac:dyDescent="0.2">
      <c r="A67" s="154"/>
      <c r="B67" s="154"/>
      <c r="C67" s="154"/>
      <c r="D67" s="154"/>
      <c r="E67" s="154"/>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4"/>
      <c r="AU67" s="154"/>
      <c r="AV67" s="154"/>
      <c r="AW67" s="154"/>
      <c r="AX67" s="154"/>
      <c r="AY67" s="154"/>
      <c r="AZ67" s="154"/>
      <c r="BB67" s="8"/>
    </row>
    <row r="68" spans="1:55" ht="12" customHeight="1" x14ac:dyDescent="0.2">
      <c r="A68" s="166" t="s">
        <v>463</v>
      </c>
      <c r="B68" s="167"/>
      <c r="C68" s="167"/>
      <c r="D68" s="167"/>
      <c r="E68" s="167"/>
      <c r="F68" s="168"/>
      <c r="G68" s="175" t="str">
        <f>IF(BM18=1,"YES","NO")</f>
        <v>NO</v>
      </c>
      <c r="H68" s="176"/>
      <c r="I68" s="176"/>
      <c r="J68" s="176"/>
      <c r="K68" s="176"/>
      <c r="L68" s="177"/>
      <c r="M68" s="195"/>
      <c r="N68" s="192" t="s">
        <v>461</v>
      </c>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3"/>
      <c r="AY68" s="193"/>
      <c r="AZ68" s="194"/>
      <c r="BB68" s="8"/>
    </row>
    <row r="69" spans="1:55" ht="12" customHeight="1" x14ac:dyDescent="0.2">
      <c r="A69" s="169"/>
      <c r="B69" s="170"/>
      <c r="C69" s="170"/>
      <c r="D69" s="170"/>
      <c r="E69" s="170"/>
      <c r="F69" s="171"/>
      <c r="G69" s="178"/>
      <c r="H69" s="179"/>
      <c r="I69" s="179"/>
      <c r="J69" s="179"/>
      <c r="K69" s="179"/>
      <c r="L69" s="180"/>
      <c r="M69" s="19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155"/>
      <c r="BB69" s="8"/>
    </row>
    <row r="70" spans="1:55" ht="12" customHeight="1" x14ac:dyDescent="0.2">
      <c r="A70" s="169"/>
      <c r="B70" s="170"/>
      <c r="C70" s="170"/>
      <c r="D70" s="170"/>
      <c r="E70" s="170"/>
      <c r="F70" s="171"/>
      <c r="G70" s="178"/>
      <c r="H70" s="179"/>
      <c r="I70" s="179"/>
      <c r="J70" s="179"/>
      <c r="K70" s="179"/>
      <c r="L70" s="180"/>
      <c r="M70" s="195"/>
      <c r="N70" s="165" t="s">
        <v>462</v>
      </c>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B70" s="8"/>
    </row>
    <row r="71" spans="1:55" ht="12" customHeight="1" x14ac:dyDescent="0.2">
      <c r="A71" s="169"/>
      <c r="B71" s="170"/>
      <c r="C71" s="170"/>
      <c r="D71" s="170"/>
      <c r="E71" s="170"/>
      <c r="F71" s="171"/>
      <c r="G71" s="5"/>
      <c r="L71" s="7"/>
      <c r="M71" s="19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B71" s="8"/>
    </row>
    <row r="72" spans="1:55" ht="12" customHeight="1" x14ac:dyDescent="0.2">
      <c r="A72" s="172"/>
      <c r="B72" s="173"/>
      <c r="C72" s="173"/>
      <c r="D72" s="173"/>
      <c r="E72" s="173"/>
      <c r="F72" s="174"/>
      <c r="G72" s="9"/>
      <c r="H72" s="10"/>
      <c r="I72" s="10"/>
      <c r="J72" s="10"/>
      <c r="K72" s="10"/>
      <c r="L72" s="11"/>
      <c r="M72" s="19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B72" s="8"/>
    </row>
    <row r="73" spans="1:55" ht="12" customHeight="1" x14ac:dyDescent="0.2">
      <c r="A73" s="154"/>
      <c r="B73" s="154"/>
      <c r="C73" s="154"/>
      <c r="D73" s="154"/>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4"/>
      <c r="AU73" s="154"/>
      <c r="AV73" s="154"/>
      <c r="AW73" s="154"/>
      <c r="AX73" s="154"/>
      <c r="AY73" s="154"/>
      <c r="AZ73" s="154"/>
      <c r="BB73" s="8"/>
    </row>
    <row r="74" spans="1:55" ht="12" customHeight="1" x14ac:dyDescent="0.2">
      <c r="A74" s="204"/>
      <c r="B74" s="204"/>
      <c r="C74" s="204"/>
      <c r="D74" s="204"/>
      <c r="E74" s="204"/>
      <c r="F74" s="204"/>
      <c r="G74" s="179"/>
      <c r="H74" s="179"/>
      <c r="I74" s="179"/>
      <c r="J74" s="179"/>
      <c r="K74" s="179"/>
      <c r="L74" s="179"/>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4"/>
      <c r="AU74" s="154"/>
      <c r="AV74" s="154"/>
      <c r="AW74" s="154"/>
      <c r="AX74" s="154"/>
      <c r="AY74" s="154"/>
      <c r="AZ74" s="154"/>
    </row>
    <row r="75" spans="1:55" ht="12" customHeight="1" x14ac:dyDescent="0.2">
      <c r="A75" s="204"/>
      <c r="B75" s="204"/>
      <c r="C75" s="204"/>
      <c r="D75" s="204"/>
      <c r="E75" s="204"/>
      <c r="F75" s="204"/>
      <c r="G75" s="179"/>
      <c r="H75" s="179"/>
      <c r="I75" s="179"/>
      <c r="J75" s="179"/>
      <c r="K75" s="179"/>
      <c r="L75" s="179"/>
      <c r="M75" s="154"/>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155"/>
    </row>
    <row r="76" spans="1:55" ht="12" customHeight="1" x14ac:dyDescent="0.2">
      <c r="A76" s="204"/>
      <c r="B76" s="204"/>
      <c r="C76" s="204"/>
      <c r="D76" s="204"/>
      <c r="E76" s="204"/>
      <c r="F76" s="204"/>
      <c r="G76" s="179"/>
      <c r="H76" s="179"/>
      <c r="I76" s="179"/>
      <c r="J76" s="179"/>
      <c r="K76" s="179"/>
      <c r="L76" s="179"/>
      <c r="M76" s="154"/>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B76" s="4"/>
      <c r="BC76" s="4"/>
    </row>
    <row r="77" spans="1:55" ht="12" customHeight="1" x14ac:dyDescent="0.2">
      <c r="A77" s="204"/>
      <c r="B77" s="204"/>
      <c r="C77" s="204"/>
      <c r="D77" s="204"/>
      <c r="E77" s="204"/>
      <c r="F77" s="204"/>
      <c r="M77" s="154"/>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B77" s="8"/>
    </row>
    <row r="78" spans="1:55" ht="12" customHeight="1" x14ac:dyDescent="0.2">
      <c r="A78" s="204"/>
      <c r="B78" s="204"/>
      <c r="C78" s="204"/>
      <c r="D78" s="204"/>
      <c r="E78" s="204"/>
      <c r="F78" s="204"/>
      <c r="M78" s="154"/>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B78" s="8"/>
    </row>
    <row r="79" spans="1:55" ht="12" customHeight="1" x14ac:dyDescent="0.2">
      <c r="A79" s="154"/>
      <c r="B79" s="154"/>
      <c r="C79" s="154"/>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4"/>
      <c r="AU79" s="154"/>
      <c r="AV79" s="154"/>
      <c r="AW79" s="154"/>
      <c r="AX79" s="154"/>
      <c r="AY79" s="154"/>
      <c r="AZ79" s="154"/>
    </row>
    <row r="80" spans="1:55" ht="12" customHeight="1" x14ac:dyDescent="0.2">
      <c r="A80" s="166" t="s">
        <v>122</v>
      </c>
      <c r="B80" s="167"/>
      <c r="C80" s="167"/>
      <c r="D80" s="167"/>
      <c r="E80" s="167"/>
      <c r="F80" s="168"/>
      <c r="G80" s="175" t="str">
        <f>IF(BM26=1,"YES","NO")</f>
        <v>YES</v>
      </c>
      <c r="H80" s="176"/>
      <c r="I80" s="176"/>
      <c r="J80" s="176"/>
      <c r="K80" s="176"/>
      <c r="L80" s="177"/>
      <c r="M80" s="154"/>
      <c r="N80" s="192" t="s">
        <v>136</v>
      </c>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4"/>
    </row>
    <row r="81" spans="1:55" ht="12" customHeight="1" x14ac:dyDescent="0.2">
      <c r="A81" s="169"/>
      <c r="B81" s="170"/>
      <c r="C81" s="170"/>
      <c r="D81" s="170"/>
      <c r="E81" s="170"/>
      <c r="F81" s="171"/>
      <c r="G81" s="178"/>
      <c r="H81" s="179"/>
      <c r="I81" s="179"/>
      <c r="J81" s="179"/>
      <c r="K81" s="179"/>
      <c r="L81" s="180"/>
      <c r="M81" s="154"/>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159"/>
      <c r="AK81" s="159"/>
      <c r="AL81" s="159"/>
      <c r="AM81" s="159"/>
      <c r="AN81" s="159"/>
      <c r="AO81" s="159"/>
      <c r="AP81" s="159"/>
      <c r="AQ81" s="159"/>
      <c r="AR81" s="159"/>
      <c r="AS81" s="159"/>
      <c r="AT81" s="159"/>
      <c r="AU81" s="159"/>
      <c r="AV81" s="159"/>
      <c r="AW81" s="159"/>
      <c r="AX81" s="159"/>
      <c r="AY81" s="159"/>
      <c r="AZ81" s="159"/>
      <c r="BB81" s="4"/>
      <c r="BC81" s="4"/>
    </row>
    <row r="82" spans="1:55" ht="12" customHeight="1" x14ac:dyDescent="0.2">
      <c r="A82" s="169"/>
      <c r="B82" s="170"/>
      <c r="C82" s="170"/>
      <c r="D82" s="170"/>
      <c r="E82" s="170"/>
      <c r="F82" s="171"/>
      <c r="G82" s="178"/>
      <c r="H82" s="179"/>
      <c r="I82" s="179"/>
      <c r="J82" s="179"/>
      <c r="K82" s="179"/>
      <c r="L82" s="180"/>
      <c r="M82" s="154"/>
      <c r="N82" s="165" t="s">
        <v>123</v>
      </c>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B82" s="8"/>
    </row>
    <row r="83" spans="1:55" ht="12" customHeight="1" x14ac:dyDescent="0.2">
      <c r="A83" s="169"/>
      <c r="B83" s="170"/>
      <c r="C83" s="170"/>
      <c r="D83" s="170"/>
      <c r="E83" s="170"/>
      <c r="F83" s="171"/>
      <c r="G83" s="5"/>
      <c r="L83" s="7"/>
      <c r="M83" s="154"/>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B83" s="8"/>
    </row>
    <row r="84" spans="1:55" ht="12" customHeight="1" x14ac:dyDescent="0.2">
      <c r="A84" s="172"/>
      <c r="B84" s="173"/>
      <c r="C84" s="173"/>
      <c r="D84" s="173"/>
      <c r="E84" s="173"/>
      <c r="F84" s="174"/>
      <c r="G84" s="9"/>
      <c r="H84" s="10"/>
      <c r="I84" s="10"/>
      <c r="J84" s="10"/>
      <c r="K84" s="10"/>
      <c r="L84" s="11"/>
      <c r="M84" s="154"/>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B84" s="8"/>
    </row>
    <row r="85" spans="1:55" ht="12" customHeight="1" x14ac:dyDescent="0.2">
      <c r="A85" s="154"/>
      <c r="B85" s="154"/>
      <c r="C85" s="154"/>
      <c r="D85" s="154"/>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c r="AZ85" s="154"/>
    </row>
    <row r="86" spans="1:55" ht="12" customHeight="1" x14ac:dyDescent="0.2">
      <c r="A86" s="166" t="s">
        <v>161</v>
      </c>
      <c r="B86" s="167"/>
      <c r="C86" s="167"/>
      <c r="D86" s="167"/>
      <c r="E86" s="167"/>
      <c r="F86" s="168"/>
      <c r="G86" s="175">
        <f>BM30-1</f>
        <v>0</v>
      </c>
      <c r="H86" s="176"/>
      <c r="I86" s="176"/>
      <c r="J86" s="176"/>
      <c r="K86" s="176"/>
      <c r="L86" s="177"/>
      <c r="M86" s="154"/>
      <c r="N86" s="192" t="s">
        <v>159</v>
      </c>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4"/>
    </row>
    <row r="87" spans="1:55" ht="12" customHeight="1" x14ac:dyDescent="0.2">
      <c r="A87" s="169"/>
      <c r="B87" s="170"/>
      <c r="C87" s="170"/>
      <c r="D87" s="170"/>
      <c r="E87" s="170"/>
      <c r="F87" s="171"/>
      <c r="G87" s="178"/>
      <c r="H87" s="179"/>
      <c r="I87" s="179"/>
      <c r="J87" s="179"/>
      <c r="K87" s="179"/>
      <c r="L87" s="180"/>
      <c r="M87" s="154"/>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c r="AT87" s="159"/>
      <c r="AU87" s="159"/>
      <c r="AV87" s="159"/>
      <c r="AW87" s="159"/>
      <c r="AX87" s="159"/>
      <c r="AY87" s="159"/>
      <c r="AZ87" s="159"/>
    </row>
    <row r="88" spans="1:55" ht="12" customHeight="1" x14ac:dyDescent="0.2">
      <c r="A88" s="169"/>
      <c r="B88" s="170"/>
      <c r="C88" s="170"/>
      <c r="D88" s="170"/>
      <c r="E88" s="170"/>
      <c r="F88" s="171"/>
      <c r="G88" s="178"/>
      <c r="H88" s="179"/>
      <c r="I88" s="179"/>
      <c r="J88" s="179"/>
      <c r="K88" s="179"/>
      <c r="L88" s="180"/>
      <c r="M88" s="154"/>
      <c r="N88" s="165" t="s">
        <v>160</v>
      </c>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row>
    <row r="89" spans="1:55" ht="12" customHeight="1" x14ac:dyDescent="0.2">
      <c r="A89" s="169"/>
      <c r="B89" s="170"/>
      <c r="C89" s="170"/>
      <c r="D89" s="170"/>
      <c r="E89" s="170"/>
      <c r="F89" s="171"/>
      <c r="G89" s="5"/>
      <c r="L89" s="7"/>
      <c r="M89" s="154"/>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row>
    <row r="90" spans="1:55" ht="12" customHeight="1" x14ac:dyDescent="0.2">
      <c r="A90" s="172"/>
      <c r="B90" s="173"/>
      <c r="C90" s="173"/>
      <c r="D90" s="173"/>
      <c r="E90" s="173"/>
      <c r="F90" s="174"/>
      <c r="G90" s="9"/>
      <c r="H90" s="10"/>
      <c r="I90" s="10"/>
      <c r="J90" s="10"/>
      <c r="K90" s="10"/>
      <c r="L90" s="11"/>
      <c r="M90" s="154"/>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row>
    <row r="91" spans="1:55" ht="12" customHeight="1" x14ac:dyDescent="0.2">
      <c r="A91" s="154"/>
      <c r="B91" s="154"/>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row>
    <row r="92" spans="1:55" ht="12" customHeight="1" x14ac:dyDescent="0.2">
      <c r="A92" s="13"/>
      <c r="B92" s="13"/>
      <c r="C92" s="13"/>
      <c r="D92" s="13"/>
      <c r="E92" s="13"/>
      <c r="F92" s="13"/>
      <c r="G92" s="14"/>
      <c r="H92" s="14"/>
      <c r="I92" s="14"/>
      <c r="J92" s="14"/>
      <c r="K92" s="14"/>
      <c r="L92" s="14"/>
    </row>
    <row r="93" spans="1:55" ht="12" customHeight="1" x14ac:dyDescent="0.2">
      <c r="A93" s="13"/>
      <c r="B93" s="13"/>
      <c r="C93" s="13"/>
      <c r="D93" s="13"/>
      <c r="E93" s="13"/>
      <c r="F93" s="13"/>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row>
    <row r="95" spans="1:55" ht="12" customHeight="1" x14ac:dyDescent="0.2">
      <c r="A95" s="13"/>
      <c r="B95" s="13"/>
      <c r="C95" s="13"/>
      <c r="D95" s="13"/>
      <c r="E95" s="13"/>
      <c r="F95" s="13"/>
      <c r="G95" s="14"/>
      <c r="H95" s="14"/>
      <c r="I95" s="14"/>
      <c r="J95" s="14"/>
      <c r="K95" s="14"/>
      <c r="L95" s="14"/>
    </row>
    <row r="96" spans="1:55" ht="12" customHeight="1" x14ac:dyDescent="0.2">
      <c r="A96" s="13"/>
      <c r="B96" s="13"/>
      <c r="C96" s="13"/>
      <c r="D96" s="13"/>
      <c r="E96" s="13"/>
      <c r="F96" s="13"/>
      <c r="G96" s="14"/>
      <c r="H96" s="14"/>
      <c r="I96" s="14"/>
      <c r="J96" s="14"/>
      <c r="K96" s="14"/>
      <c r="L96" s="14"/>
    </row>
    <row r="97" spans="1:52" ht="12" customHeight="1" x14ac:dyDescent="0.2">
      <c r="A97" s="13"/>
      <c r="B97" s="13"/>
      <c r="C97" s="13"/>
      <c r="D97" s="13"/>
      <c r="E97" s="13"/>
      <c r="F97" s="13"/>
      <c r="G97" s="14"/>
      <c r="H97" s="14"/>
      <c r="I97" s="14"/>
      <c r="J97" s="14"/>
      <c r="K97" s="14"/>
      <c r="L97" s="14"/>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row>
    <row r="98" spans="1:52" ht="12" customHeight="1" x14ac:dyDescent="0.2">
      <c r="A98" s="13"/>
      <c r="B98" s="13"/>
      <c r="C98" s="13"/>
      <c r="D98" s="13"/>
      <c r="E98" s="13"/>
      <c r="F98" s="13"/>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row>
    <row r="99" spans="1:52" ht="12" customHeight="1" x14ac:dyDescent="0.2">
      <c r="A99" s="13"/>
      <c r="B99" s="13"/>
      <c r="C99" s="13"/>
      <c r="D99" s="13"/>
      <c r="E99" s="13"/>
      <c r="F99" s="13"/>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row>
    <row r="101" spans="1:52" ht="12" customHeight="1" x14ac:dyDescent="0.2">
      <c r="A101" s="13"/>
      <c r="B101" s="13"/>
      <c r="C101" s="13"/>
      <c r="D101" s="13"/>
      <c r="E101" s="13"/>
      <c r="F101" s="13"/>
      <c r="G101" s="14"/>
      <c r="H101" s="14"/>
      <c r="I101" s="14"/>
      <c r="J101" s="14"/>
      <c r="K101" s="14"/>
      <c r="L101" s="14"/>
    </row>
    <row r="102" spans="1:52" ht="12" customHeight="1" x14ac:dyDescent="0.2">
      <c r="A102" s="13"/>
      <c r="B102" s="13"/>
      <c r="C102" s="13"/>
      <c r="D102" s="13"/>
      <c r="E102" s="13"/>
      <c r="F102" s="13"/>
      <c r="G102" s="14"/>
      <c r="H102" s="14"/>
      <c r="I102" s="14"/>
      <c r="J102" s="14"/>
      <c r="K102" s="14"/>
      <c r="L102" s="14"/>
    </row>
    <row r="103" spans="1:52" ht="12" customHeight="1" x14ac:dyDescent="0.2">
      <c r="A103" s="13"/>
      <c r="B103" s="13"/>
      <c r="C103" s="13"/>
      <c r="D103" s="13"/>
      <c r="E103" s="13"/>
      <c r="F103" s="13"/>
      <c r="G103" s="14"/>
      <c r="H103" s="14"/>
      <c r="I103" s="14"/>
      <c r="J103" s="14"/>
      <c r="K103" s="14"/>
      <c r="L103" s="14"/>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row>
    <row r="104" spans="1:52" ht="12" customHeight="1" x14ac:dyDescent="0.2">
      <c r="A104" s="13"/>
      <c r="B104" s="13"/>
      <c r="C104" s="13"/>
      <c r="D104" s="13"/>
      <c r="E104" s="13"/>
      <c r="F104" s="13"/>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row>
    <row r="105" spans="1:52" ht="12" customHeight="1" x14ac:dyDescent="0.2">
      <c r="A105" s="13"/>
      <c r="B105" s="13"/>
      <c r="C105" s="13"/>
      <c r="D105" s="13"/>
      <c r="E105" s="13"/>
      <c r="F105" s="13"/>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row>
  </sheetData>
  <sheetProtection selectLockedCells="1"/>
  <dataConsolidate/>
  <mergeCells count="135">
    <mergeCell ref="N35:AJ35"/>
    <mergeCell ref="N38:AJ38"/>
    <mergeCell ref="N17:AJ17"/>
    <mergeCell ref="A21:L21"/>
    <mergeCell ref="N15:AJ15"/>
    <mergeCell ref="N45:AZ47"/>
    <mergeCell ref="N44:AZ44"/>
    <mergeCell ref="A40:AZ40"/>
    <mergeCell ref="A80:F84"/>
    <mergeCell ref="G80:L82"/>
    <mergeCell ref="M80:M84"/>
    <mergeCell ref="N80:AZ80"/>
    <mergeCell ref="N81:AZ81"/>
    <mergeCell ref="N82:AZ84"/>
    <mergeCell ref="M68:M72"/>
    <mergeCell ref="N69:AZ69"/>
    <mergeCell ref="N70:AZ72"/>
    <mergeCell ref="N68:AZ68"/>
    <mergeCell ref="A56:F60"/>
    <mergeCell ref="G56:L58"/>
    <mergeCell ref="M56:M60"/>
    <mergeCell ref="G62:L64"/>
    <mergeCell ref="A61:AZ61"/>
    <mergeCell ref="A62:F66"/>
    <mergeCell ref="A91:AZ91"/>
    <mergeCell ref="G74:L76"/>
    <mergeCell ref="M74:M78"/>
    <mergeCell ref="A86:F90"/>
    <mergeCell ref="G86:L88"/>
    <mergeCell ref="M86:M90"/>
    <mergeCell ref="N86:AZ86"/>
    <mergeCell ref="N87:AZ87"/>
    <mergeCell ref="N88:AZ90"/>
    <mergeCell ref="N74:AZ74"/>
    <mergeCell ref="A85:AZ85"/>
    <mergeCell ref="A74:F78"/>
    <mergeCell ref="A79:AZ79"/>
    <mergeCell ref="N76:AZ78"/>
    <mergeCell ref="BB50:BC50"/>
    <mergeCell ref="A55:AZ55"/>
    <mergeCell ref="A6:L6"/>
    <mergeCell ref="N6:AJ6"/>
    <mergeCell ref="A7:L7"/>
    <mergeCell ref="A14:L14"/>
    <mergeCell ref="A33:L33"/>
    <mergeCell ref="A37:L37"/>
    <mergeCell ref="A35:L35"/>
    <mergeCell ref="A32:L32"/>
    <mergeCell ref="G50:L52"/>
    <mergeCell ref="N50:AZ50"/>
    <mergeCell ref="N14:AJ14"/>
    <mergeCell ref="A24:L24"/>
    <mergeCell ref="N19:AJ19"/>
    <mergeCell ref="N24:AJ24"/>
    <mergeCell ref="A28:L28"/>
    <mergeCell ref="A29:L29"/>
    <mergeCell ref="N29:AJ29"/>
    <mergeCell ref="A15:L15"/>
    <mergeCell ref="N51:AZ51"/>
    <mergeCell ref="N52:AZ54"/>
    <mergeCell ref="A30:L30"/>
    <mergeCell ref="N30:AJ30"/>
    <mergeCell ref="A1:AZ3"/>
    <mergeCell ref="A4:AZ4"/>
    <mergeCell ref="A5:AZ5"/>
    <mergeCell ref="A27:L27"/>
    <mergeCell ref="N27:AJ27"/>
    <mergeCell ref="A39:L39"/>
    <mergeCell ref="A36:L36"/>
    <mergeCell ref="AK6:AZ6"/>
    <mergeCell ref="AK9:AZ9"/>
    <mergeCell ref="A9:L9"/>
    <mergeCell ref="A26:L26"/>
    <mergeCell ref="N9:AJ9"/>
    <mergeCell ref="N26:AJ26"/>
    <mergeCell ref="A16:L16"/>
    <mergeCell ref="N16:AJ16"/>
    <mergeCell ref="A25:AJ25"/>
    <mergeCell ref="A13:L13"/>
    <mergeCell ref="A18:L18"/>
    <mergeCell ref="A23:L23"/>
    <mergeCell ref="N13:AJ13"/>
    <mergeCell ref="N18:AJ18"/>
    <mergeCell ref="N23:AJ23"/>
    <mergeCell ref="A22:L22"/>
    <mergeCell ref="N28:AJ28"/>
    <mergeCell ref="N62:AZ62"/>
    <mergeCell ref="N63:AZ63"/>
    <mergeCell ref="M62:M66"/>
    <mergeCell ref="N64:AZ66"/>
    <mergeCell ref="N57:AZ57"/>
    <mergeCell ref="A68:F72"/>
    <mergeCell ref="G68:L70"/>
    <mergeCell ref="N75:AZ75"/>
    <mergeCell ref="A67:AZ67"/>
    <mergeCell ref="A73:AZ73"/>
    <mergeCell ref="A41:AZ41"/>
    <mergeCell ref="N58:AZ60"/>
    <mergeCell ref="N56:AZ56"/>
    <mergeCell ref="A49:AZ49"/>
    <mergeCell ref="A50:F54"/>
    <mergeCell ref="G43:L45"/>
    <mergeCell ref="A20:L20"/>
    <mergeCell ref="N20:AJ20"/>
    <mergeCell ref="N21:AJ21"/>
    <mergeCell ref="N36:AJ36"/>
    <mergeCell ref="A34:L34"/>
    <mergeCell ref="N34:AJ34"/>
    <mergeCell ref="N33:AJ33"/>
    <mergeCell ref="N32:AJ32"/>
    <mergeCell ref="AK28:AZ39"/>
    <mergeCell ref="A48:AZ48"/>
    <mergeCell ref="A42:AZ42"/>
    <mergeCell ref="A43:F47"/>
    <mergeCell ref="N43:AZ43"/>
    <mergeCell ref="M43:M47"/>
    <mergeCell ref="A38:L38"/>
    <mergeCell ref="A31:AJ31"/>
    <mergeCell ref="N39:AJ39"/>
    <mergeCell ref="N37:AJ37"/>
    <mergeCell ref="AK7:AZ7"/>
    <mergeCell ref="A8:L8"/>
    <mergeCell ref="N8:AJ8"/>
    <mergeCell ref="AK8:AZ8"/>
    <mergeCell ref="A10:L10"/>
    <mergeCell ref="N10:AJ10"/>
    <mergeCell ref="AK10:AZ27"/>
    <mergeCell ref="N22:AJ22"/>
    <mergeCell ref="A11:L11"/>
    <mergeCell ref="A19:L19"/>
    <mergeCell ref="N12:AJ12"/>
    <mergeCell ref="N7:AJ7"/>
    <mergeCell ref="N11:AJ11"/>
    <mergeCell ref="A12:L12"/>
    <mergeCell ref="A17:L17"/>
  </mergeCells>
  <phoneticPr fontId="2" type="noConversion"/>
  <conditionalFormatting sqref="N32:AJ32 N39:AJ39 N8:AJ12 N26:AJ30 N14:AJ17 N13 N19:AJ22 N18 N24:AJ24 N23">
    <cfRule type="containsBlanks" dxfId="137" priority="3" stopIfTrue="1">
      <formula>LEN(TRIM(N8))=0</formula>
    </cfRule>
  </conditionalFormatting>
  <conditionalFormatting sqref="N6:AJ7">
    <cfRule type="containsBlanks" dxfId="136" priority="1" stopIfTrue="1">
      <formula>LEN(TRIM(N6))=0</formula>
    </cfRule>
  </conditionalFormatting>
  <dataValidations count="26">
    <dataValidation allowBlank="1" showInputMessage="1" showErrorMessage="1" error="Must enter date (mm/dd/yyyy)" promptTitle="Vessel Name" prompt="Please enter the name of the vessel" sqref="N6:AJ6" xr:uid="{C40B9E74-5EA5-48C1-8776-5E667F5C2562}"/>
    <dataValidation type="whole" allowBlank="1" showInputMessage="1" showErrorMessage="1" errorTitle="Invalid IMO" error="Enter a 7 digit IMO number, if this is not available please leave blank." promptTitle="IMO number" prompt="Enter a 7 digit IMO number, if this is not available please leave blank" sqref="N7:AJ7" xr:uid="{36065247-C476-4C81-BCBB-D30027E242AF}">
      <formula1>1000000</formula1>
      <formula2>9999999</formula2>
    </dataValidation>
    <dataValidation type="date" operator="greaterThan" allowBlank="1" showInputMessage="1" showErrorMessage="1" errorTitle="Invalid date entered" error="Please enter the date in format dd/mm/yyyy" promptTitle="#1 Delivery Date" prompt="Date of delivery of the 1st grade, please enter the date in format dd/mm/yyyy" sqref="N10:AJ10" xr:uid="{00000000-0002-0000-0100-000002000000}">
      <formula1>40179</formula1>
    </dataValidation>
    <dataValidation allowBlank="1" showInputMessage="1" showErrorMessage="1" promptTitle="Master Name" prompt="Please enter the name of the Master of the vessel" sqref="N8:AJ8" xr:uid="{00000000-0002-0000-0100-000003000000}"/>
    <dataValidation allowBlank="1" showInputMessage="1" showErrorMessage="1" promptTitle="Chief Engineer Name" prompt="Please enter the name of the Chief Engineer of the vessel" sqref="N9:AJ9" xr:uid="{00000000-0002-0000-0100-000004000000}"/>
    <dataValidation allowBlank="1" showInputMessage="1" showErrorMessage="1" promptTitle="#1 Supplier" prompt="Please enter the name of the supplier of the 1st grade" sqref="N11:AJ11" xr:uid="{00000000-0002-0000-0100-000005000000}"/>
    <dataValidation allowBlank="1" showInputMessage="1" showErrorMessage="1" promptTitle="#1 Barge Name" prompt="Please enter the name of the Barge(s) that has delivered the 1st grade" sqref="N12:AJ12" xr:uid="{00000000-0002-0000-0100-000006000000}"/>
    <dataValidation allowBlank="1" showInputMessage="1" showErrorMessage="1" promptTitle="#1 Grade" prompt="Please enter the 1st grade delivered" sqref="N14:AJ14" xr:uid="{00000000-0002-0000-0100-000007000000}"/>
    <dataValidation type="date" operator="greaterThan" allowBlank="1" showInputMessage="1" showErrorMessage="1" errorTitle="Invalid date entered" error="Please enter the date in format dd/mm/yyyy" promptTitle="#2 Delivery Date" prompt="Date of delivery of the 2nd grade, please enter the date in format dd/mm/yyyy" sqref="N15:AJ15" xr:uid="{00000000-0002-0000-0100-000008000000}">
      <formula1>40179</formula1>
    </dataValidation>
    <dataValidation allowBlank="1" showInputMessage="1" showErrorMessage="1" promptTitle="#2 Supplier" prompt="Please enter the name of the supplier of the 2nd grade" sqref="N16:AJ16" xr:uid="{00000000-0002-0000-0100-000009000000}"/>
    <dataValidation allowBlank="1" showInputMessage="1" showErrorMessage="1" promptTitle="#2 Barge Name" prompt="Please enter the name of the Barge(s) that has delivered the 2nd grade" sqref="N17:AJ17" xr:uid="{00000000-0002-0000-0100-00000A000000}"/>
    <dataValidation allowBlank="1" showInputMessage="1" showErrorMessage="1" promptTitle="#2 Grade" prompt="Please enter the 2nd grade delivered" sqref="N19:AJ19" xr:uid="{00000000-0002-0000-0100-00000B000000}"/>
    <dataValidation type="date" operator="greaterThan" allowBlank="1" showInputMessage="1" showErrorMessage="1" errorTitle="Invalid date entered" error="Please enter the date in format dd/mm/yyyy" promptTitle="#3 Delivery Date" prompt="Date of delivery of the 3rd grade, please enter the date in format dd/mm/yyyy" sqref="N20:AJ20" xr:uid="{00000000-0002-0000-0100-00000C000000}">
      <formula1>40179</formula1>
    </dataValidation>
    <dataValidation allowBlank="1" showInputMessage="1" showErrorMessage="1" promptTitle="#3 Supplier" prompt="Please enter the name of the supplier of the 3rd grade" sqref="N21:AJ21" xr:uid="{00000000-0002-0000-0100-00000D000000}"/>
    <dataValidation allowBlank="1" showInputMessage="1" showErrorMessage="1" promptTitle="#3 Barge Name" prompt="Please enter the name of the Barge(s) that has delivered the 3rd grade" sqref="N22:AJ22" xr:uid="{00000000-0002-0000-0100-00000E000000}"/>
    <dataValidation allowBlank="1" showInputMessage="1" showErrorMessage="1" promptTitle="#3 Grade" prompt="Please enter the 3rd grade delivered" sqref="N24:AJ24" xr:uid="{00000000-0002-0000-0100-00000F000000}"/>
    <dataValidation allowBlank="1" showInputMessage="1" showErrorMessage="1" promptTitle="Terminal or Location" prompt="If applicable please enter the name of the terminal or location where the delivery has taken place e.g. anchorage" sqref="N26:AJ26" xr:uid="{00000000-0002-0000-0100-000010000000}"/>
    <dataValidation allowBlank="1" showInputMessage="1" showErrorMessage="1" promptTitle="Port" prompt="Please enter the name of the port in which the delivery has taken place" sqref="N27:AJ27" xr:uid="{00000000-0002-0000-0100-000011000000}"/>
    <dataValidation allowBlank="1" showInputMessage="1" showErrorMessage="1" promptTitle="Your reference" prompt="If applicable please enter your reference number" sqref="N28:AJ28" xr:uid="{00000000-0002-0000-0100-000012000000}"/>
    <dataValidation allowBlank="1" showInputMessage="1" showErrorMessage="1" promptTitle="Intertek Inspector" prompt="Please enter your name" sqref="N29:AJ29" xr:uid="{00000000-0002-0000-0100-000013000000}"/>
    <dataValidation allowBlank="1" showInputMessage="1" showErrorMessage="1" promptTitle="Customer name" prompt="If known please enter, otherwise leave blank" sqref="N32:AJ32" xr:uid="{00000000-0002-0000-0100-000014000000}"/>
    <dataValidation allowBlank="1" showInputMessage="1" showErrorMessage="1" promptTitle="ShipCare Reference" prompt="Please enter the ShipCare reference (SC...) this is included in the original nomination" sqref="N39:AJ39" xr:uid="{00000000-0002-0000-0100-000015000000}"/>
    <dataValidation allowBlank="1" showInputMessage="1" showErrorMessage="1" promptTitle="Licence No (Singapore Only)" prompt="Please enter your Licence No." sqref="N30:AJ30" xr:uid="{00000000-0002-0000-0100-000016000000}"/>
    <dataValidation allowBlank="1" showInputMessage="1" showErrorMessage="1" promptTitle="#1 Barge Captain Name" prompt="Please enter the name of the Barge Captain" sqref="N13:AJ13" xr:uid="{9C6C6910-BA45-43B3-810C-E60AED69AD5B}"/>
    <dataValidation allowBlank="1" showInputMessage="1" showErrorMessage="1" promptTitle="#2 Barge Captain Name" prompt="Please enter the name of the Barge Captain_x000a_" sqref="N18:AJ18" xr:uid="{7C853C0D-0007-42B2-B7BF-CB748AC04E44}"/>
    <dataValidation allowBlank="1" showInputMessage="1" showErrorMessage="1" promptTitle="#3 Barge Captain Name" prompt="Please enter the name of the Barge Captain" sqref="N23:AJ23" xr:uid="{124E70CF-DC5B-4D03-8592-B3CE94093711}"/>
  </dataValidations>
  <printOptions horizontalCentered="1"/>
  <pageMargins left="0" right="0" top="0.5" bottom="0" header="0.5" footer="0.25"/>
  <pageSetup orientation="portrait" r:id="rId1"/>
  <headerFooter alignWithMargins="0"/>
  <ignoredErrors>
    <ignoredError sqref="A1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204" r:id="rId4" name="Button 36">
              <controlPr defaultSize="0" print="0" autoFill="0" autoPict="0" macro="[0]!Button23_Click">
                <anchor moveWithCells="1" sizeWithCells="1">
                  <from>
                    <xdr:col>53</xdr:col>
                    <xdr:colOff>0</xdr:colOff>
                    <xdr:row>1</xdr:row>
                    <xdr:rowOff>0</xdr:rowOff>
                  </from>
                  <to>
                    <xdr:col>55</xdr:col>
                    <xdr:colOff>0</xdr:colOff>
                    <xdr:row>4</xdr:row>
                    <xdr:rowOff>0</xdr:rowOff>
                  </to>
                </anchor>
              </controlPr>
            </control>
          </mc:Choice>
        </mc:AlternateContent>
        <mc:AlternateContent xmlns:mc="http://schemas.openxmlformats.org/markup-compatibility/2006">
          <mc:Choice Requires="x14">
            <control shapeId="7672" r:id="rId5" name="Button 504">
              <controlPr defaultSize="0" print="0" autoFill="0" autoPict="0" macro="[0]!Button412_Click">
                <anchor moveWithCells="1" sizeWithCells="1">
                  <from>
                    <xdr:col>0</xdr:col>
                    <xdr:colOff>47625</xdr:colOff>
                    <xdr:row>103</xdr:row>
                    <xdr:rowOff>0</xdr:rowOff>
                  </from>
                  <to>
                    <xdr:col>19</xdr:col>
                    <xdr:colOff>47625</xdr:colOff>
                    <xdr:row>106</xdr:row>
                    <xdr:rowOff>133350</xdr:rowOff>
                  </to>
                </anchor>
              </controlPr>
            </control>
          </mc:Choice>
        </mc:AlternateContent>
        <mc:AlternateContent xmlns:mc="http://schemas.openxmlformats.org/markup-compatibility/2006">
          <mc:Choice Requires="x14">
            <control shapeId="7761" r:id="rId6" name="Drop Down 593">
              <controlPr defaultSize="0" autoLine="0" autoPict="0" macro="[0]!ListBox31_Change">
                <anchor moveWithCells="1">
                  <from>
                    <xdr:col>6</xdr:col>
                    <xdr:colOff>0</xdr:colOff>
                    <xdr:row>44</xdr:row>
                    <xdr:rowOff>123825</xdr:rowOff>
                  </from>
                  <to>
                    <xdr:col>11</xdr:col>
                    <xdr:colOff>104775</xdr:colOff>
                    <xdr:row>46</xdr:row>
                    <xdr:rowOff>142875</xdr:rowOff>
                  </to>
                </anchor>
              </controlPr>
            </control>
          </mc:Choice>
        </mc:AlternateContent>
        <mc:AlternateContent xmlns:mc="http://schemas.openxmlformats.org/markup-compatibility/2006">
          <mc:Choice Requires="x14">
            <control shapeId="7766" r:id="rId7" name="Drop Down 598">
              <controlPr defaultSize="0" autoLine="0" autoPict="0" macro="[0]!ListBox11_Change">
                <anchor moveWithCells="1">
                  <from>
                    <xdr:col>5</xdr:col>
                    <xdr:colOff>104775</xdr:colOff>
                    <xdr:row>52</xdr:row>
                    <xdr:rowOff>9525</xdr:rowOff>
                  </from>
                  <to>
                    <xdr:col>12</xdr:col>
                    <xdr:colOff>0</xdr:colOff>
                    <xdr:row>54</xdr:row>
                    <xdr:rowOff>9525</xdr:rowOff>
                  </to>
                </anchor>
              </controlPr>
            </control>
          </mc:Choice>
        </mc:AlternateContent>
        <mc:AlternateContent xmlns:mc="http://schemas.openxmlformats.org/markup-compatibility/2006">
          <mc:Choice Requires="x14">
            <control shapeId="7771" r:id="rId8" name="Drop Down 603">
              <controlPr defaultSize="0" autoLine="0" autoPict="0" macro="[0]!ListBox63_Change">
                <anchor moveWithCells="1">
                  <from>
                    <xdr:col>6</xdr:col>
                    <xdr:colOff>9525</xdr:colOff>
                    <xdr:row>64</xdr:row>
                    <xdr:rowOff>9525</xdr:rowOff>
                  </from>
                  <to>
                    <xdr:col>12</xdr:col>
                    <xdr:colOff>0</xdr:colOff>
                    <xdr:row>65</xdr:row>
                    <xdr:rowOff>142875</xdr:rowOff>
                  </to>
                </anchor>
              </controlPr>
            </control>
          </mc:Choice>
        </mc:AlternateContent>
        <mc:AlternateContent xmlns:mc="http://schemas.openxmlformats.org/markup-compatibility/2006">
          <mc:Choice Requires="x14">
            <control shapeId="7778" r:id="rId9" name="Drop Down 610">
              <controlPr defaultSize="0" autoLine="0" autoPict="0" macro="[0]!ListBox17_Change">
                <anchor moveWithCells="1">
                  <from>
                    <xdr:col>6</xdr:col>
                    <xdr:colOff>19050</xdr:colOff>
                    <xdr:row>82</xdr:row>
                    <xdr:rowOff>9525</xdr:rowOff>
                  </from>
                  <to>
                    <xdr:col>12</xdr:col>
                    <xdr:colOff>9525</xdr:colOff>
                    <xdr:row>84</xdr:row>
                    <xdr:rowOff>0</xdr:rowOff>
                  </to>
                </anchor>
              </controlPr>
            </control>
          </mc:Choice>
        </mc:AlternateContent>
        <mc:AlternateContent xmlns:mc="http://schemas.openxmlformats.org/markup-compatibility/2006">
          <mc:Choice Requires="x14">
            <control shapeId="7781" r:id="rId10" name="Drop Down 613">
              <controlPr defaultSize="0" autoLine="0" autoPict="0" macro="[0]!DropDown613_Change">
                <anchor moveWithCells="1">
                  <from>
                    <xdr:col>6</xdr:col>
                    <xdr:colOff>0</xdr:colOff>
                    <xdr:row>88</xdr:row>
                    <xdr:rowOff>0</xdr:rowOff>
                  </from>
                  <to>
                    <xdr:col>11</xdr:col>
                    <xdr:colOff>104775</xdr:colOff>
                    <xdr:row>89</xdr:row>
                    <xdr:rowOff>142875</xdr:rowOff>
                  </to>
                </anchor>
              </controlPr>
            </control>
          </mc:Choice>
        </mc:AlternateContent>
        <mc:AlternateContent xmlns:mc="http://schemas.openxmlformats.org/markup-compatibility/2006">
          <mc:Choice Requires="x14">
            <control shapeId="7799" r:id="rId11" name="Drop Down 631">
              <controlPr defaultSize="0" autoLine="0" autoPict="0" macro="[0]!DropDown613_Change">
                <anchor moveWithCells="1">
                  <from>
                    <xdr:col>6</xdr:col>
                    <xdr:colOff>9525</xdr:colOff>
                    <xdr:row>70</xdr:row>
                    <xdr:rowOff>9525</xdr:rowOff>
                  </from>
                  <to>
                    <xdr:col>12</xdr:col>
                    <xdr:colOff>0</xdr:colOff>
                    <xdr:row>71</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A1:BF61"/>
  <sheetViews>
    <sheetView zoomScaleNormal="100" workbookViewId="0">
      <selection activeCell="BG36" sqref="BG36"/>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hidden="1"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388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4"/>
      <c r="B6" s="154"/>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row>
    <row r="7" spans="1:52" ht="12" customHeight="1" x14ac:dyDescent="0.2">
      <c r="A7" s="155" t="s">
        <v>367</v>
      </c>
      <c r="B7" s="155"/>
      <c r="C7" s="155"/>
      <c r="D7" s="155"/>
      <c r="E7" s="155"/>
      <c r="F7" s="155"/>
      <c r="G7" s="155"/>
      <c r="H7" s="155"/>
      <c r="I7" s="155"/>
      <c r="J7" s="155"/>
      <c r="K7" s="155"/>
      <c r="L7" s="155"/>
      <c r="M7" s="209" t="str">
        <f>IF('Data Entry'!N6="","",'Data Entry'!N6)</f>
        <v/>
      </c>
      <c r="N7" s="209"/>
      <c r="O7" s="209"/>
      <c r="P7" s="209"/>
      <c r="Q7" s="209"/>
      <c r="R7" s="209"/>
      <c r="S7" s="209"/>
      <c r="T7" s="209"/>
      <c r="U7" s="209"/>
      <c r="V7" s="209"/>
      <c r="W7" s="209"/>
      <c r="X7" s="209"/>
      <c r="Y7" s="209"/>
      <c r="Z7" s="209"/>
      <c r="AA7" s="209"/>
      <c r="AB7" s="209"/>
      <c r="AC7" s="209"/>
      <c r="AD7" s="209"/>
      <c r="AE7" s="209"/>
      <c r="AF7" s="209"/>
      <c r="AG7" s="209"/>
      <c r="AH7" s="209"/>
      <c r="AI7" s="209"/>
      <c r="AJ7" s="209"/>
      <c r="AK7" s="209"/>
      <c r="AL7" s="209"/>
      <c r="AM7" s="209"/>
      <c r="AN7" s="209"/>
      <c r="AO7" s="209"/>
      <c r="AP7" s="209"/>
      <c r="AQ7" s="209"/>
      <c r="AR7" s="209"/>
      <c r="AS7" s="209"/>
      <c r="AT7" s="209"/>
      <c r="AU7" s="209"/>
      <c r="AV7" s="209"/>
      <c r="AW7" s="209"/>
      <c r="AX7" s="209"/>
      <c r="AY7" s="209"/>
      <c r="AZ7" s="209"/>
    </row>
    <row r="8" spans="1:52" ht="12" customHeight="1" x14ac:dyDescent="0.2">
      <c r="A8" s="155" t="s">
        <v>369</v>
      </c>
      <c r="B8" s="155"/>
      <c r="C8" s="155"/>
      <c r="D8" s="208" t="str">
        <f>IF('Data Entry'!N10="","",'Data Entry'!N10)</f>
        <v/>
      </c>
      <c r="E8" s="208"/>
      <c r="F8" s="208"/>
      <c r="G8" s="208"/>
      <c r="H8" s="208"/>
      <c r="I8" s="208"/>
      <c r="J8" s="208"/>
      <c r="K8" s="208"/>
      <c r="L8" s="208"/>
      <c r="M8" s="208"/>
      <c r="N8" s="208"/>
      <c r="O8" s="208"/>
      <c r="P8" s="208"/>
      <c r="Q8" s="208"/>
      <c r="R8" s="208"/>
      <c r="S8" s="198" t="s">
        <v>366</v>
      </c>
      <c r="T8" s="198"/>
      <c r="U8" s="198"/>
      <c r="V8" s="198"/>
      <c r="W8" s="198"/>
      <c r="X8" s="220" t="str">
        <f>IF('Data Entry'!N26="","",'Data Entry'!N26)&amp;IF(OR('Data Entry'!N26="",'Data Entry'!N27=""),"","/")&amp; IF('Data Entry'!N27="","",'Data Entry'!N27)</f>
        <v>ANCHORAGE AREA/İSTANBUL</v>
      </c>
      <c r="Y8" s="220"/>
      <c r="Z8" s="220"/>
      <c r="AA8" s="220"/>
      <c r="AB8" s="220"/>
      <c r="AC8" s="220"/>
      <c r="AD8" s="220"/>
      <c r="AE8" s="220"/>
      <c r="AF8" s="220"/>
      <c r="AG8" s="220"/>
      <c r="AH8" s="220"/>
      <c r="AI8" s="220"/>
      <c r="AJ8" s="220"/>
      <c r="AK8" s="220"/>
      <c r="AL8" s="220"/>
      <c r="AM8" s="220"/>
      <c r="AN8" s="220"/>
      <c r="AO8" s="220"/>
      <c r="AP8" s="220"/>
      <c r="AQ8" s="220"/>
      <c r="AR8" s="220"/>
      <c r="AS8" s="220"/>
      <c r="AT8" s="220"/>
      <c r="AU8" s="220"/>
      <c r="AV8" s="220"/>
      <c r="AW8" s="220"/>
      <c r="AX8" s="220"/>
      <c r="AY8" s="220"/>
      <c r="AZ8" s="220"/>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row>
    <row r="11" spans="1:52" ht="12" customHeight="1" x14ac:dyDescent="0.2">
      <c r="A11" s="219" t="s">
        <v>392</v>
      </c>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5" t="s">
        <v>365</v>
      </c>
      <c r="B13" s="155"/>
      <c r="C13" s="155"/>
      <c r="D13" s="155"/>
      <c r="E13" s="155"/>
      <c r="F13" s="155"/>
      <c r="G13" s="155"/>
      <c r="H13" s="155"/>
      <c r="I13" s="155"/>
      <c r="J13" s="155"/>
      <c r="K13" s="155"/>
      <c r="L13" s="155"/>
      <c r="M13" s="155"/>
      <c r="N13" s="155"/>
      <c r="O13" s="155"/>
      <c r="P13" s="155"/>
      <c r="Q13" s="155"/>
      <c r="R13" s="209" t="str">
        <f>IF('Data Entry'!N32="","",'Data Entry'!N32)</f>
        <v/>
      </c>
      <c r="S13" s="209"/>
      <c r="T13" s="209"/>
      <c r="U13" s="209"/>
      <c r="V13" s="209"/>
      <c r="W13" s="209"/>
      <c r="X13" s="209"/>
      <c r="Y13" s="209"/>
      <c r="Z13" s="209"/>
      <c r="AA13" s="209"/>
      <c r="AB13" s="209"/>
      <c r="AC13" s="209"/>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row>
    <row r="14" spans="1:52" ht="12" customHeight="1" x14ac:dyDescent="0.2">
      <c r="A14" s="155" t="s">
        <v>364</v>
      </c>
      <c r="B14" s="155"/>
      <c r="C14" s="155"/>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row>
    <row r="15" spans="1:52" ht="12" customHeight="1" x14ac:dyDescent="0.2">
      <c r="A15" s="154"/>
      <c r="B15" s="154"/>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row>
    <row r="16" spans="1:52" ht="12" customHeight="1" x14ac:dyDescent="0.2">
      <c r="A16" s="155" t="s">
        <v>396</v>
      </c>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row>
    <row r="17" spans="1:52" ht="12" customHeight="1" x14ac:dyDescent="0.2">
      <c r="A17" s="155" t="s">
        <v>397</v>
      </c>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row>
    <row r="18" spans="1:52" ht="12" customHeight="1" x14ac:dyDescent="0.2">
      <c r="A18" s="154"/>
      <c r="B18" s="154"/>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row>
    <row r="19" spans="1:52" ht="12" customHeight="1" x14ac:dyDescent="0.2">
      <c r="A19" s="205" t="s">
        <v>363</v>
      </c>
      <c r="B19" s="205"/>
      <c r="C19" s="205"/>
      <c r="D19" s="205"/>
      <c r="E19" s="205"/>
      <c r="F19" s="205"/>
      <c r="G19" s="205"/>
      <c r="H19" s="205"/>
      <c r="I19" s="205"/>
      <c r="J19" s="205"/>
      <c r="K19" s="205"/>
      <c r="L19" s="205"/>
      <c r="M19" s="205"/>
      <c r="N19" s="205"/>
      <c r="O19" s="205"/>
      <c r="P19" s="205"/>
      <c r="Q19" s="205"/>
      <c r="R19" s="205"/>
      <c r="S19" s="205"/>
      <c r="T19" s="205"/>
      <c r="U19" s="205"/>
      <c r="V19" s="205"/>
      <c r="W19" s="205"/>
      <c r="X19" s="205"/>
      <c r="Y19" s="205"/>
      <c r="Z19" s="205"/>
      <c r="AA19" s="205"/>
      <c r="AB19" s="205"/>
      <c r="AC19" s="205"/>
      <c r="AD19" s="205"/>
      <c r="AE19" s="205"/>
      <c r="AF19" s="205"/>
      <c r="AG19" s="205"/>
      <c r="AH19" s="205"/>
      <c r="AI19" s="205"/>
      <c r="AJ19" s="205"/>
      <c r="AK19" s="205"/>
      <c r="AL19" s="205"/>
      <c r="AM19" s="205"/>
      <c r="AN19" s="205"/>
      <c r="AO19" s="205"/>
      <c r="AP19" s="205"/>
      <c r="AQ19" s="205"/>
      <c r="AR19" s="205"/>
      <c r="AS19" s="205"/>
      <c r="AT19" s="205"/>
      <c r="AU19" s="205"/>
      <c r="AV19" s="205"/>
      <c r="AW19" s="205"/>
      <c r="AX19" s="205"/>
      <c r="AY19" s="205"/>
      <c r="AZ19" s="205"/>
    </row>
    <row r="20" spans="1:52" ht="12" customHeight="1" x14ac:dyDescent="0.2">
      <c r="A20" s="205" t="s">
        <v>393</v>
      </c>
      <c r="B20" s="205"/>
      <c r="C20" s="205"/>
      <c r="D20" s="205"/>
      <c r="E20" s="205"/>
      <c r="F20" s="205"/>
      <c r="G20" s="205"/>
      <c r="H20" s="205"/>
      <c r="I20" s="205"/>
      <c r="J20" s="205"/>
      <c r="K20" s="205"/>
      <c r="L20" s="205"/>
      <c r="M20" s="205"/>
      <c r="N20" s="205"/>
      <c r="O20" s="205"/>
      <c r="P20" s="205"/>
      <c r="Q20" s="205"/>
      <c r="R20" s="205"/>
      <c r="S20" s="205"/>
      <c r="T20" s="205"/>
      <c r="U20" s="205"/>
      <c r="V20" s="205"/>
      <c r="W20" s="205"/>
      <c r="X20" s="205"/>
      <c r="Y20" s="205"/>
      <c r="Z20" s="205"/>
      <c r="AA20" s="205"/>
      <c r="AB20" s="205"/>
      <c r="AC20" s="205"/>
      <c r="AD20" s="205"/>
      <c r="AE20" s="205"/>
      <c r="AF20" s="205"/>
      <c r="AG20" s="205"/>
      <c r="AH20" s="205"/>
      <c r="AI20" s="205"/>
      <c r="AJ20" s="205"/>
      <c r="AK20" s="205"/>
      <c r="AL20" s="205"/>
      <c r="AM20" s="205"/>
      <c r="AN20" s="205"/>
      <c r="AO20" s="205"/>
      <c r="AP20" s="205"/>
      <c r="AQ20" s="205"/>
      <c r="AR20" s="205"/>
      <c r="AS20" s="205"/>
      <c r="AT20" s="205"/>
      <c r="AU20" s="205"/>
      <c r="AV20" s="205"/>
      <c r="AW20" s="205"/>
      <c r="AX20" s="205"/>
      <c r="AY20" s="205"/>
      <c r="AZ20" s="205"/>
    </row>
    <row r="21" spans="1:52" ht="12" customHeight="1" x14ac:dyDescent="0.2">
      <c r="A21" s="205" t="s">
        <v>394</v>
      </c>
      <c r="B21" s="205"/>
      <c r="C21" s="205"/>
      <c r="D21" s="205"/>
      <c r="E21" s="205"/>
      <c r="F21" s="205"/>
      <c r="G21" s="205"/>
      <c r="H21" s="205"/>
      <c r="I21" s="205"/>
      <c r="J21" s="205"/>
      <c r="K21" s="205"/>
      <c r="L21" s="205"/>
      <c r="M21" s="205"/>
      <c r="N21" s="205"/>
      <c r="O21" s="205"/>
      <c r="P21" s="205"/>
      <c r="Q21" s="205"/>
      <c r="R21" s="205"/>
      <c r="S21" s="205"/>
      <c r="T21" s="205"/>
      <c r="U21" s="205"/>
      <c r="V21" s="205"/>
      <c r="W21" s="205"/>
      <c r="X21" s="205"/>
      <c r="Y21" s="205"/>
      <c r="Z21" s="205"/>
      <c r="AA21" s="205"/>
      <c r="AB21" s="205"/>
      <c r="AC21" s="205"/>
      <c r="AD21" s="205"/>
      <c r="AE21" s="205"/>
      <c r="AF21" s="205"/>
      <c r="AG21" s="205"/>
      <c r="AH21" s="205"/>
      <c r="AI21" s="205"/>
      <c r="AJ21" s="205"/>
      <c r="AK21" s="205"/>
      <c r="AL21" s="205"/>
      <c r="AM21" s="205"/>
      <c r="AN21" s="205"/>
      <c r="AO21" s="205"/>
      <c r="AP21" s="205"/>
      <c r="AQ21" s="205"/>
      <c r="AR21" s="205"/>
      <c r="AS21" s="205"/>
      <c r="AT21" s="205"/>
      <c r="AU21" s="205"/>
      <c r="AV21" s="205"/>
      <c r="AW21" s="205"/>
      <c r="AX21" s="205"/>
      <c r="AY21" s="205"/>
      <c r="AZ21" s="205"/>
    </row>
    <row r="22" spans="1:52" ht="12" customHeight="1" x14ac:dyDescent="0.2">
      <c r="A22" s="206"/>
      <c r="B22" s="206"/>
      <c r="C22" s="206"/>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7" t="s">
        <v>395</v>
      </c>
      <c r="B24" s="207"/>
      <c r="C24" s="207"/>
      <c r="D24" s="207"/>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c r="AK24" s="207"/>
      <c r="AL24" s="207"/>
      <c r="AM24" s="207"/>
      <c r="AN24" s="207"/>
      <c r="AO24" s="207"/>
      <c r="AP24" s="207"/>
      <c r="AQ24" s="207"/>
      <c r="AR24" s="207"/>
      <c r="AS24" s="207"/>
      <c r="AT24" s="207"/>
      <c r="AU24" s="207"/>
      <c r="AV24" s="207"/>
      <c r="AW24" s="207"/>
      <c r="AX24" s="207"/>
      <c r="AY24" s="207"/>
      <c r="AZ24" s="207"/>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5" t="s">
        <v>362</v>
      </c>
      <c r="B26" s="205"/>
      <c r="C26" s="205"/>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row>
    <row r="27" spans="1:52" ht="12" customHeight="1" x14ac:dyDescent="0.2">
      <c r="A27" s="205" t="s">
        <v>398</v>
      </c>
      <c r="B27" s="205"/>
      <c r="C27" s="205"/>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row>
    <row r="28" spans="1:52" ht="12" customHeight="1" x14ac:dyDescent="0.2">
      <c r="A28" s="205" t="s">
        <v>399</v>
      </c>
      <c r="B28" s="205"/>
      <c r="C28" s="205"/>
      <c r="D28" s="205"/>
      <c r="E28" s="205"/>
      <c r="F28" s="205"/>
      <c r="G28" s="205"/>
      <c r="H28" s="205"/>
      <c r="I28" s="205"/>
      <c r="J28" s="205"/>
      <c r="K28" s="205"/>
      <c r="L28" s="205"/>
      <c r="M28" s="205"/>
      <c r="N28" s="205"/>
      <c r="O28" s="205"/>
      <c r="P28" s="205"/>
      <c r="Q28" s="205"/>
      <c r="R28" s="205"/>
      <c r="S28" s="205"/>
      <c r="T28" s="205"/>
      <c r="U28" s="205"/>
      <c r="V28" s="205"/>
      <c r="W28" s="205"/>
      <c r="X28" s="205"/>
      <c r="Y28" s="205"/>
      <c r="Z28" s="205"/>
      <c r="AA28" s="205"/>
      <c r="AB28" s="205"/>
      <c r="AC28" s="205"/>
      <c r="AD28" s="205"/>
      <c r="AE28" s="205"/>
      <c r="AF28" s="205"/>
      <c r="AG28" s="205"/>
      <c r="AH28" s="205"/>
      <c r="AI28" s="205"/>
      <c r="AJ28" s="205"/>
      <c r="AK28" s="205"/>
      <c r="AL28" s="205"/>
      <c r="AM28" s="205"/>
      <c r="AN28" s="205"/>
      <c r="AO28" s="205"/>
      <c r="AP28" s="205"/>
      <c r="AQ28" s="205"/>
      <c r="AR28" s="205"/>
      <c r="AS28" s="205"/>
      <c r="AT28" s="205"/>
      <c r="AU28" s="205"/>
      <c r="AV28" s="205"/>
      <c r="AW28" s="205"/>
      <c r="AX28" s="205"/>
      <c r="AY28" s="205"/>
      <c r="AZ28" s="205"/>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5" t="s">
        <v>361</v>
      </c>
      <c r="B30" s="205"/>
      <c r="C30" s="205"/>
      <c r="D30" s="205"/>
      <c r="E30" s="205"/>
      <c r="F30" s="205"/>
      <c r="G30" s="205"/>
      <c r="H30" s="205"/>
      <c r="I30" s="205"/>
      <c r="J30" s="205"/>
      <c r="K30" s="205"/>
      <c r="L30" s="205"/>
      <c r="M30" s="205"/>
      <c r="N30" s="205"/>
      <c r="O30" s="205"/>
      <c r="P30" s="205"/>
      <c r="Q30" s="205"/>
      <c r="R30" s="205"/>
      <c r="S30" s="205"/>
      <c r="T30" s="205"/>
      <c r="U30" s="205"/>
      <c r="V30" s="205"/>
      <c r="W30" s="205"/>
      <c r="X30" s="205"/>
      <c r="Y30" s="205"/>
      <c r="Z30" s="205"/>
      <c r="AA30" s="205"/>
      <c r="AB30" s="205"/>
      <c r="AC30" s="205"/>
      <c r="AD30" s="205"/>
      <c r="AE30" s="205"/>
      <c r="AF30" s="205"/>
      <c r="AG30" s="205"/>
      <c r="AH30" s="205"/>
      <c r="AI30" s="205"/>
      <c r="AJ30" s="205"/>
      <c r="AK30" s="205"/>
      <c r="AL30" s="205"/>
      <c r="AM30" s="205"/>
      <c r="AN30" s="205"/>
      <c r="AO30" s="205"/>
      <c r="AP30" s="205"/>
      <c r="AQ30" s="205"/>
      <c r="AR30" s="205"/>
      <c r="AS30" s="205"/>
      <c r="AT30" s="205"/>
      <c r="AU30" s="205"/>
      <c r="AV30" s="205"/>
      <c r="AW30" s="205"/>
      <c r="AX30" s="205"/>
      <c r="AY30" s="205"/>
      <c r="AZ30" s="205"/>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7" t="s">
        <v>360</v>
      </c>
      <c r="B33" s="207"/>
      <c r="C33" s="207"/>
      <c r="D33" s="207"/>
      <c r="E33" s="207"/>
      <c r="F33" s="207"/>
      <c r="G33" s="207"/>
      <c r="H33" s="207"/>
      <c r="I33" s="207"/>
      <c r="J33" s="207"/>
      <c r="K33" s="207"/>
      <c r="L33" s="207"/>
      <c r="M33" s="207"/>
      <c r="N33" s="207"/>
      <c r="O33" s="207"/>
      <c r="P33" s="207"/>
      <c r="Q33" s="207"/>
      <c r="R33" s="207"/>
      <c r="S33" s="207"/>
      <c r="T33" s="207"/>
      <c r="U33" s="207"/>
      <c r="V33" s="207"/>
      <c r="W33" s="207"/>
      <c r="X33" s="207"/>
      <c r="Y33" s="207"/>
      <c r="Z33" s="207"/>
      <c r="AA33" s="207"/>
      <c r="AB33" s="207"/>
      <c r="AC33" s="207"/>
      <c r="AD33" s="207"/>
      <c r="AE33" s="207"/>
      <c r="AF33" s="207"/>
      <c r="AG33" s="207"/>
      <c r="AH33" s="207"/>
      <c r="AI33" s="207"/>
      <c r="AJ33" s="207"/>
      <c r="AK33" s="207"/>
      <c r="AL33" s="207"/>
      <c r="AM33" s="207"/>
      <c r="AN33" s="207"/>
      <c r="AO33" s="207"/>
      <c r="AP33" s="207"/>
      <c r="AQ33" s="207"/>
      <c r="AR33" s="207"/>
      <c r="AS33" s="207"/>
      <c r="AT33" s="207"/>
      <c r="AU33" s="207"/>
      <c r="AV33" s="207"/>
      <c r="AW33" s="207"/>
      <c r="AX33" s="207"/>
      <c r="AY33" s="207"/>
      <c r="AZ33" s="207"/>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5" t="s">
        <v>400</v>
      </c>
      <c r="B35" s="205"/>
      <c r="C35" s="205"/>
      <c r="D35" s="205"/>
      <c r="E35" s="205"/>
      <c r="F35" s="205"/>
      <c r="G35" s="205"/>
      <c r="H35" s="205"/>
      <c r="I35" s="205"/>
      <c r="J35" s="205"/>
      <c r="K35" s="205"/>
      <c r="L35" s="205"/>
      <c r="M35" s="205"/>
      <c r="N35" s="205"/>
      <c r="O35" s="205"/>
      <c r="P35" s="205"/>
      <c r="Q35" s="205"/>
      <c r="R35" s="205"/>
      <c r="S35" s="205"/>
      <c r="T35" s="205"/>
      <c r="U35" s="205"/>
      <c r="V35" s="205"/>
      <c r="W35" s="205"/>
      <c r="X35" s="205"/>
      <c r="Y35" s="205"/>
      <c r="Z35" s="205"/>
      <c r="AA35" s="205"/>
      <c r="AB35" s="205"/>
      <c r="AC35" s="205"/>
      <c r="AD35" s="205"/>
      <c r="AE35" s="205"/>
      <c r="AF35" s="205"/>
      <c r="AG35" s="205"/>
      <c r="AH35" s="205"/>
      <c r="AI35" s="205"/>
      <c r="AJ35" s="205"/>
      <c r="AK35" s="205"/>
      <c r="AL35" s="205"/>
      <c r="AM35" s="205"/>
      <c r="AN35" s="205"/>
      <c r="AO35" s="205"/>
      <c r="AP35" s="205"/>
      <c r="AQ35" s="205"/>
      <c r="AR35" s="205"/>
      <c r="AS35" s="205"/>
      <c r="AT35" s="205"/>
      <c r="AU35" s="205"/>
      <c r="AV35" s="205"/>
      <c r="AW35" s="205"/>
      <c r="AX35" s="205"/>
      <c r="AY35" s="205"/>
      <c r="AZ35" s="205"/>
    </row>
    <row r="36" spans="1:58" ht="12" customHeight="1" x14ac:dyDescent="0.2">
      <c r="A36" s="205" t="s">
        <v>401</v>
      </c>
      <c r="B36" s="205"/>
      <c r="C36" s="205"/>
      <c r="D36" s="205"/>
      <c r="E36" s="205"/>
      <c r="F36" s="205"/>
      <c r="G36" s="205"/>
      <c r="H36" s="205"/>
      <c r="I36" s="205"/>
      <c r="J36" s="205"/>
      <c r="K36" s="205"/>
      <c r="L36" s="205"/>
      <c r="M36" s="205"/>
      <c r="N36" s="205"/>
      <c r="O36" s="205"/>
      <c r="P36" s="205"/>
      <c r="Q36" s="205"/>
      <c r="R36" s="205"/>
      <c r="S36" s="205"/>
      <c r="T36" s="205"/>
      <c r="U36" s="205"/>
      <c r="V36" s="205"/>
      <c r="W36" s="205"/>
      <c r="X36" s="205"/>
      <c r="Y36" s="205"/>
      <c r="Z36" s="205"/>
      <c r="AA36" s="205"/>
      <c r="AB36" s="205"/>
      <c r="AC36" s="205"/>
      <c r="AD36" s="205"/>
      <c r="AE36" s="205"/>
      <c r="AF36" s="205"/>
      <c r="AG36" s="205"/>
      <c r="AH36" s="205"/>
      <c r="AI36" s="205"/>
      <c r="AJ36" s="205"/>
      <c r="AK36" s="205"/>
      <c r="AL36" s="205"/>
      <c r="AM36" s="205"/>
      <c r="AN36" s="205"/>
      <c r="AO36" s="205"/>
      <c r="AP36" s="205"/>
      <c r="AQ36" s="205"/>
      <c r="AR36" s="205"/>
      <c r="AS36" s="205"/>
      <c r="AT36" s="205"/>
      <c r="AU36" s="205"/>
      <c r="AV36" s="205"/>
      <c r="AW36" s="205"/>
      <c r="AX36" s="205"/>
      <c r="AY36" s="205"/>
      <c r="AZ36" s="205"/>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7" t="s">
        <v>359</v>
      </c>
      <c r="B39" s="207"/>
      <c r="C39" s="207"/>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7"/>
      <c r="AB39" s="207"/>
      <c r="AC39" s="207"/>
      <c r="AD39" s="207"/>
      <c r="AE39" s="207"/>
      <c r="AF39" s="207"/>
      <c r="AG39" s="207"/>
      <c r="AH39" s="207"/>
      <c r="AI39" s="207"/>
      <c r="AJ39" s="207"/>
      <c r="AK39" s="207"/>
      <c r="AL39" s="207"/>
      <c r="AM39" s="207"/>
      <c r="AN39" s="207"/>
      <c r="AO39" s="207"/>
      <c r="AP39" s="207"/>
      <c r="AQ39" s="207"/>
      <c r="AR39" s="207"/>
      <c r="AS39" s="207"/>
      <c r="AT39" s="207"/>
      <c r="AU39" s="207"/>
      <c r="AV39" s="207"/>
      <c r="AW39" s="207"/>
      <c r="AX39" s="207"/>
      <c r="AY39" s="207"/>
      <c r="AZ39" s="207"/>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5" t="s">
        <v>358</v>
      </c>
      <c r="B41" s="205"/>
      <c r="C41" s="205"/>
      <c r="D41" s="205"/>
      <c r="E41" s="205"/>
      <c r="F41" s="205"/>
      <c r="G41" s="205"/>
      <c r="H41" s="205"/>
      <c r="I41" s="205"/>
      <c r="J41" s="205"/>
      <c r="K41" s="205"/>
      <c r="L41" s="205"/>
      <c r="M41" s="205"/>
      <c r="N41" s="205"/>
      <c r="O41" s="205"/>
      <c r="P41" s="205"/>
      <c r="Q41" s="205"/>
      <c r="R41" s="205"/>
      <c r="S41" s="205"/>
      <c r="T41" s="205"/>
      <c r="U41" s="205"/>
      <c r="V41" s="205"/>
      <c r="W41" s="205"/>
      <c r="X41" s="205"/>
      <c r="Y41" s="205"/>
      <c r="Z41" s="205"/>
      <c r="AA41" s="205"/>
      <c r="AB41" s="205"/>
      <c r="AC41" s="205"/>
      <c r="AD41" s="205"/>
      <c r="AE41" s="205"/>
      <c r="AF41" s="205"/>
      <c r="AG41" s="205"/>
      <c r="AH41" s="205"/>
      <c r="AI41" s="205"/>
      <c r="AJ41" s="205"/>
      <c r="AK41" s="205"/>
      <c r="AL41" s="205"/>
      <c r="AM41" s="205"/>
      <c r="AN41" s="205"/>
      <c r="AO41" s="205"/>
      <c r="AP41" s="205"/>
      <c r="AQ41" s="205"/>
      <c r="AR41" s="205"/>
      <c r="AS41" s="205"/>
      <c r="AT41" s="205"/>
      <c r="AU41" s="205"/>
      <c r="AV41" s="205"/>
      <c r="AW41" s="205"/>
      <c r="AX41" s="205"/>
      <c r="AY41" s="205"/>
      <c r="AZ41" s="205"/>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t="s">
        <v>248</v>
      </c>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t="s">
        <v>51</v>
      </c>
    </row>
    <row r="50" spans="1:58" ht="12" customHeight="1" x14ac:dyDescent="0.2">
      <c r="A50" s="210"/>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c r="AM50" s="210"/>
      <c r="AN50" s="210"/>
      <c r="AO50" s="210"/>
      <c r="AP50" s="210"/>
      <c r="AQ50" s="210"/>
      <c r="AR50" s="210"/>
      <c r="AS50" s="210"/>
      <c r="AT50" s="210"/>
      <c r="AU50" s="210"/>
      <c r="AV50" s="210"/>
      <c r="AW50" s="210"/>
      <c r="AX50" s="210"/>
      <c r="AY50" s="210"/>
      <c r="AZ50" s="210"/>
      <c r="BF50" s="123" t="s">
        <v>17</v>
      </c>
    </row>
    <row r="51" spans="1:58" ht="12" customHeight="1" x14ac:dyDescent="0.2">
      <c r="A51" s="210"/>
      <c r="B51" s="210"/>
      <c r="C51" s="210"/>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210"/>
      <c r="AI51" s="210"/>
      <c r="AJ51" s="210"/>
      <c r="AK51" s="210"/>
      <c r="AL51" s="210"/>
      <c r="AM51" s="210"/>
      <c r="AN51" s="210"/>
      <c r="AO51" s="210"/>
      <c r="AP51" s="210"/>
      <c r="AQ51" s="210"/>
      <c r="AR51" s="210"/>
      <c r="AS51" s="210"/>
      <c r="AT51" s="210"/>
      <c r="AU51" s="210"/>
      <c r="AV51" s="210"/>
      <c r="AW51" s="210"/>
      <c r="AX51" s="210"/>
      <c r="AY51" s="210"/>
      <c r="AZ51" s="210"/>
    </row>
    <row r="52" spans="1:58" ht="12" customHeight="1" x14ac:dyDescent="0.2">
      <c r="A52" s="210"/>
      <c r="B52" s="210"/>
      <c r="C52" s="210"/>
      <c r="D52" s="210"/>
      <c r="E52" s="210"/>
      <c r="F52" s="210"/>
      <c r="G52" s="210"/>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c r="AE52" s="210"/>
      <c r="AF52" s="210"/>
      <c r="AG52" s="210"/>
      <c r="AH52" s="210"/>
      <c r="AI52" s="210"/>
      <c r="AJ52" s="210"/>
      <c r="AK52" s="210"/>
      <c r="AL52" s="210"/>
      <c r="AM52" s="210"/>
      <c r="AN52" s="210"/>
      <c r="AO52" s="210"/>
      <c r="AP52" s="210"/>
      <c r="AQ52" s="210"/>
      <c r="AR52" s="210"/>
      <c r="AS52" s="210"/>
      <c r="AT52" s="210"/>
      <c r="AU52" s="210"/>
      <c r="AV52" s="210"/>
      <c r="AW52" s="210"/>
      <c r="AX52" s="210"/>
      <c r="AY52" s="210"/>
      <c r="AZ52" s="210"/>
    </row>
    <row r="53" spans="1:58" ht="12" customHeight="1" x14ac:dyDescent="0.2">
      <c r="A53" s="210"/>
      <c r="B53" s="210"/>
      <c r="C53" s="210"/>
      <c r="D53" s="210"/>
      <c r="E53" s="210"/>
      <c r="F53" s="210"/>
      <c r="G53" s="210"/>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c r="AM53" s="210"/>
      <c r="AN53" s="210"/>
      <c r="AO53" s="210"/>
      <c r="AP53" s="210"/>
      <c r="AQ53" s="210"/>
      <c r="AR53" s="210"/>
      <c r="AS53" s="210"/>
      <c r="AT53" s="210"/>
      <c r="AU53" s="210"/>
      <c r="AV53" s="210"/>
      <c r="AW53" s="210"/>
      <c r="AX53" s="210"/>
      <c r="AY53" s="210"/>
      <c r="AZ53" s="210"/>
    </row>
    <row r="54" spans="1:58" ht="12" customHeight="1" x14ac:dyDescent="0.2">
      <c r="A54" s="210"/>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0"/>
      <c r="AP54" s="210"/>
      <c r="AQ54" s="210"/>
      <c r="AR54" s="210"/>
      <c r="AS54" s="210"/>
      <c r="AT54" s="210"/>
      <c r="AU54" s="210"/>
      <c r="AV54" s="210"/>
      <c r="AW54" s="210"/>
      <c r="AX54" s="210"/>
      <c r="AY54" s="210"/>
      <c r="AZ54" s="210"/>
    </row>
    <row r="55" spans="1:58" ht="12" customHeight="1" x14ac:dyDescent="0.2">
      <c r="A55" s="214"/>
      <c r="B55" s="214"/>
      <c r="C55" s="155" t="s">
        <v>63</v>
      </c>
      <c r="D55" s="155"/>
      <c r="E55" s="155"/>
      <c r="F55" s="155"/>
      <c r="G55" s="155"/>
      <c r="H55" s="155"/>
      <c r="I55" s="155"/>
      <c r="J55" s="155"/>
      <c r="K55" s="155"/>
      <c r="L55" s="155"/>
      <c r="M55" s="155"/>
      <c r="N55" s="155"/>
      <c r="O55" s="155"/>
      <c r="P55" s="155"/>
      <c r="Q55" s="214"/>
      <c r="R55" s="214"/>
      <c r="S55" s="214"/>
      <c r="T55" s="214"/>
      <c r="U55" s="214"/>
      <c r="V55" s="214"/>
      <c r="W55" s="214"/>
      <c r="X55" s="214"/>
      <c r="Y55" s="214"/>
      <c r="Z55" s="214"/>
      <c r="AA55" s="214"/>
      <c r="AB55" s="214"/>
      <c r="AC55" s="214"/>
      <c r="AD55" s="214"/>
      <c r="AE55" s="214"/>
      <c r="AF55" s="214"/>
      <c r="AG55" s="214"/>
      <c r="AH55" s="214"/>
      <c r="AI55" s="214"/>
      <c r="AJ55" s="214"/>
      <c r="AK55" s="155" t="s">
        <v>389</v>
      </c>
      <c r="AL55" s="155"/>
      <c r="AM55" s="155"/>
      <c r="AN55" s="155"/>
      <c r="AO55" s="155"/>
      <c r="AP55" s="155"/>
      <c r="AQ55" s="155"/>
      <c r="AR55" s="155"/>
      <c r="AS55" s="155"/>
      <c r="AT55" s="155"/>
      <c r="AU55" s="155"/>
      <c r="AV55" s="155"/>
      <c r="AW55" s="155"/>
      <c r="AX55" s="155"/>
      <c r="AY55" s="214"/>
      <c r="AZ55" s="214"/>
    </row>
    <row r="56" spans="1:58" ht="12" customHeight="1" x14ac:dyDescent="0.2">
      <c r="A56" s="154"/>
      <c r="B56" s="154"/>
      <c r="C56" s="212" t="str">
        <f>IF('Data Entry'!N29="","",'Data Entry'!N29)&amp;IF(OR('Data Entry'!N29="",'Data Entry'!N30=""),""," / Licence No")&amp; IF('Data Entry'!N30="","",'Data Entry'!N30)</f>
        <v>MEHMET EROĞLU</v>
      </c>
      <c r="D56" s="212"/>
      <c r="E56" s="212"/>
      <c r="F56" s="212"/>
      <c r="G56" s="212"/>
      <c r="H56" s="212"/>
      <c r="I56" s="212"/>
      <c r="J56" s="212"/>
      <c r="K56" s="212"/>
      <c r="L56" s="212"/>
      <c r="M56" s="212"/>
      <c r="N56" s="212"/>
      <c r="O56" s="212"/>
      <c r="P56" s="212"/>
      <c r="Q56" s="154"/>
      <c r="R56" s="154"/>
      <c r="S56" s="154"/>
      <c r="T56" s="154"/>
      <c r="U56" s="154"/>
      <c r="V56" s="154"/>
      <c r="W56" s="154"/>
      <c r="X56" s="154"/>
      <c r="Y56" s="154"/>
      <c r="Z56" s="154"/>
      <c r="AA56" s="154"/>
      <c r="AB56" s="154"/>
      <c r="AC56" s="154"/>
      <c r="AD56" s="154"/>
      <c r="AE56" s="154"/>
      <c r="AF56" s="154"/>
      <c r="AG56" s="154"/>
      <c r="AH56" s="154"/>
      <c r="AI56" s="154"/>
      <c r="AJ56" s="154"/>
      <c r="AK56" s="215" t="str">
        <f>IF('Data Entry'!N9="","",'Data Entry'!N9)</f>
        <v/>
      </c>
      <c r="AL56" s="215"/>
      <c r="AM56" s="215"/>
      <c r="AN56" s="215"/>
      <c r="AO56" s="215"/>
      <c r="AP56" s="215"/>
      <c r="AQ56" s="215"/>
      <c r="AR56" s="215"/>
      <c r="AS56" s="215"/>
      <c r="AT56" s="215"/>
      <c r="AU56" s="215"/>
      <c r="AV56" s="215"/>
      <c r="AW56" s="215"/>
      <c r="AX56" s="215"/>
      <c r="AY56" s="217"/>
      <c r="AZ56" s="217"/>
    </row>
    <row r="57" spans="1:58" ht="12" customHeight="1" x14ac:dyDescent="0.2">
      <c r="A57" s="154"/>
      <c r="B57" s="154"/>
      <c r="C57" s="212"/>
      <c r="D57" s="212"/>
      <c r="E57" s="212"/>
      <c r="F57" s="212"/>
      <c r="G57" s="212"/>
      <c r="H57" s="212"/>
      <c r="I57" s="212"/>
      <c r="J57" s="212"/>
      <c r="K57" s="212"/>
      <c r="L57" s="212"/>
      <c r="M57" s="212"/>
      <c r="N57" s="212"/>
      <c r="O57" s="212"/>
      <c r="P57" s="212"/>
      <c r="Q57" s="154"/>
      <c r="R57" s="154"/>
      <c r="S57" s="154"/>
      <c r="T57" s="154"/>
      <c r="U57" s="154"/>
      <c r="V57" s="154"/>
      <c r="W57" s="154"/>
      <c r="X57" s="154"/>
      <c r="Y57" s="154"/>
      <c r="Z57" s="154"/>
      <c r="AA57" s="154"/>
      <c r="AB57" s="154"/>
      <c r="AC57" s="154"/>
      <c r="AD57" s="154"/>
      <c r="AE57" s="154"/>
      <c r="AF57" s="154"/>
      <c r="AG57" s="154"/>
      <c r="AH57" s="154"/>
      <c r="AI57" s="154"/>
      <c r="AJ57" s="154"/>
      <c r="AK57" s="215"/>
      <c r="AL57" s="215"/>
      <c r="AM57" s="215"/>
      <c r="AN57" s="215"/>
      <c r="AO57" s="215"/>
      <c r="AP57" s="215"/>
      <c r="AQ57" s="215"/>
      <c r="AR57" s="215"/>
      <c r="AS57" s="215"/>
      <c r="AT57" s="215"/>
      <c r="AU57" s="215"/>
      <c r="AV57" s="215"/>
      <c r="AW57" s="215"/>
      <c r="AX57" s="215"/>
      <c r="AY57" s="217"/>
      <c r="AZ57" s="217"/>
    </row>
    <row r="58" spans="1:58" ht="12" customHeight="1" x14ac:dyDescent="0.2">
      <c r="A58" s="154"/>
      <c r="B58" s="154"/>
      <c r="C58" s="212"/>
      <c r="D58" s="212"/>
      <c r="E58" s="212"/>
      <c r="F58" s="212"/>
      <c r="G58" s="212"/>
      <c r="H58" s="212"/>
      <c r="I58" s="212"/>
      <c r="J58" s="212"/>
      <c r="K58" s="212"/>
      <c r="L58" s="212"/>
      <c r="M58" s="212"/>
      <c r="N58" s="212"/>
      <c r="O58" s="212"/>
      <c r="P58" s="212"/>
      <c r="Q58" s="154"/>
      <c r="R58" s="154"/>
      <c r="S58" s="154"/>
      <c r="T58" s="154"/>
      <c r="U58" s="154"/>
      <c r="V58" s="154"/>
      <c r="W58" s="154"/>
      <c r="X58" s="154"/>
      <c r="Y58" s="154"/>
      <c r="Z58" s="154"/>
      <c r="AA58" s="154"/>
      <c r="AB58" s="154"/>
      <c r="AC58" s="154"/>
      <c r="AD58" s="154"/>
      <c r="AE58" s="154"/>
      <c r="AF58" s="154"/>
      <c r="AG58" s="154"/>
      <c r="AH58" s="154"/>
      <c r="AI58" s="154"/>
      <c r="AJ58" s="154"/>
      <c r="AK58" s="215"/>
      <c r="AL58" s="215"/>
      <c r="AM58" s="215"/>
      <c r="AN58" s="215"/>
      <c r="AO58" s="215"/>
      <c r="AP58" s="215"/>
      <c r="AQ58" s="215"/>
      <c r="AR58" s="215"/>
      <c r="AS58" s="215"/>
      <c r="AT58" s="215"/>
      <c r="AU58" s="215"/>
      <c r="AV58" s="215"/>
      <c r="AW58" s="215"/>
      <c r="AX58" s="215"/>
      <c r="AY58" s="217"/>
      <c r="AZ58" s="217"/>
    </row>
    <row r="59" spans="1:58" ht="12" customHeight="1" x14ac:dyDescent="0.2">
      <c r="A59" s="154"/>
      <c r="B59" s="154"/>
      <c r="C59" s="213"/>
      <c r="D59" s="213"/>
      <c r="E59" s="213"/>
      <c r="F59" s="213"/>
      <c r="G59" s="213"/>
      <c r="H59" s="213"/>
      <c r="I59" s="213"/>
      <c r="J59" s="213"/>
      <c r="K59" s="213"/>
      <c r="L59" s="213"/>
      <c r="M59" s="213"/>
      <c r="N59" s="213"/>
      <c r="O59" s="213"/>
      <c r="P59" s="213"/>
      <c r="Q59" s="154"/>
      <c r="R59" s="154"/>
      <c r="S59" s="154"/>
      <c r="T59" s="154"/>
      <c r="U59" s="154"/>
      <c r="V59" s="154"/>
      <c r="W59" s="154"/>
      <c r="X59" s="154"/>
      <c r="Y59" s="154"/>
      <c r="Z59" s="154"/>
      <c r="AA59" s="154"/>
      <c r="AB59" s="154"/>
      <c r="AC59" s="154"/>
      <c r="AD59" s="154"/>
      <c r="AE59" s="154"/>
      <c r="AF59" s="154"/>
      <c r="AG59" s="154"/>
      <c r="AH59" s="154"/>
      <c r="AI59" s="154"/>
      <c r="AJ59" s="154"/>
      <c r="AK59" s="216"/>
      <c r="AL59" s="216"/>
      <c r="AM59" s="216"/>
      <c r="AN59" s="216"/>
      <c r="AO59" s="216"/>
      <c r="AP59" s="216"/>
      <c r="AQ59" s="216"/>
      <c r="AR59" s="216"/>
      <c r="AS59" s="216"/>
      <c r="AT59" s="216"/>
      <c r="AU59" s="216"/>
      <c r="AV59" s="216"/>
      <c r="AW59" s="216"/>
      <c r="AX59" s="216"/>
      <c r="AY59" s="217"/>
      <c r="AZ59" s="217"/>
    </row>
    <row r="60" spans="1:58" ht="13.5" customHeight="1" x14ac:dyDescent="0.2">
      <c r="A60" s="154"/>
      <c r="B60" s="154"/>
      <c r="C60" s="211" t="s">
        <v>391</v>
      </c>
      <c r="D60" s="211"/>
      <c r="E60" s="211"/>
      <c r="F60" s="211"/>
      <c r="G60" s="211"/>
      <c r="H60" s="211"/>
      <c r="I60" s="211"/>
      <c r="J60" s="211"/>
      <c r="K60" s="211"/>
      <c r="L60" s="211"/>
      <c r="M60" s="211"/>
      <c r="N60" s="211"/>
      <c r="O60" s="211"/>
      <c r="P60" s="211"/>
      <c r="Q60" s="154"/>
      <c r="R60" s="154"/>
      <c r="S60" s="154"/>
      <c r="T60" s="154"/>
      <c r="U60" s="154"/>
      <c r="V60" s="154"/>
      <c r="W60" s="154"/>
      <c r="X60" s="154"/>
      <c r="Y60" s="154"/>
      <c r="Z60" s="154"/>
      <c r="AA60" s="154"/>
      <c r="AB60" s="154"/>
      <c r="AC60" s="154"/>
      <c r="AD60" s="154"/>
      <c r="AE60" s="154"/>
      <c r="AF60" s="154"/>
      <c r="AG60" s="154"/>
      <c r="AH60" s="154"/>
      <c r="AI60" s="154"/>
      <c r="AJ60" s="154"/>
      <c r="AK60" s="218" t="s">
        <v>390</v>
      </c>
      <c r="AL60" s="218"/>
      <c r="AM60" s="218"/>
      <c r="AN60" s="218"/>
      <c r="AO60" s="218"/>
      <c r="AP60" s="218"/>
      <c r="AQ60" s="218"/>
      <c r="AR60" s="218"/>
      <c r="AS60" s="218"/>
      <c r="AT60" s="218"/>
      <c r="AU60" s="218"/>
      <c r="AV60" s="218"/>
      <c r="AW60" s="218"/>
      <c r="AX60" s="218"/>
      <c r="AY60" s="217"/>
      <c r="AZ60" s="217"/>
    </row>
    <row r="61" spans="1:58" ht="13.5" customHeight="1" x14ac:dyDescent="0.2">
      <c r="A61" s="148" t="s">
        <v>402</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mergeCells count="76">
    <mergeCell ref="A52:AZ52"/>
    <mergeCell ref="S8:W8"/>
    <mergeCell ref="X8:AZ8"/>
    <mergeCell ref="A17:AZ17"/>
    <mergeCell ref="A15:AZ15"/>
    <mergeCell ref="A36:AZ36"/>
    <mergeCell ref="A44:AZ44"/>
    <mergeCell ref="A40:AZ40"/>
    <mergeCell ref="A31:AZ31"/>
    <mergeCell ref="A32:AZ32"/>
    <mergeCell ref="A51:AZ51"/>
    <mergeCell ref="A33:AZ33"/>
    <mergeCell ref="A45:AZ45"/>
    <mergeCell ref="A37:AZ37"/>
    <mergeCell ref="A38:AZ38"/>
    <mergeCell ref="A19:AZ19"/>
    <mergeCell ref="A6:AZ6"/>
    <mergeCell ref="A11:AZ11"/>
    <mergeCell ref="A7:L7"/>
    <mergeCell ref="M7:AZ7"/>
    <mergeCell ref="A50:AZ50"/>
    <mergeCell ref="A47:AZ47"/>
    <mergeCell ref="A48:AZ48"/>
    <mergeCell ref="A49:AZ49"/>
    <mergeCell ref="A23:AZ23"/>
    <mergeCell ref="A24:AZ24"/>
    <mergeCell ref="A34:AZ34"/>
    <mergeCell ref="A35:AZ35"/>
    <mergeCell ref="A28:AZ28"/>
    <mergeCell ref="A29:AZ29"/>
    <mergeCell ref="A46:AZ46"/>
    <mergeCell ref="A30:AZ30"/>
    <mergeCell ref="A53:AZ53"/>
    <mergeCell ref="A54:AZ54"/>
    <mergeCell ref="C60:P60"/>
    <mergeCell ref="A61:Z61"/>
    <mergeCell ref="AA61:AZ61"/>
    <mergeCell ref="A56:B60"/>
    <mergeCell ref="C56:P59"/>
    <mergeCell ref="A55:B55"/>
    <mergeCell ref="AK56:AX59"/>
    <mergeCell ref="AY55:AZ55"/>
    <mergeCell ref="Q55:AJ55"/>
    <mergeCell ref="C55:P55"/>
    <mergeCell ref="Q56:AJ60"/>
    <mergeCell ref="AK55:AX55"/>
    <mergeCell ref="AY56:AZ60"/>
    <mergeCell ref="AK60:AX60"/>
    <mergeCell ref="A8:C8"/>
    <mergeCell ref="D8:R8"/>
    <mergeCell ref="A9:AZ9"/>
    <mergeCell ref="A12:AZ12"/>
    <mergeCell ref="A14:AZ14"/>
    <mergeCell ref="A13:Q13"/>
    <mergeCell ref="R13:AZ13"/>
    <mergeCell ref="A10:AZ10"/>
    <mergeCell ref="A41:AZ41"/>
    <mergeCell ref="A42:AZ42"/>
    <mergeCell ref="A43:AZ43"/>
    <mergeCell ref="A16:AZ16"/>
    <mergeCell ref="A26:AZ26"/>
    <mergeCell ref="A27:AZ27"/>
    <mergeCell ref="A18:AZ18"/>
    <mergeCell ref="A39:AZ39"/>
    <mergeCell ref="A20:AZ20"/>
    <mergeCell ref="A21:AZ21"/>
    <mergeCell ref="A22:AZ22"/>
    <mergeCell ref="A25:AZ25"/>
    <mergeCell ref="A1:AD3"/>
    <mergeCell ref="A5:AZ5"/>
    <mergeCell ref="AE1:AI1"/>
    <mergeCell ref="AK1:AZ1"/>
    <mergeCell ref="AE2:AI2"/>
    <mergeCell ref="AK2:AZ2"/>
    <mergeCell ref="AE3:AZ3"/>
    <mergeCell ref="A4:AZ4"/>
  </mergeCells>
  <conditionalFormatting sqref="AK56 AK1:AZ2 M7 D8 X8 R13 C56">
    <cfRule type="containsBlanks" dxfId="135" priority="1" stopIfTrue="1">
      <formula>LEN(TRIM(C1))=0</formula>
    </cfRule>
  </conditionalFormatting>
  <printOptions horizontalCentered="1"/>
  <pageMargins left="0" right="0" top="0.51181102362204722" bottom="0" header="0.51181102362204722" footer="0.23622047244094491"/>
  <pageSetup fitToWidth="0" fitToHeight="0" orientation="portrait" r:id="rId1"/>
  <headerFooter>
    <oddFooter>&amp;C&amp;06 &amp;P &amp; of &amp;N</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theme="9" tint="-0.249977111117893"/>
  </sheetPr>
  <dimension ref="A1:BJ62"/>
  <sheetViews>
    <sheetView zoomScaleNormal="100" workbookViewId="0">
      <selection activeCell="O28" sqref="O28:AZ28"/>
    </sheetView>
  </sheetViews>
  <sheetFormatPr defaultColWidth="9.140625" defaultRowHeight="13.5" customHeight="1" x14ac:dyDescent="0.2"/>
  <cols>
    <col min="1" max="52" width="1.7109375" style="6" customWidth="1"/>
    <col min="53" max="55" width="9.140625" style="6"/>
    <col min="56" max="56" width="9.5703125" style="6" customWidth="1"/>
    <col min="57"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262</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Entry'!N10="","",'Data Entry'!N10)</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t="str">
        <f>IF('Data Entry'!N32="","",'Data Entry'!N32)</f>
        <v/>
      </c>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65" t="s">
        <v>59</v>
      </c>
      <c r="B13" s="165"/>
      <c r="C13" s="16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row>
    <row r="14" spans="1:52" ht="12" customHeight="1" x14ac:dyDescent="0.2">
      <c r="A14" s="165"/>
      <c r="B14" s="165"/>
      <c r="C14" s="16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row>
    <row r="15" spans="1:52" ht="12" customHeight="1" x14ac:dyDescent="0.2">
      <c r="A15" s="165"/>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214"/>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c r="AL16" s="214"/>
      <c r="AM16" s="214"/>
      <c r="AN16" s="214"/>
      <c r="AO16" s="214"/>
      <c r="AP16" s="214"/>
      <c r="AQ16" s="214"/>
      <c r="AR16" s="214"/>
      <c r="AS16" s="214"/>
      <c r="AT16" s="214"/>
      <c r="AU16" s="214"/>
      <c r="AV16" s="214"/>
      <c r="AW16" s="214"/>
      <c r="AX16" s="214"/>
      <c r="AY16" s="214"/>
      <c r="AZ16" s="214"/>
    </row>
    <row r="17" spans="1:52" ht="12" customHeight="1" x14ac:dyDescent="0.2">
      <c r="A17" s="237" t="s">
        <v>258</v>
      </c>
      <c r="B17" s="237"/>
      <c r="C17" s="237"/>
      <c r="D17" s="237"/>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7"/>
      <c r="AI17" s="237"/>
      <c r="AJ17" s="237"/>
      <c r="AK17" s="237"/>
      <c r="AL17" s="237"/>
      <c r="AM17" s="237"/>
      <c r="AN17" s="237"/>
      <c r="AO17" s="237"/>
      <c r="AP17" s="237"/>
      <c r="AQ17" s="237"/>
      <c r="AR17" s="237"/>
      <c r="AS17" s="237"/>
      <c r="AT17" s="237"/>
      <c r="AU17" s="237"/>
      <c r="AV17" s="237"/>
      <c r="AW17" s="237"/>
      <c r="AX17" s="237"/>
      <c r="AY17" s="237"/>
      <c r="AZ17" s="237"/>
    </row>
    <row r="18" spans="1:52" ht="12" customHeight="1" thickBot="1" x14ac:dyDescent="0.25">
      <c r="A18" s="225"/>
      <c r="B18" s="225"/>
      <c r="C18" s="225"/>
      <c r="D18" s="225"/>
      <c r="E18" s="225"/>
      <c r="F18" s="225"/>
      <c r="G18" s="225"/>
      <c r="H18" s="225"/>
      <c r="I18" s="225"/>
      <c r="J18" s="225"/>
      <c r="K18" s="225"/>
      <c r="L18" s="225"/>
      <c r="M18" s="225"/>
      <c r="N18" s="225"/>
      <c r="O18" s="225"/>
      <c r="P18" s="225"/>
      <c r="Q18" s="225"/>
      <c r="R18" s="225"/>
      <c r="S18" s="225"/>
      <c r="T18" s="225"/>
      <c r="U18" s="225"/>
      <c r="V18" s="225"/>
      <c r="W18" s="225"/>
      <c r="X18" s="225"/>
      <c r="Y18" s="225"/>
      <c r="Z18" s="225"/>
      <c r="AA18" s="225"/>
      <c r="AB18" s="225"/>
      <c r="AC18" s="225"/>
      <c r="AD18" s="225"/>
      <c r="AE18" s="225"/>
      <c r="AF18" s="225"/>
      <c r="AG18" s="225"/>
      <c r="AH18" s="225"/>
      <c r="AI18" s="225"/>
      <c r="AJ18" s="225"/>
      <c r="AK18" s="225"/>
      <c r="AL18" s="225"/>
      <c r="AM18" s="225"/>
      <c r="AN18" s="225"/>
      <c r="AO18" s="225"/>
      <c r="AP18" s="225"/>
      <c r="AQ18" s="225"/>
      <c r="AR18" s="225"/>
      <c r="AS18" s="225"/>
      <c r="AT18" s="225"/>
      <c r="AU18" s="225"/>
      <c r="AV18" s="225"/>
      <c r="AW18" s="225"/>
      <c r="AX18" s="225"/>
      <c r="AY18" s="225"/>
      <c r="AZ18" s="225"/>
    </row>
    <row r="19" spans="1:52" ht="12" customHeight="1" thickBot="1" x14ac:dyDescent="0.25">
      <c r="A19" s="228"/>
      <c r="B19" s="229"/>
      <c r="C19" s="229"/>
      <c r="D19" s="229"/>
      <c r="E19" s="229"/>
      <c r="F19" s="229"/>
      <c r="G19" s="229"/>
      <c r="H19" s="230"/>
      <c r="I19" s="228" t="s">
        <v>263</v>
      </c>
      <c r="J19" s="229"/>
      <c r="K19" s="229"/>
      <c r="L19" s="229"/>
      <c r="M19" s="229"/>
      <c r="N19" s="229"/>
      <c r="O19" s="229"/>
      <c r="P19" s="229"/>
      <c r="Q19" s="229"/>
      <c r="R19" s="229"/>
      <c r="S19" s="229"/>
      <c r="T19" s="230"/>
      <c r="U19" s="228" t="s">
        <v>264</v>
      </c>
      <c r="V19" s="229"/>
      <c r="W19" s="229"/>
      <c r="X19" s="229"/>
      <c r="Y19" s="229"/>
      <c r="Z19" s="229"/>
      <c r="AA19" s="229"/>
      <c r="AB19" s="229"/>
      <c r="AC19" s="229"/>
      <c r="AD19" s="229"/>
      <c r="AE19" s="229"/>
      <c r="AF19" s="230"/>
      <c r="AG19" s="228" t="s">
        <v>265</v>
      </c>
      <c r="AH19" s="229"/>
      <c r="AI19" s="229"/>
      <c r="AJ19" s="229"/>
      <c r="AK19" s="229"/>
      <c r="AL19" s="229"/>
      <c r="AM19" s="229"/>
      <c r="AN19" s="229"/>
      <c r="AO19" s="229"/>
      <c r="AP19" s="230"/>
      <c r="AQ19" s="228" t="s">
        <v>253</v>
      </c>
      <c r="AR19" s="229"/>
      <c r="AS19" s="229"/>
      <c r="AT19" s="229"/>
      <c r="AU19" s="229"/>
      <c r="AV19" s="229"/>
      <c r="AW19" s="229"/>
      <c r="AX19" s="229"/>
      <c r="AY19" s="229"/>
      <c r="AZ19" s="230"/>
    </row>
    <row r="20" spans="1:52" ht="12" customHeight="1" thickBot="1" x14ac:dyDescent="0.25">
      <c r="A20" s="228" t="s">
        <v>535</v>
      </c>
      <c r="B20" s="229"/>
      <c r="C20" s="229"/>
      <c r="D20" s="229"/>
      <c r="E20" s="229"/>
      <c r="F20" s="229"/>
      <c r="G20" s="229"/>
      <c r="H20" s="230"/>
      <c r="I20" s="226"/>
      <c r="J20" s="227"/>
      <c r="K20" s="227"/>
      <c r="L20" s="227"/>
      <c r="M20" s="227"/>
      <c r="N20" s="227"/>
      <c r="O20" s="227"/>
      <c r="P20" s="227"/>
      <c r="Q20" s="227"/>
      <c r="R20" s="227"/>
      <c r="S20" s="227"/>
      <c r="T20" s="227"/>
      <c r="U20" s="227"/>
      <c r="V20" s="227"/>
      <c r="W20" s="227"/>
      <c r="X20" s="227"/>
      <c r="Y20" s="227"/>
      <c r="Z20" s="227"/>
      <c r="AA20" s="227"/>
      <c r="AB20" s="227"/>
      <c r="AC20" s="227"/>
      <c r="AD20" s="227"/>
      <c r="AE20" s="227"/>
      <c r="AF20" s="227"/>
      <c r="AG20" s="227" t="str">
        <f>IF(OR(I20="",U20=""),"",U20-I20)</f>
        <v/>
      </c>
      <c r="AH20" s="227"/>
      <c r="AI20" s="227"/>
      <c r="AJ20" s="227"/>
      <c r="AK20" s="227"/>
      <c r="AL20" s="227"/>
      <c r="AM20" s="227"/>
      <c r="AN20" s="227"/>
      <c r="AO20" s="227"/>
      <c r="AP20" s="227"/>
      <c r="AQ20" s="227" t="str">
        <f>IF(OR(I20="",U20=""),"",(AG20/I20)*100)</f>
        <v/>
      </c>
      <c r="AR20" s="227"/>
      <c r="AS20" s="227"/>
      <c r="AT20" s="227"/>
      <c r="AU20" s="227"/>
      <c r="AV20" s="227"/>
      <c r="AW20" s="227"/>
      <c r="AX20" s="227"/>
      <c r="AY20" s="227"/>
      <c r="AZ20" s="227"/>
    </row>
    <row r="21" spans="1:52" ht="12" customHeight="1" thickBot="1" x14ac:dyDescent="0.25">
      <c r="A21" s="228" t="s">
        <v>524</v>
      </c>
      <c r="B21" s="229"/>
      <c r="C21" s="229"/>
      <c r="D21" s="229"/>
      <c r="E21" s="229"/>
      <c r="F21" s="229"/>
      <c r="G21" s="229"/>
      <c r="H21" s="230"/>
      <c r="I21" s="226"/>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t="str">
        <f>IF(OR(I21="",U21=""),"",U21-I21)</f>
        <v/>
      </c>
      <c r="AH21" s="227"/>
      <c r="AI21" s="227"/>
      <c r="AJ21" s="227"/>
      <c r="AK21" s="227"/>
      <c r="AL21" s="227"/>
      <c r="AM21" s="227"/>
      <c r="AN21" s="227"/>
      <c r="AO21" s="227"/>
      <c r="AP21" s="227"/>
      <c r="AQ21" s="227" t="str">
        <f>IF(OR(I21="",U21=""),"",(AG21/I21)*100)</f>
        <v/>
      </c>
      <c r="AR21" s="227"/>
      <c r="AS21" s="227"/>
      <c r="AT21" s="227"/>
      <c r="AU21" s="227"/>
      <c r="AV21" s="227"/>
      <c r="AW21" s="227"/>
      <c r="AX21" s="227"/>
      <c r="AY21" s="227"/>
      <c r="AZ21" s="227"/>
    </row>
    <row r="22" spans="1:52" ht="12" customHeight="1" thickBot="1" x14ac:dyDescent="0.25">
      <c r="A22" s="228" t="s">
        <v>536</v>
      </c>
      <c r="B22" s="229"/>
      <c r="C22" s="229"/>
      <c r="D22" s="229"/>
      <c r="E22" s="229"/>
      <c r="F22" s="229"/>
      <c r="G22" s="229"/>
      <c r="H22" s="230"/>
      <c r="I22" s="226"/>
      <c r="J22" s="227"/>
      <c r="K22" s="227"/>
      <c r="L22" s="227"/>
      <c r="M22" s="227"/>
      <c r="N22" s="227"/>
      <c r="O22" s="227"/>
      <c r="P22" s="227"/>
      <c r="Q22" s="227"/>
      <c r="R22" s="227"/>
      <c r="S22" s="227"/>
      <c r="T22" s="227"/>
      <c r="U22" s="227"/>
      <c r="V22" s="227"/>
      <c r="W22" s="227"/>
      <c r="X22" s="227"/>
      <c r="Y22" s="227"/>
      <c r="Z22" s="227"/>
      <c r="AA22" s="227"/>
      <c r="AB22" s="227"/>
      <c r="AC22" s="227"/>
      <c r="AD22" s="227"/>
      <c r="AE22" s="227"/>
      <c r="AF22" s="227"/>
      <c r="AG22" s="227" t="str">
        <f>IF(OR(I22="",U22=""),"",U22-I22)</f>
        <v/>
      </c>
      <c r="AH22" s="227"/>
      <c r="AI22" s="227"/>
      <c r="AJ22" s="227"/>
      <c r="AK22" s="227"/>
      <c r="AL22" s="227"/>
      <c r="AM22" s="227"/>
      <c r="AN22" s="227"/>
      <c r="AO22" s="227"/>
      <c r="AP22" s="227"/>
      <c r="AQ22" s="227" t="str">
        <f>IF(OR(I22="",U22=""),"",(AG22/I22)*100)</f>
        <v/>
      </c>
      <c r="AR22" s="227"/>
      <c r="AS22" s="227"/>
      <c r="AT22" s="227"/>
      <c r="AU22" s="227"/>
      <c r="AV22" s="227"/>
      <c r="AW22" s="227"/>
      <c r="AX22" s="227"/>
      <c r="AY22" s="227"/>
      <c r="AZ22" s="227"/>
    </row>
    <row r="23" spans="1:52" ht="13.5" customHeight="1" thickBot="1" x14ac:dyDescent="0.25">
      <c r="A23" s="228" t="s">
        <v>525</v>
      </c>
      <c r="B23" s="229"/>
      <c r="C23" s="229"/>
      <c r="D23" s="229"/>
      <c r="E23" s="229"/>
      <c r="F23" s="229"/>
      <c r="G23" s="229"/>
      <c r="H23" s="230"/>
      <c r="I23" s="226">
        <v>157.81</v>
      </c>
      <c r="J23" s="227"/>
      <c r="K23" s="227"/>
      <c r="L23" s="227"/>
      <c r="M23" s="227"/>
      <c r="N23" s="227"/>
      <c r="O23" s="227"/>
      <c r="P23" s="227"/>
      <c r="Q23" s="227"/>
      <c r="R23" s="227"/>
      <c r="S23" s="227"/>
      <c r="T23" s="227"/>
      <c r="U23" s="227">
        <v>153.95099999999999</v>
      </c>
      <c r="V23" s="227"/>
      <c r="W23" s="227"/>
      <c r="X23" s="227"/>
      <c r="Y23" s="227"/>
      <c r="Z23" s="227"/>
      <c r="AA23" s="227"/>
      <c r="AB23" s="227"/>
      <c r="AC23" s="227"/>
      <c r="AD23" s="227"/>
      <c r="AE23" s="227"/>
      <c r="AF23" s="227"/>
      <c r="AG23" s="227">
        <f>IF(OR(I23="",U23=""),"",U23-I23)</f>
        <v>-3.8590000000000089</v>
      </c>
      <c r="AH23" s="227"/>
      <c r="AI23" s="227"/>
      <c r="AJ23" s="227"/>
      <c r="AK23" s="227"/>
      <c r="AL23" s="227"/>
      <c r="AM23" s="227"/>
      <c r="AN23" s="227"/>
      <c r="AO23" s="227"/>
      <c r="AP23" s="227"/>
      <c r="AQ23" s="227">
        <f>IF(OR(I23="",U23=""),"",(AG23/I23)*100)</f>
        <v>-2.4453456688422843</v>
      </c>
      <c r="AR23" s="227"/>
      <c r="AS23" s="227"/>
      <c r="AT23" s="227"/>
      <c r="AU23" s="227"/>
      <c r="AV23" s="227"/>
      <c r="AW23" s="227"/>
      <c r="AX23" s="227"/>
      <c r="AY23" s="227"/>
      <c r="AZ23" s="227"/>
    </row>
    <row r="24" spans="1:52" ht="13.5" customHeight="1" thickBot="1" x14ac:dyDescent="0.25">
      <c r="A24" s="228" t="s">
        <v>352</v>
      </c>
      <c r="B24" s="229"/>
      <c r="C24" s="229"/>
      <c r="D24" s="229"/>
      <c r="E24" s="229"/>
      <c r="F24" s="229"/>
      <c r="G24" s="229"/>
      <c r="H24" s="230"/>
      <c r="I24" s="226">
        <v>21.1</v>
      </c>
      <c r="J24" s="227"/>
      <c r="K24" s="227"/>
      <c r="L24" s="227"/>
      <c r="M24" s="227"/>
      <c r="N24" s="227"/>
      <c r="O24" s="227"/>
      <c r="P24" s="227"/>
      <c r="Q24" s="227"/>
      <c r="R24" s="227"/>
      <c r="S24" s="227"/>
      <c r="T24" s="227"/>
      <c r="U24" s="226">
        <v>21.1</v>
      </c>
      <c r="V24" s="227"/>
      <c r="W24" s="227"/>
      <c r="X24" s="227"/>
      <c r="Y24" s="227"/>
      <c r="Z24" s="227"/>
      <c r="AA24" s="227"/>
      <c r="AB24" s="227"/>
      <c r="AC24" s="227"/>
      <c r="AD24" s="227"/>
      <c r="AE24" s="227"/>
      <c r="AF24" s="227"/>
      <c r="AG24" s="231">
        <f>IF(OR(I24="",U24=""),"",U24-I24)</f>
        <v>0</v>
      </c>
      <c r="AH24" s="231"/>
      <c r="AI24" s="231"/>
      <c r="AJ24" s="231"/>
      <c r="AK24" s="231"/>
      <c r="AL24" s="231"/>
      <c r="AM24" s="231"/>
      <c r="AN24" s="231"/>
      <c r="AO24" s="231"/>
      <c r="AP24" s="231"/>
      <c r="AQ24" s="231">
        <f>IF(OR(I24="",U24=""),"",(AG24/I24)*100)</f>
        <v>0</v>
      </c>
      <c r="AR24" s="231"/>
      <c r="AS24" s="231"/>
      <c r="AT24" s="231"/>
      <c r="AU24" s="231"/>
      <c r="AV24" s="231"/>
      <c r="AW24" s="231"/>
      <c r="AX24" s="231"/>
      <c r="AY24" s="231"/>
      <c r="AZ24" s="231"/>
    </row>
    <row r="25" spans="1:52" ht="13.5" customHeight="1" thickBot="1" x14ac:dyDescent="0.25">
      <c r="A25" s="228" t="s">
        <v>268</v>
      </c>
      <c r="B25" s="229"/>
      <c r="C25" s="229"/>
      <c r="D25" s="229"/>
      <c r="E25" s="229"/>
      <c r="F25" s="229"/>
      <c r="G25" s="229"/>
      <c r="H25" s="230"/>
      <c r="I25" s="238">
        <v>44719</v>
      </c>
      <c r="J25" s="239"/>
      <c r="K25" s="239"/>
      <c r="L25" s="239"/>
      <c r="M25" s="239"/>
      <c r="N25" s="239"/>
      <c r="O25" s="239"/>
      <c r="P25" s="239"/>
      <c r="Q25" s="239"/>
      <c r="R25" s="239"/>
      <c r="S25" s="239"/>
      <c r="T25" s="239"/>
      <c r="U25" s="240">
        <v>44720</v>
      </c>
      <c r="V25" s="240"/>
      <c r="W25" s="240"/>
      <c r="X25" s="240"/>
      <c r="Y25" s="240"/>
      <c r="Z25" s="240"/>
      <c r="AA25" s="240"/>
      <c r="AB25" s="240"/>
      <c r="AC25" s="240"/>
      <c r="AD25" s="240"/>
      <c r="AE25" s="240"/>
      <c r="AF25" s="240"/>
      <c r="AG25" s="235" t="s">
        <v>346</v>
      </c>
      <c r="AH25" s="235"/>
      <c r="AI25" s="235"/>
      <c r="AJ25" s="235"/>
      <c r="AK25" s="235"/>
      <c r="AL25" s="235"/>
      <c r="AM25" s="235"/>
      <c r="AN25" s="235"/>
      <c r="AO25" s="235"/>
      <c r="AP25" s="235"/>
      <c r="AQ25" s="235" t="s">
        <v>346</v>
      </c>
      <c r="AR25" s="235"/>
      <c r="AS25" s="235"/>
      <c r="AT25" s="235"/>
      <c r="AU25" s="235"/>
      <c r="AV25" s="235"/>
      <c r="AW25" s="235"/>
      <c r="AX25" s="235"/>
      <c r="AY25" s="235"/>
      <c r="AZ25" s="235"/>
    </row>
    <row r="26" spans="1:52" ht="13.5" customHeight="1" thickBot="1" x14ac:dyDescent="0.25">
      <c r="A26" s="228" t="s">
        <v>269</v>
      </c>
      <c r="B26" s="229"/>
      <c r="C26" s="229"/>
      <c r="D26" s="229"/>
      <c r="E26" s="229"/>
      <c r="F26" s="229"/>
      <c r="G26" s="229"/>
      <c r="H26" s="230"/>
      <c r="I26" s="232">
        <v>0.98958333333333337</v>
      </c>
      <c r="J26" s="233"/>
      <c r="K26" s="233"/>
      <c r="L26" s="233"/>
      <c r="M26" s="233"/>
      <c r="N26" s="233"/>
      <c r="O26" s="233"/>
      <c r="P26" s="233"/>
      <c r="Q26" s="233"/>
      <c r="R26" s="233"/>
      <c r="S26" s="233"/>
      <c r="T26" s="233"/>
      <c r="U26" s="234">
        <v>7.6388888888888895E-2</v>
      </c>
      <c r="V26" s="234"/>
      <c r="W26" s="234"/>
      <c r="X26" s="234"/>
      <c r="Y26" s="234"/>
      <c r="Z26" s="234"/>
      <c r="AA26" s="234"/>
      <c r="AB26" s="234"/>
      <c r="AC26" s="234"/>
      <c r="AD26" s="234"/>
      <c r="AE26" s="234"/>
      <c r="AF26" s="234"/>
      <c r="AG26" s="235" t="s">
        <v>346</v>
      </c>
      <c r="AH26" s="235"/>
      <c r="AI26" s="235"/>
      <c r="AJ26" s="235"/>
      <c r="AK26" s="235"/>
      <c r="AL26" s="235"/>
      <c r="AM26" s="235"/>
      <c r="AN26" s="235"/>
      <c r="AO26" s="235"/>
      <c r="AP26" s="235"/>
      <c r="AQ26" s="235" t="s">
        <v>346</v>
      </c>
      <c r="AR26" s="235"/>
      <c r="AS26" s="235"/>
      <c r="AT26" s="235"/>
      <c r="AU26" s="235"/>
      <c r="AV26" s="235"/>
      <c r="AW26" s="235"/>
      <c r="AX26" s="235"/>
      <c r="AY26" s="235"/>
      <c r="AZ26" s="235"/>
    </row>
    <row r="27" spans="1:52" ht="12" customHeight="1" x14ac:dyDescent="0.2">
      <c r="A27" s="154"/>
      <c r="B27" s="154"/>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row>
    <row r="28" spans="1:52" ht="12" customHeight="1" x14ac:dyDescent="0.2">
      <c r="A28" s="221" t="s">
        <v>259</v>
      </c>
      <c r="B28" s="221"/>
      <c r="C28" s="221"/>
      <c r="D28" s="221"/>
      <c r="E28" s="221"/>
      <c r="F28" s="221"/>
      <c r="G28" s="221"/>
      <c r="H28" s="221"/>
      <c r="I28" s="221"/>
      <c r="J28" s="221"/>
      <c r="K28" s="221"/>
      <c r="L28" s="221"/>
      <c r="M28" s="221"/>
      <c r="N28" s="221"/>
      <c r="O28" s="222" t="str">
        <f>IF('Data Entry'!N8="","",'Data Entry'!N8)</f>
        <v/>
      </c>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2"/>
    </row>
    <row r="29" spans="1:52" ht="12" customHeight="1" x14ac:dyDescent="0.2">
      <c r="A29" s="223" t="s">
        <v>260</v>
      </c>
      <c r="B29" s="223"/>
      <c r="C29" s="223"/>
      <c r="D29" s="223"/>
      <c r="E29" s="223"/>
      <c r="F29" s="223"/>
      <c r="G29" s="223"/>
      <c r="H29" s="223"/>
      <c r="I29" s="223"/>
      <c r="J29" s="223"/>
      <c r="K29" s="223"/>
      <c r="L29" s="223"/>
      <c r="M29" s="223"/>
      <c r="N29" s="223"/>
      <c r="O29" s="222" t="str">
        <f>IF('Data Entry'!N9="","",'Data Entry'!N9)</f>
        <v/>
      </c>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row>
    <row r="30" spans="1:52" ht="12" customHeight="1" x14ac:dyDescent="0.2">
      <c r="A30" s="223"/>
      <c r="B30" s="223"/>
      <c r="C30" s="223"/>
      <c r="D30" s="223"/>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c r="AV30" s="223"/>
      <c r="AW30" s="223"/>
      <c r="AX30" s="223"/>
      <c r="AY30" s="223"/>
      <c r="AZ30" s="223"/>
    </row>
    <row r="31" spans="1:52" ht="12" customHeight="1" x14ac:dyDescent="0.2">
      <c r="A31" s="224"/>
      <c r="B31" s="224"/>
      <c r="C31" s="224"/>
      <c r="D31" s="224"/>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4"/>
      <c r="AI31" s="224"/>
      <c r="AJ31" s="224"/>
      <c r="AK31" s="224"/>
      <c r="AL31" s="224"/>
      <c r="AM31" s="224"/>
      <c r="AN31" s="224"/>
      <c r="AO31" s="224"/>
      <c r="AP31" s="224"/>
      <c r="AQ31" s="224"/>
      <c r="AR31" s="224"/>
      <c r="AS31" s="224"/>
      <c r="AT31" s="224"/>
      <c r="AU31" s="224"/>
      <c r="AV31" s="224"/>
      <c r="AW31" s="224"/>
      <c r="AX31" s="224"/>
      <c r="AY31" s="224"/>
      <c r="AZ31" s="224"/>
    </row>
    <row r="32" spans="1:52" ht="12" customHeight="1" x14ac:dyDescent="0.2">
      <c r="A32" s="207" t="s">
        <v>261</v>
      </c>
      <c r="B32" s="207"/>
      <c r="C32" s="207"/>
      <c r="D32" s="207"/>
      <c r="E32" s="207"/>
      <c r="F32" s="207"/>
      <c r="G32" s="207"/>
      <c r="H32" s="207"/>
      <c r="I32" s="207"/>
      <c r="J32" s="207"/>
      <c r="K32" s="207"/>
      <c r="L32" s="207"/>
      <c r="M32" s="207"/>
      <c r="N32" s="207"/>
      <c r="O32" s="207"/>
      <c r="P32" s="207"/>
      <c r="Q32" s="207"/>
      <c r="R32" s="207"/>
      <c r="S32" s="207"/>
      <c r="T32" s="207"/>
      <c r="U32" s="207"/>
      <c r="V32" s="207"/>
      <c r="W32" s="207"/>
      <c r="X32" s="207"/>
      <c r="Y32" s="207"/>
      <c r="Z32" s="207"/>
      <c r="AA32" s="207"/>
      <c r="AB32" s="207"/>
      <c r="AC32" s="207"/>
      <c r="AD32" s="207"/>
      <c r="AE32" s="207"/>
      <c r="AF32" s="207"/>
      <c r="AG32" s="207"/>
      <c r="AH32" s="207"/>
      <c r="AI32" s="207"/>
      <c r="AJ32" s="207"/>
      <c r="AK32" s="207"/>
      <c r="AL32" s="207"/>
      <c r="AM32" s="207"/>
      <c r="AN32" s="207"/>
      <c r="AO32" s="207"/>
      <c r="AP32" s="207"/>
      <c r="AQ32" s="207"/>
      <c r="AR32" s="207"/>
      <c r="AS32" s="207"/>
      <c r="AT32" s="207"/>
      <c r="AU32" s="207"/>
      <c r="AV32" s="207"/>
      <c r="AW32" s="207"/>
      <c r="AX32" s="207"/>
      <c r="AY32" s="207"/>
      <c r="AZ32" s="207"/>
    </row>
    <row r="33" spans="1:62" ht="12" customHeight="1" x14ac:dyDescent="0.2">
      <c r="A33" s="224"/>
      <c r="B33" s="224"/>
      <c r="C33" s="224"/>
      <c r="D33" s="224"/>
      <c r="E33" s="224"/>
      <c r="F33" s="224"/>
      <c r="G33" s="224"/>
      <c r="H33" s="224"/>
      <c r="I33" s="224"/>
      <c r="J33" s="224"/>
      <c r="K33" s="224"/>
      <c r="L33" s="224"/>
      <c r="M33" s="224"/>
      <c r="N33" s="224"/>
      <c r="O33" s="224"/>
      <c r="P33" s="224"/>
      <c r="Q33" s="224"/>
      <c r="R33" s="224"/>
      <c r="S33" s="224"/>
      <c r="T33" s="224"/>
      <c r="U33" s="224"/>
      <c r="V33" s="224"/>
      <c r="W33" s="224"/>
      <c r="X33" s="224"/>
      <c r="Y33" s="224"/>
      <c r="Z33" s="224"/>
      <c r="AA33" s="224"/>
      <c r="AB33" s="224"/>
      <c r="AC33" s="224"/>
      <c r="AD33" s="224"/>
      <c r="AE33" s="224"/>
      <c r="AF33" s="224"/>
      <c r="AG33" s="224"/>
      <c r="AH33" s="224"/>
      <c r="AI33" s="224"/>
      <c r="AJ33" s="224"/>
      <c r="AK33" s="224"/>
      <c r="AL33" s="224"/>
      <c r="AM33" s="224"/>
      <c r="AN33" s="224"/>
      <c r="AO33" s="224"/>
      <c r="AP33" s="224"/>
      <c r="AQ33" s="224"/>
      <c r="AR33" s="224"/>
      <c r="AS33" s="224"/>
      <c r="AT33" s="224"/>
      <c r="AU33" s="224"/>
      <c r="AV33" s="224"/>
      <c r="AW33" s="224"/>
      <c r="AX33" s="224"/>
      <c r="AY33" s="224"/>
      <c r="AZ33" s="224"/>
    </row>
    <row r="34" spans="1:62"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J34" s="16"/>
    </row>
    <row r="35" spans="1:62"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62"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62"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62"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62" ht="12" customHeight="1" x14ac:dyDescent="0.2">
      <c r="A39" s="224"/>
      <c r="B39" s="224"/>
      <c r="C39" s="224"/>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4"/>
      <c r="AB39" s="224"/>
      <c r="AC39" s="224"/>
      <c r="AD39" s="224"/>
      <c r="AE39" s="224"/>
      <c r="AF39" s="224"/>
      <c r="AG39" s="224"/>
      <c r="AH39" s="224"/>
      <c r="AI39" s="224"/>
      <c r="AJ39" s="224"/>
      <c r="AK39" s="224"/>
      <c r="AL39" s="224"/>
      <c r="AM39" s="224"/>
      <c r="AN39" s="224"/>
      <c r="AO39" s="224"/>
      <c r="AP39" s="224"/>
      <c r="AQ39" s="224"/>
      <c r="AR39" s="224"/>
      <c r="AS39" s="224"/>
      <c r="AT39" s="224"/>
      <c r="AU39" s="224"/>
      <c r="AV39" s="224"/>
      <c r="AW39" s="224"/>
      <c r="AX39" s="224"/>
      <c r="AY39" s="224"/>
      <c r="AZ39" s="224"/>
    </row>
    <row r="40" spans="1:62"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c r="BJ40" s="16"/>
    </row>
    <row r="41" spans="1:62"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62"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62"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62" ht="12" customHeight="1" x14ac:dyDescent="0.2">
      <c r="A44" s="224"/>
      <c r="B44" s="224"/>
      <c r="C44" s="224"/>
      <c r="D44" s="224"/>
      <c r="E44" s="224"/>
      <c r="F44" s="224"/>
      <c r="G44" s="224"/>
      <c r="H44" s="224"/>
      <c r="I44" s="224"/>
      <c r="J44" s="224"/>
      <c r="K44" s="224"/>
      <c r="L44" s="224"/>
      <c r="M44" s="224"/>
      <c r="N44" s="224"/>
      <c r="O44" s="224"/>
      <c r="P44" s="224"/>
      <c r="Q44" s="224"/>
      <c r="R44" s="224"/>
      <c r="S44" s="224"/>
      <c r="T44" s="224"/>
      <c r="U44" s="224"/>
      <c r="V44" s="224"/>
      <c r="W44" s="224"/>
      <c r="X44" s="224"/>
      <c r="Y44" s="224"/>
      <c r="Z44" s="224"/>
      <c r="AA44" s="224"/>
      <c r="AB44" s="224"/>
      <c r="AC44" s="224"/>
      <c r="AD44" s="224"/>
      <c r="AE44" s="224"/>
      <c r="AF44" s="224"/>
      <c r="AG44" s="224"/>
      <c r="AH44" s="224"/>
      <c r="AI44" s="224"/>
      <c r="AJ44" s="224"/>
      <c r="AK44" s="224"/>
      <c r="AL44" s="224"/>
      <c r="AM44" s="224"/>
      <c r="AN44" s="224"/>
      <c r="AO44" s="224"/>
      <c r="AP44" s="224"/>
      <c r="AQ44" s="224"/>
      <c r="AR44" s="224"/>
      <c r="AS44" s="224"/>
      <c r="AT44" s="224"/>
      <c r="AU44" s="224"/>
      <c r="AV44" s="224"/>
      <c r="AW44" s="224"/>
      <c r="AX44" s="224"/>
      <c r="AY44" s="224"/>
      <c r="AZ44" s="224"/>
    </row>
    <row r="45" spans="1:62"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c r="BJ45" s="16"/>
    </row>
    <row r="46" spans="1:62"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62"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62"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row>
    <row r="49" spans="1:52" ht="12" customHeight="1" x14ac:dyDescent="0.2">
      <c r="A49" s="206"/>
      <c r="B49" s="206"/>
      <c r="C49" s="206"/>
      <c r="D49" s="206"/>
      <c r="E49" s="206"/>
      <c r="F49" s="206"/>
      <c r="G49" s="206"/>
      <c r="H49" s="206"/>
      <c r="I49" s="206"/>
      <c r="J49" s="206"/>
      <c r="K49" s="206"/>
      <c r="L49" s="206"/>
      <c r="M49" s="206"/>
      <c r="N49" s="206"/>
      <c r="O49" s="206"/>
      <c r="P49" s="206"/>
      <c r="Q49" s="206"/>
      <c r="R49" s="206"/>
      <c r="S49" s="206"/>
      <c r="T49" s="206"/>
      <c r="U49" s="206"/>
      <c r="V49" s="206"/>
      <c r="W49" s="206"/>
      <c r="X49" s="206"/>
      <c r="Y49" s="206"/>
      <c r="Z49" s="206"/>
      <c r="AA49" s="206"/>
      <c r="AB49" s="206"/>
      <c r="AC49" s="206"/>
      <c r="AD49" s="206"/>
      <c r="AE49" s="206"/>
      <c r="AF49" s="206"/>
      <c r="AG49" s="206"/>
      <c r="AH49" s="206"/>
      <c r="AI49" s="206"/>
      <c r="AJ49" s="206"/>
      <c r="AK49" s="206"/>
      <c r="AL49" s="206"/>
      <c r="AM49" s="206"/>
      <c r="AN49" s="206"/>
      <c r="AO49" s="206"/>
      <c r="AP49" s="206"/>
      <c r="AQ49" s="206"/>
      <c r="AR49" s="206"/>
      <c r="AS49" s="206"/>
      <c r="AT49" s="206"/>
      <c r="AU49" s="206"/>
      <c r="AV49" s="206"/>
      <c r="AW49" s="206"/>
      <c r="AX49" s="206"/>
      <c r="AY49" s="206"/>
      <c r="AZ49" s="206"/>
    </row>
    <row r="50" spans="1:52" ht="12" customHeight="1" x14ac:dyDescent="0.2">
      <c r="A50" s="210"/>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c r="AM50" s="210"/>
      <c r="AN50" s="210"/>
      <c r="AO50" s="210"/>
      <c r="AP50" s="210"/>
      <c r="AQ50" s="210"/>
      <c r="AR50" s="210"/>
      <c r="AS50" s="210"/>
      <c r="AT50" s="210"/>
      <c r="AU50" s="210"/>
      <c r="AV50" s="210"/>
      <c r="AW50" s="210"/>
      <c r="AX50" s="210"/>
      <c r="AY50" s="210"/>
      <c r="AZ50" s="210"/>
    </row>
    <row r="51" spans="1:52" ht="12" customHeight="1" x14ac:dyDescent="0.2">
      <c r="A51" s="206"/>
      <c r="B51" s="206"/>
      <c r="C51" s="206"/>
      <c r="D51" s="206"/>
      <c r="E51" s="206"/>
      <c r="F51" s="206"/>
      <c r="G51" s="206"/>
      <c r="H51" s="206"/>
      <c r="I51" s="206"/>
      <c r="J51" s="206"/>
      <c r="K51" s="206"/>
      <c r="L51" s="206"/>
      <c r="M51" s="206"/>
      <c r="N51" s="206"/>
      <c r="O51" s="206"/>
      <c r="P51" s="206"/>
      <c r="Q51" s="206"/>
      <c r="R51" s="206"/>
      <c r="S51" s="206"/>
      <c r="T51" s="206"/>
      <c r="U51" s="206"/>
      <c r="V51" s="206"/>
      <c r="W51" s="206"/>
      <c r="X51" s="206"/>
      <c r="Y51" s="206"/>
      <c r="Z51" s="206"/>
      <c r="AA51" s="206"/>
      <c r="AB51" s="206"/>
      <c r="AC51" s="206"/>
      <c r="AD51" s="206"/>
      <c r="AE51" s="206"/>
      <c r="AF51" s="206"/>
      <c r="AG51" s="206"/>
      <c r="AH51" s="206"/>
      <c r="AI51" s="206"/>
      <c r="AJ51" s="206"/>
      <c r="AK51" s="206"/>
      <c r="AL51" s="206"/>
      <c r="AM51" s="206"/>
      <c r="AN51" s="206"/>
      <c r="AO51" s="206"/>
      <c r="AP51" s="206"/>
      <c r="AQ51" s="206"/>
      <c r="AR51" s="206"/>
      <c r="AS51" s="206"/>
      <c r="AT51" s="206"/>
      <c r="AU51" s="206"/>
      <c r="AV51" s="206"/>
      <c r="AW51" s="206"/>
      <c r="AX51" s="206"/>
      <c r="AY51" s="206"/>
      <c r="AZ51" s="206"/>
    </row>
    <row r="52" spans="1:52" ht="12" customHeight="1" x14ac:dyDescent="0.2">
      <c r="A52" s="206"/>
      <c r="B52" s="206"/>
      <c r="C52" s="206"/>
      <c r="D52" s="206"/>
      <c r="E52" s="206"/>
      <c r="F52" s="206"/>
      <c r="G52" s="206"/>
      <c r="H52" s="206"/>
      <c r="I52" s="206"/>
      <c r="J52" s="206"/>
      <c r="K52" s="206"/>
      <c r="L52" s="206"/>
      <c r="M52" s="206"/>
      <c r="N52" s="206"/>
      <c r="O52" s="206"/>
      <c r="P52" s="206"/>
      <c r="Q52" s="206"/>
      <c r="R52" s="206"/>
      <c r="S52" s="206"/>
      <c r="T52" s="206"/>
      <c r="U52" s="206"/>
      <c r="V52" s="206"/>
      <c r="W52" s="206"/>
      <c r="X52" s="206"/>
      <c r="Y52" s="206"/>
      <c r="Z52" s="206"/>
      <c r="AA52" s="206"/>
      <c r="AB52" s="206"/>
      <c r="AC52" s="206"/>
      <c r="AD52" s="206"/>
      <c r="AE52" s="206"/>
      <c r="AF52" s="206"/>
      <c r="AG52" s="206"/>
      <c r="AH52" s="206"/>
      <c r="AI52" s="206"/>
      <c r="AJ52" s="206"/>
      <c r="AK52" s="206"/>
      <c r="AL52" s="206"/>
      <c r="AM52" s="206"/>
      <c r="AN52" s="206"/>
      <c r="AO52" s="206"/>
      <c r="AP52" s="206"/>
      <c r="AQ52" s="206"/>
      <c r="AR52" s="206"/>
      <c r="AS52" s="206"/>
      <c r="AT52" s="206"/>
      <c r="AU52" s="206"/>
      <c r="AV52" s="206"/>
      <c r="AW52" s="206"/>
      <c r="AX52" s="206"/>
      <c r="AY52" s="206"/>
      <c r="AZ52" s="206"/>
    </row>
    <row r="53" spans="1:52" ht="12" customHeight="1" x14ac:dyDescent="0.2">
      <c r="A53" s="210"/>
      <c r="B53" s="210"/>
      <c r="C53" s="210"/>
      <c r="D53" s="210"/>
      <c r="E53" s="210"/>
      <c r="F53" s="210"/>
      <c r="G53" s="210"/>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c r="AM53" s="210"/>
      <c r="AN53" s="210"/>
      <c r="AO53" s="210"/>
      <c r="AP53" s="210"/>
      <c r="AQ53" s="210"/>
      <c r="AR53" s="210"/>
      <c r="AS53" s="210"/>
      <c r="AT53" s="210"/>
      <c r="AU53" s="210"/>
      <c r="AV53" s="210"/>
      <c r="AW53" s="210"/>
      <c r="AX53" s="210"/>
      <c r="AY53" s="210"/>
      <c r="AZ53" s="210"/>
    </row>
    <row r="54" spans="1:52" ht="12" customHeight="1" x14ac:dyDescent="0.2">
      <c r="A54" s="165" t="s">
        <v>516</v>
      </c>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2"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2" ht="12" customHeight="1" x14ac:dyDescent="0.2">
      <c r="A56" s="165"/>
      <c r="B56" s="165"/>
      <c r="C56" s="165"/>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row>
    <row r="57" spans="1:52" ht="12" customHeight="1" x14ac:dyDescent="0.2">
      <c r="A57" s="154"/>
      <c r="B57" s="154"/>
      <c r="C57" s="155" t="s">
        <v>63</v>
      </c>
      <c r="D57" s="155"/>
      <c r="E57" s="155"/>
      <c r="F57" s="155"/>
      <c r="G57" s="155"/>
      <c r="H57" s="155"/>
      <c r="I57" s="155"/>
      <c r="J57" s="155"/>
      <c r="K57" s="155"/>
      <c r="L57" s="155"/>
      <c r="M57" s="155"/>
      <c r="N57" s="155"/>
      <c r="O57" s="155"/>
      <c r="P57" s="155"/>
      <c r="Q57" s="154"/>
      <c r="R57" s="154"/>
      <c r="S57" s="154"/>
      <c r="T57" s="154"/>
      <c r="U57" s="154"/>
      <c r="V57" s="154"/>
      <c r="W57" s="154"/>
      <c r="X57" s="154"/>
      <c r="Y57" s="154"/>
      <c r="Z57" s="154"/>
      <c r="AA57" s="154"/>
      <c r="AB57" s="154"/>
      <c r="AC57" s="154"/>
      <c r="AD57" s="154"/>
      <c r="AE57" s="154"/>
      <c r="AF57" s="154"/>
      <c r="AG57" s="154"/>
      <c r="AH57" s="154"/>
      <c r="AI57" s="154"/>
      <c r="AJ57" s="154"/>
      <c r="AK57" s="155" t="s">
        <v>62</v>
      </c>
      <c r="AL57" s="155"/>
      <c r="AM57" s="155"/>
      <c r="AN57" s="155"/>
      <c r="AO57" s="155"/>
      <c r="AP57" s="155"/>
      <c r="AQ57" s="155"/>
      <c r="AR57" s="155"/>
      <c r="AS57" s="155"/>
      <c r="AT57" s="155"/>
      <c r="AU57" s="155"/>
      <c r="AV57" s="155"/>
      <c r="AW57" s="155"/>
      <c r="AX57" s="155"/>
      <c r="AY57" s="217"/>
      <c r="AZ57" s="217"/>
    </row>
    <row r="58" spans="1:52" ht="12" customHeight="1" x14ac:dyDescent="0.2">
      <c r="A58" s="154"/>
      <c r="B58" s="154"/>
      <c r="C58" s="215" t="str">
        <f>IF('Data Entry'!N29="","",'Data Entry'!N29)&amp;IF(OR('Data Entry'!N29="",'Data Entry'!N30=""),""," / Licence No")&amp; IF('Data Entry'!N30="","",'Data Entry'!N30)</f>
        <v>MEHMET EROĞLU</v>
      </c>
      <c r="D58" s="215"/>
      <c r="E58" s="215"/>
      <c r="F58" s="215"/>
      <c r="G58" s="215"/>
      <c r="H58" s="215"/>
      <c r="I58" s="215"/>
      <c r="J58" s="215"/>
      <c r="K58" s="215"/>
      <c r="L58" s="215"/>
      <c r="M58" s="215"/>
      <c r="N58" s="215"/>
      <c r="O58" s="215"/>
      <c r="P58" s="215"/>
      <c r="Q58" s="154"/>
      <c r="R58" s="154"/>
      <c r="S58" s="154"/>
      <c r="T58" s="154"/>
      <c r="U58" s="154"/>
      <c r="V58" s="154"/>
      <c r="W58" s="154"/>
      <c r="X58" s="154"/>
      <c r="Y58" s="154"/>
      <c r="Z58" s="154"/>
      <c r="AA58" s="154"/>
      <c r="AB58" s="154"/>
      <c r="AC58" s="154"/>
      <c r="AD58" s="154"/>
      <c r="AE58" s="154"/>
      <c r="AF58" s="154"/>
      <c r="AG58" s="154"/>
      <c r="AH58" s="154"/>
      <c r="AI58" s="154"/>
      <c r="AJ58" s="154"/>
      <c r="AK58" s="215" t="str">
        <f>IF('Data Entry'!N9="","",'Data Entry'!N9)</f>
        <v/>
      </c>
      <c r="AL58" s="215"/>
      <c r="AM58" s="215"/>
      <c r="AN58" s="215"/>
      <c r="AO58" s="215"/>
      <c r="AP58" s="215"/>
      <c r="AQ58" s="215"/>
      <c r="AR58" s="215"/>
      <c r="AS58" s="215"/>
      <c r="AT58" s="215"/>
      <c r="AU58" s="215"/>
      <c r="AV58" s="215"/>
      <c r="AW58" s="215"/>
      <c r="AX58" s="215"/>
      <c r="AY58" s="217"/>
      <c r="AZ58" s="217"/>
    </row>
    <row r="59" spans="1:52" ht="12" customHeight="1" x14ac:dyDescent="0.2">
      <c r="A59" s="154"/>
      <c r="B59" s="154"/>
      <c r="C59" s="215"/>
      <c r="D59" s="215"/>
      <c r="E59" s="215"/>
      <c r="F59" s="215"/>
      <c r="G59" s="215"/>
      <c r="H59" s="215"/>
      <c r="I59" s="215"/>
      <c r="J59" s="215"/>
      <c r="K59" s="215"/>
      <c r="L59" s="215"/>
      <c r="M59" s="215"/>
      <c r="N59" s="215"/>
      <c r="O59" s="215"/>
      <c r="P59" s="215"/>
      <c r="Q59" s="154"/>
      <c r="R59" s="154"/>
      <c r="S59" s="154"/>
      <c r="T59" s="154"/>
      <c r="U59" s="154"/>
      <c r="V59" s="154"/>
      <c r="W59" s="154"/>
      <c r="X59" s="154"/>
      <c r="Y59" s="154"/>
      <c r="Z59" s="154"/>
      <c r="AA59" s="154"/>
      <c r="AB59" s="154"/>
      <c r="AC59" s="154"/>
      <c r="AD59" s="154"/>
      <c r="AE59" s="154"/>
      <c r="AF59" s="154"/>
      <c r="AG59" s="154"/>
      <c r="AH59" s="154"/>
      <c r="AI59" s="154"/>
      <c r="AJ59" s="154"/>
      <c r="AK59" s="215"/>
      <c r="AL59" s="215"/>
      <c r="AM59" s="215"/>
      <c r="AN59" s="215"/>
      <c r="AO59" s="215"/>
      <c r="AP59" s="215"/>
      <c r="AQ59" s="215"/>
      <c r="AR59" s="215"/>
      <c r="AS59" s="215"/>
      <c r="AT59" s="215"/>
      <c r="AU59" s="215"/>
      <c r="AV59" s="215"/>
      <c r="AW59" s="215"/>
      <c r="AX59" s="215"/>
      <c r="AY59" s="217"/>
      <c r="AZ59" s="217"/>
    </row>
    <row r="60" spans="1:52" ht="12" customHeight="1" x14ac:dyDescent="0.2">
      <c r="A60" s="154"/>
      <c r="B60" s="154"/>
      <c r="C60" s="216"/>
      <c r="D60" s="216"/>
      <c r="E60" s="216"/>
      <c r="F60" s="216"/>
      <c r="G60" s="216"/>
      <c r="H60" s="216"/>
      <c r="I60" s="216"/>
      <c r="J60" s="216"/>
      <c r="K60" s="216"/>
      <c r="L60" s="216"/>
      <c r="M60" s="216"/>
      <c r="N60" s="216"/>
      <c r="O60" s="216"/>
      <c r="P60" s="216"/>
      <c r="Q60" s="154"/>
      <c r="R60" s="154"/>
      <c r="S60" s="154"/>
      <c r="T60" s="154"/>
      <c r="U60" s="154"/>
      <c r="V60" s="154"/>
      <c r="W60" s="154"/>
      <c r="X60" s="154"/>
      <c r="Y60" s="154"/>
      <c r="Z60" s="154"/>
      <c r="AA60" s="154"/>
      <c r="AB60" s="154"/>
      <c r="AC60" s="154"/>
      <c r="AD60" s="154"/>
      <c r="AE60" s="154"/>
      <c r="AF60" s="154"/>
      <c r="AG60" s="154"/>
      <c r="AH60" s="154"/>
      <c r="AI60" s="154"/>
      <c r="AJ60" s="154"/>
      <c r="AK60" s="216"/>
      <c r="AL60" s="216"/>
      <c r="AM60" s="216"/>
      <c r="AN60" s="216"/>
      <c r="AO60" s="216"/>
      <c r="AP60" s="216"/>
      <c r="AQ60" s="216"/>
      <c r="AR60" s="216"/>
      <c r="AS60" s="216"/>
      <c r="AT60" s="216"/>
      <c r="AU60" s="216"/>
      <c r="AV60" s="216"/>
      <c r="AW60" s="216"/>
      <c r="AX60" s="216"/>
      <c r="AY60" s="217"/>
      <c r="AZ60" s="217"/>
    </row>
    <row r="61" spans="1:52" ht="12" customHeight="1" x14ac:dyDescent="0.2">
      <c r="A61" s="154"/>
      <c r="B61" s="154"/>
      <c r="C61" s="211" t="s">
        <v>184</v>
      </c>
      <c r="D61" s="211"/>
      <c r="E61" s="211"/>
      <c r="F61" s="211"/>
      <c r="G61" s="211"/>
      <c r="H61" s="211"/>
      <c r="I61" s="211"/>
      <c r="J61" s="211"/>
      <c r="K61" s="211"/>
      <c r="L61" s="211"/>
      <c r="M61" s="211"/>
      <c r="N61" s="211"/>
      <c r="O61" s="211"/>
      <c r="P61" s="211"/>
      <c r="Q61" s="154"/>
      <c r="R61" s="154"/>
      <c r="S61" s="154"/>
      <c r="T61" s="154"/>
      <c r="U61" s="154"/>
      <c r="V61" s="154"/>
      <c r="W61" s="154"/>
      <c r="X61" s="154"/>
      <c r="Y61" s="154"/>
      <c r="Z61" s="154"/>
      <c r="AA61" s="154"/>
      <c r="AB61" s="154"/>
      <c r="AC61" s="154"/>
      <c r="AD61" s="154"/>
      <c r="AE61" s="154"/>
      <c r="AF61" s="154"/>
      <c r="AG61" s="154"/>
      <c r="AH61" s="154"/>
      <c r="AI61" s="154"/>
      <c r="AJ61" s="154"/>
      <c r="AK61" s="211" t="s">
        <v>17</v>
      </c>
      <c r="AL61" s="211"/>
      <c r="AM61" s="211"/>
      <c r="AN61" s="211"/>
      <c r="AO61" s="211"/>
      <c r="AP61" s="211"/>
      <c r="AQ61" s="211"/>
      <c r="AR61" s="211"/>
      <c r="AS61" s="211"/>
      <c r="AT61" s="211"/>
      <c r="AU61" s="211"/>
      <c r="AV61" s="211"/>
      <c r="AW61" s="211"/>
      <c r="AX61" s="211"/>
      <c r="AY61" s="217"/>
      <c r="AZ61" s="217"/>
    </row>
    <row r="62" spans="1:52" ht="13.5" customHeight="1" x14ac:dyDescent="0.2">
      <c r="A62" s="148" t="s">
        <v>270</v>
      </c>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9" t="str">
        <f>'Data Entry'!AK9</f>
        <v>LTS-CUS-F-01 rev 2.0</v>
      </c>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row>
  </sheetData>
  <sheetProtection selectLockedCells="1"/>
  <mergeCells count="106">
    <mergeCell ref="A44:AZ44"/>
    <mergeCell ref="A25:H25"/>
    <mergeCell ref="I25:T25"/>
    <mergeCell ref="U25:AF25"/>
    <mergeCell ref="AG25:AP25"/>
    <mergeCell ref="AQ25:AZ25"/>
    <mergeCell ref="A26:H26"/>
    <mergeCell ref="A7:G7"/>
    <mergeCell ref="I7:AJ7"/>
    <mergeCell ref="AK7:AZ7"/>
    <mergeCell ref="A8:AZ8"/>
    <mergeCell ref="A9:AZ9"/>
    <mergeCell ref="A10:B10"/>
    <mergeCell ref="D10:AZ10"/>
    <mergeCell ref="AQ22:AZ22"/>
    <mergeCell ref="A1:AD3"/>
    <mergeCell ref="AE1:AI1"/>
    <mergeCell ref="AK1:AZ1"/>
    <mergeCell ref="AE2:AI2"/>
    <mergeCell ref="AK2:AZ2"/>
    <mergeCell ref="AE3:AZ3"/>
    <mergeCell ref="A42:AZ42"/>
    <mergeCell ref="A43:AZ43"/>
    <mergeCell ref="A4:AZ4"/>
    <mergeCell ref="A5:AZ5"/>
    <mergeCell ref="A6:G6"/>
    <mergeCell ref="I6:AD6"/>
    <mergeCell ref="AE6:AI6"/>
    <mergeCell ref="AK6:AZ6"/>
    <mergeCell ref="A16:AZ16"/>
    <mergeCell ref="A17:AZ17"/>
    <mergeCell ref="A11:AZ11"/>
    <mergeCell ref="A12:AZ12"/>
    <mergeCell ref="A13:AZ15"/>
    <mergeCell ref="C61:P61"/>
    <mergeCell ref="AK61:AX61"/>
    <mergeCell ref="A36:AZ36"/>
    <mergeCell ref="A27:AZ27"/>
    <mergeCell ref="AQ19:AZ19"/>
    <mergeCell ref="I20:T20"/>
    <mergeCell ref="U20:AF20"/>
    <mergeCell ref="AG20:AP20"/>
    <mergeCell ref="I26:T26"/>
    <mergeCell ref="U26:AF26"/>
    <mergeCell ref="AG26:AP26"/>
    <mergeCell ref="AQ26:AZ26"/>
    <mergeCell ref="U21:AF21"/>
    <mergeCell ref="A19:H19"/>
    <mergeCell ref="A20:H20"/>
    <mergeCell ref="A21:H21"/>
    <mergeCell ref="A22:H22"/>
    <mergeCell ref="A23:H23"/>
    <mergeCell ref="I19:T19"/>
    <mergeCell ref="I21:T21"/>
    <mergeCell ref="AG19:AP19"/>
    <mergeCell ref="A30:AZ30"/>
    <mergeCell ref="A33:AZ33"/>
    <mergeCell ref="AG22:AP22"/>
    <mergeCell ref="A62:Z62"/>
    <mergeCell ref="AA62:AZ62"/>
    <mergeCell ref="A49:AZ49"/>
    <mergeCell ref="A50:AZ50"/>
    <mergeCell ref="A32:AZ32"/>
    <mergeCell ref="A39:AZ39"/>
    <mergeCell ref="C57:P57"/>
    <mergeCell ref="Q57:AJ61"/>
    <mergeCell ref="AK57:AX57"/>
    <mergeCell ref="AY57:AZ61"/>
    <mergeCell ref="C58:P60"/>
    <mergeCell ref="A40:AZ40"/>
    <mergeCell ref="A41:AZ41"/>
    <mergeCell ref="A46:AZ46"/>
    <mergeCell ref="A45:AZ45"/>
    <mergeCell ref="A54:AZ56"/>
    <mergeCell ref="A57:B61"/>
    <mergeCell ref="A47:AZ47"/>
    <mergeCell ref="A37:AZ37"/>
    <mergeCell ref="A48:AZ48"/>
    <mergeCell ref="A51:AZ51"/>
    <mergeCell ref="A52:AZ52"/>
    <mergeCell ref="A38:AZ38"/>
    <mergeCell ref="AK58:AX60"/>
    <mergeCell ref="A53:AZ53"/>
    <mergeCell ref="A28:N28"/>
    <mergeCell ref="O28:AZ28"/>
    <mergeCell ref="A29:N29"/>
    <mergeCell ref="O29:AZ29"/>
    <mergeCell ref="A31:AZ31"/>
    <mergeCell ref="A18:AZ18"/>
    <mergeCell ref="I23:T23"/>
    <mergeCell ref="U23:AF23"/>
    <mergeCell ref="AG23:AP23"/>
    <mergeCell ref="AQ23:AZ23"/>
    <mergeCell ref="A24:H24"/>
    <mergeCell ref="I24:T24"/>
    <mergeCell ref="U24:AF24"/>
    <mergeCell ref="AG24:AP24"/>
    <mergeCell ref="AQ24:AZ24"/>
    <mergeCell ref="AQ20:AZ20"/>
    <mergeCell ref="U19:AF19"/>
    <mergeCell ref="AG21:AP21"/>
    <mergeCell ref="AQ21:AZ21"/>
    <mergeCell ref="I22:T22"/>
    <mergeCell ref="U22:AF22"/>
    <mergeCell ref="A34:AZ34"/>
    <mergeCell ref="A35:AZ35"/>
  </mergeCells>
  <conditionalFormatting sqref="AK1 AK2 I6 I7 AK6 D10 AG20:AZ24 O28:AZ29 C58 AK58">
    <cfRule type="containsBlanks" dxfId="134" priority="11" stopIfTrue="1">
      <formula>LEN(TRIM(C1))=0</formula>
    </cfRule>
  </conditionalFormatting>
  <conditionalFormatting sqref="A33 I20:AF26">
    <cfRule type="containsBlanks" dxfId="133" priority="1" stopIfTrue="1">
      <formula>LEN(TRIM(A20))=0</formula>
    </cfRule>
  </conditionalFormatting>
  <dataValidations xWindow="340" yWindow="552" count="8">
    <dataValidation type="date" allowBlank="1" showInputMessage="1" showErrorMessage="1" error="Must enter date (mm/dd/yyyy)" sqref="AK6" xr:uid="{00000000-0002-0000-0300-000000000000}">
      <formula1>1</formula1>
      <formula2>73050</formula2>
    </dataValidation>
    <dataValidation allowBlank="1" showInputMessage="1" showErrorMessage="1" promptTitle="Log Book Figure" prompt="Please enter the figure for the grade as stated in the vessel's log book or oil record book" sqref="I20:T24 U24:AF24" xr:uid="{00000000-0002-0000-0300-000001000000}"/>
    <dataValidation allowBlank="1" showInputMessage="1" showErrorMessage="1" promptTitle="Surveyor Measured" prompt="Please enter the figure for each grade as measured by yourself" sqref="U20:AF23" xr:uid="{00000000-0002-0000-0300-000002000000}"/>
    <dataValidation type="date" operator="greaterThan" allowBlank="1" showInputMessage="1" showErrorMessage="1" errorTitle="Invalid date entered" error="Please enter the date in format dd/mm/yyyy" promptTitle="Date" prompt="Please enter the date the entry was made in the vessel's log book or oil record book" sqref="I25:T25" xr:uid="{00000000-0002-0000-0300-000003000000}">
      <formula1>40179</formula1>
    </dataValidation>
    <dataValidation type="date" operator="greaterThan" allowBlank="1" showInputMessage="1" showErrorMessage="1" errorTitle="Invalid date entered" error="Please enter the date in format dd/mm/yyyy" promptTitle="Date" prompt="Please enter the date the measurements were made" sqref="U25:AF25" xr:uid="{00000000-0002-0000-0300-000004000000}">
      <formula1>40179</formula1>
    </dataValidation>
    <dataValidation operator="equal" allowBlank="1" showInputMessage="1" showErrorMessage="1" errorTitle="Invalid time entered" error="Please enter time in format HH:MM" promptTitle="Time" prompt="Please enter the time the entry was made in the vessel's log book or oil record book (format HH:MM)" sqref="I26:T26" xr:uid="{00000000-0002-0000-0300-000005000000}"/>
    <dataValidation allowBlank="1" showInputMessage="1" showErrorMessage="1" promptTitle="Time" prompt="Please enter the time the measurements were made (format HH:MM)" sqref="U26:AF26" xr:uid="{00000000-0002-0000-0300-000006000000}"/>
    <dataValidation allowBlank="1" showInputMessage="1" showErrorMessage="1" promptTitle="Surveyor remarks" prompt="Please make any comments or remarks here that are relevant to the operation. If more room is required utilise the Statement of Facts tab._x000a_" sqref="A33:AZ33" xr:uid="{00000000-0002-0000-0300-000007000000}"/>
  </dataValidations>
  <printOptions horizontalCentered="1"/>
  <pageMargins left="0" right="0" top="0.51181102362204722" bottom="0" header="0.51181102362204722" footer="0.23622047244094491"/>
  <pageSetup orientation="portrait" horizontalDpi="4294967293"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638" r:id="rId4" name="Button 86">
              <controlPr defaultSize="0" print="0" autoFill="0" autoPict="0" macro="[0]!Button3_Click">
                <anchor moveWithCells="1" sizeWithCells="1">
                  <from>
                    <xdr:col>52</xdr:col>
                    <xdr:colOff>285750</xdr:colOff>
                    <xdr:row>1</xdr:row>
                    <xdr:rowOff>0</xdr:rowOff>
                  </from>
                  <to>
                    <xdr:col>57</xdr:col>
                    <xdr:colOff>47625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92D050"/>
    <pageSetUpPr fitToPage="1"/>
  </sheetPr>
  <dimension ref="A1:BB44"/>
  <sheetViews>
    <sheetView topLeftCell="A34" zoomScaleNormal="100" workbookViewId="0">
      <selection activeCell="AN46" sqref="AN46"/>
    </sheetView>
  </sheetViews>
  <sheetFormatPr defaultColWidth="9.140625" defaultRowHeight="12" customHeight="1" x14ac:dyDescent="0.2"/>
  <cols>
    <col min="1" max="52" width="1.7109375" style="17" customWidth="1"/>
    <col min="53" max="53" width="4.7109375" style="17" customWidth="1"/>
    <col min="54" max="54" width="9.140625" style="17" hidden="1" customWidth="1"/>
    <col min="55" max="16384" width="9.140625" style="17"/>
  </cols>
  <sheetData>
    <row r="1" spans="1:54" ht="17.100000000000001" customHeight="1" x14ac:dyDescent="0.25">
      <c r="A1" s="246"/>
      <c r="B1" s="246"/>
      <c r="C1" s="246"/>
      <c r="D1" s="246"/>
      <c r="E1" s="246"/>
      <c r="F1" s="246"/>
      <c r="G1" s="246"/>
      <c r="H1" s="246"/>
      <c r="I1" s="246"/>
      <c r="J1" s="246"/>
      <c r="K1" s="246"/>
      <c r="L1" s="246"/>
      <c r="M1" s="246"/>
      <c r="N1" s="246"/>
      <c r="O1" s="246"/>
      <c r="P1" s="246"/>
      <c r="Q1" s="246"/>
      <c r="R1" s="246"/>
      <c r="S1" s="246"/>
      <c r="T1" s="246"/>
      <c r="U1" s="246"/>
      <c r="V1" s="246"/>
      <c r="W1" s="246"/>
      <c r="X1" s="246"/>
      <c r="Y1" s="261" t="s">
        <v>534</v>
      </c>
      <c r="Z1" s="261"/>
      <c r="AA1" s="261"/>
      <c r="AB1" s="261"/>
      <c r="AC1" s="261"/>
      <c r="AD1" s="261"/>
      <c r="AE1" s="261"/>
      <c r="AF1" s="261"/>
      <c r="AG1" s="261"/>
      <c r="AH1" s="261"/>
      <c r="AI1" s="261"/>
      <c r="AJ1" s="261"/>
      <c r="AK1" s="261"/>
      <c r="AL1" s="261"/>
      <c r="AM1" s="261"/>
      <c r="AN1" s="261"/>
      <c r="AO1" s="261"/>
      <c r="AP1" s="261"/>
      <c r="AQ1" s="261"/>
      <c r="AR1" s="261"/>
      <c r="AS1" s="261"/>
      <c r="AT1" s="261"/>
      <c r="AU1" s="261"/>
      <c r="AV1" s="261"/>
      <c r="AW1" s="261"/>
      <c r="AX1" s="261"/>
      <c r="AY1" s="261"/>
      <c r="AZ1" s="261"/>
    </row>
    <row r="2" spans="1:54" ht="17.100000000000001" customHeight="1" x14ac:dyDescent="0.2">
      <c r="A2" s="246"/>
      <c r="B2" s="246"/>
      <c r="C2" s="246"/>
      <c r="D2" s="246"/>
      <c r="E2" s="246"/>
      <c r="F2" s="246"/>
      <c r="G2" s="246"/>
      <c r="H2" s="246"/>
      <c r="I2" s="246"/>
      <c r="J2" s="246"/>
      <c r="K2" s="246"/>
      <c r="L2" s="246"/>
      <c r="M2" s="246"/>
      <c r="N2" s="246"/>
      <c r="O2" s="246"/>
      <c r="P2" s="246"/>
      <c r="Q2" s="246"/>
      <c r="R2" s="246"/>
      <c r="S2" s="246"/>
      <c r="T2" s="246"/>
      <c r="U2" s="246"/>
      <c r="V2" s="246"/>
      <c r="W2" s="246"/>
      <c r="X2" s="246"/>
      <c r="Y2" s="241" t="str">
        <f>"of " &amp; 'Data Entry'!N14 &amp; " to the"</f>
        <v>of  to the</v>
      </c>
      <c r="Z2" s="241"/>
      <c r="AA2" s="241"/>
      <c r="AB2" s="241"/>
      <c r="AC2" s="241"/>
      <c r="AD2" s="241"/>
      <c r="AE2" s="241"/>
      <c r="AF2" s="241"/>
      <c r="AG2" s="241"/>
      <c r="AH2" s="241"/>
      <c r="AI2" s="241"/>
      <c r="AJ2" s="241"/>
      <c r="AK2" s="241"/>
      <c r="AL2" s="241"/>
      <c r="AM2" s="241"/>
      <c r="AN2" s="241"/>
      <c r="AO2" s="241"/>
      <c r="AP2" s="241"/>
      <c r="AQ2" s="241"/>
      <c r="AR2" s="241"/>
      <c r="AS2" s="241"/>
      <c r="AT2" s="241"/>
      <c r="AU2" s="241"/>
      <c r="AV2" s="241"/>
      <c r="AW2" s="241"/>
      <c r="AX2" s="241"/>
      <c r="AY2" s="241"/>
      <c r="AZ2" s="241"/>
    </row>
    <row r="3" spans="1:54" ht="17.100000000000001" customHeight="1" x14ac:dyDescent="0.2">
      <c r="A3" s="246"/>
      <c r="B3" s="246"/>
      <c r="C3" s="246"/>
      <c r="D3" s="246"/>
      <c r="E3" s="246"/>
      <c r="F3" s="246"/>
      <c r="G3" s="246"/>
      <c r="H3" s="246"/>
      <c r="I3" s="246"/>
      <c r="J3" s="246"/>
      <c r="K3" s="246"/>
      <c r="L3" s="246"/>
      <c r="M3" s="246"/>
      <c r="N3" s="246"/>
      <c r="O3" s="246"/>
      <c r="P3" s="246"/>
      <c r="Q3" s="246"/>
      <c r="R3" s="246"/>
      <c r="S3" s="246"/>
      <c r="T3" s="246"/>
      <c r="U3" s="246"/>
      <c r="V3" s="246"/>
      <c r="W3" s="246"/>
      <c r="X3" s="246"/>
      <c r="Y3" s="262">
        <f>'Data Entry'!N6</f>
        <v>0</v>
      </c>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row>
    <row r="4" spans="1:54" ht="17.100000000000001" customHeight="1" x14ac:dyDescent="0.2">
      <c r="A4" s="246"/>
      <c r="B4" s="246"/>
      <c r="C4" s="246"/>
      <c r="D4" s="246"/>
      <c r="E4" s="246"/>
      <c r="F4" s="246"/>
      <c r="G4" s="246"/>
      <c r="H4" s="246"/>
      <c r="I4" s="246"/>
      <c r="J4" s="246"/>
      <c r="K4" s="246"/>
      <c r="L4" s="246"/>
      <c r="M4" s="246"/>
      <c r="N4" s="246"/>
      <c r="O4" s="246"/>
      <c r="P4" s="246"/>
      <c r="Q4" s="246"/>
      <c r="R4" s="246"/>
      <c r="S4" s="246"/>
      <c r="T4" s="246"/>
      <c r="U4" s="246"/>
      <c r="V4" s="246"/>
      <c r="W4" s="246"/>
      <c r="X4" s="246"/>
      <c r="Y4" s="246" t="str">
        <f>IF('Data Entry'!G86=0,"","REPORT REVISION # " &amp; 'Data Entry'!G86)</f>
        <v/>
      </c>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row>
    <row r="5" spans="1:54" ht="17.100000000000001" customHeight="1" x14ac:dyDescent="0.2">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row>
    <row r="6" spans="1:54" ht="17.100000000000001" customHeight="1" x14ac:dyDescent="0.2">
      <c r="A6" s="264" t="s">
        <v>64</v>
      </c>
      <c r="B6" s="265"/>
      <c r="C6" s="265"/>
      <c r="D6" s="265" t="str">
        <f>IF('Data Entry'!N32="","",'Data Entry'!N32)</f>
        <v/>
      </c>
      <c r="E6" s="265"/>
      <c r="F6" s="265"/>
      <c r="G6" s="265"/>
      <c r="H6" s="265"/>
      <c r="I6" s="265"/>
      <c r="J6" s="265"/>
      <c r="K6" s="265"/>
      <c r="L6" s="265"/>
      <c r="M6" s="265"/>
      <c r="N6" s="265"/>
      <c r="O6" s="265"/>
      <c r="P6" s="265"/>
      <c r="Q6" s="265"/>
      <c r="R6" s="265"/>
      <c r="S6" s="265"/>
      <c r="T6" s="265"/>
      <c r="U6" s="265"/>
      <c r="V6" s="266"/>
      <c r="W6" s="246"/>
      <c r="X6" s="278"/>
      <c r="Y6" s="264" t="s">
        <v>66</v>
      </c>
      <c r="Z6" s="265"/>
      <c r="AA6" s="265"/>
      <c r="AB6" s="265"/>
      <c r="AC6" s="265"/>
      <c r="AD6" s="265"/>
      <c r="AE6" s="267" t="s">
        <v>0</v>
      </c>
      <c r="AF6" s="267"/>
      <c r="AG6" s="265" t="str">
        <f>IF('Data Entry'!N6="","",'Data Entry'!N6)</f>
        <v/>
      </c>
      <c r="AH6" s="265"/>
      <c r="AI6" s="265"/>
      <c r="AJ6" s="265"/>
      <c r="AK6" s="265"/>
      <c r="AL6" s="265"/>
      <c r="AM6" s="265"/>
      <c r="AN6" s="265"/>
      <c r="AO6" s="265"/>
      <c r="AP6" s="265"/>
      <c r="AQ6" s="265"/>
      <c r="AR6" s="265"/>
      <c r="AS6" s="265"/>
      <c r="AT6" s="265"/>
      <c r="AU6" s="265"/>
      <c r="AV6" s="265"/>
      <c r="AW6" s="265"/>
      <c r="AX6" s="265"/>
      <c r="AY6" s="265"/>
      <c r="AZ6" s="266"/>
    </row>
    <row r="7" spans="1:54" ht="17.100000000000001" customHeight="1" x14ac:dyDescent="0.2">
      <c r="A7" s="251"/>
      <c r="B7" s="242"/>
      <c r="C7" s="242"/>
      <c r="D7" s="242" t="str">
        <f>IF('Data Entry'!N33="","",'Data Entry'!N33)</f>
        <v/>
      </c>
      <c r="E7" s="242"/>
      <c r="F7" s="242"/>
      <c r="G7" s="242"/>
      <c r="H7" s="242"/>
      <c r="I7" s="242"/>
      <c r="J7" s="242"/>
      <c r="K7" s="242"/>
      <c r="L7" s="242"/>
      <c r="M7" s="242"/>
      <c r="N7" s="242"/>
      <c r="O7" s="242"/>
      <c r="P7" s="242"/>
      <c r="Q7" s="242"/>
      <c r="R7" s="242"/>
      <c r="S7" s="242"/>
      <c r="T7" s="242"/>
      <c r="U7" s="242"/>
      <c r="V7" s="252"/>
      <c r="W7" s="246"/>
      <c r="X7" s="278"/>
      <c r="Y7" s="251" t="s">
        <v>246</v>
      </c>
      <c r="Z7" s="242"/>
      <c r="AA7" s="242"/>
      <c r="AB7" s="242"/>
      <c r="AC7" s="242"/>
      <c r="AD7" s="242"/>
      <c r="AE7" s="246" t="s">
        <v>0</v>
      </c>
      <c r="AF7" s="246"/>
      <c r="AG7" s="242" t="str">
        <f>IF('Data Entry'!N7="","",'Data Entry'!N7)</f>
        <v/>
      </c>
      <c r="AH7" s="242"/>
      <c r="AI7" s="242"/>
      <c r="AJ7" s="242"/>
      <c r="AK7" s="242"/>
      <c r="AL7" s="242"/>
      <c r="AM7" s="242"/>
      <c r="AN7" s="242"/>
      <c r="AO7" s="242"/>
      <c r="AP7" s="242"/>
      <c r="AQ7" s="242"/>
      <c r="AR7" s="242"/>
      <c r="AS7" s="242"/>
      <c r="AT7" s="242"/>
      <c r="AU7" s="242"/>
      <c r="AV7" s="242"/>
      <c r="AW7" s="242"/>
      <c r="AX7" s="242"/>
      <c r="AY7" s="242"/>
      <c r="AZ7" s="252"/>
    </row>
    <row r="8" spans="1:54" ht="17.100000000000001" customHeight="1" x14ac:dyDescent="0.2">
      <c r="A8" s="251"/>
      <c r="B8" s="242"/>
      <c r="C8" s="242"/>
      <c r="D8" s="242" t="str">
        <f>IF('Data Entry'!N34="","",'Data Entry'!N34)</f>
        <v/>
      </c>
      <c r="E8" s="242"/>
      <c r="F8" s="242"/>
      <c r="G8" s="242"/>
      <c r="H8" s="242"/>
      <c r="I8" s="242"/>
      <c r="J8" s="242"/>
      <c r="K8" s="242"/>
      <c r="L8" s="242"/>
      <c r="M8" s="242"/>
      <c r="N8" s="242"/>
      <c r="O8" s="242"/>
      <c r="P8" s="242"/>
      <c r="Q8" s="242"/>
      <c r="R8" s="242"/>
      <c r="S8" s="242"/>
      <c r="T8" s="242"/>
      <c r="U8" s="242"/>
      <c r="V8" s="252"/>
      <c r="W8" s="246"/>
      <c r="X8" s="278"/>
      <c r="Y8" s="251" t="s">
        <v>177</v>
      </c>
      <c r="Z8" s="242"/>
      <c r="AA8" s="242"/>
      <c r="AB8" s="242"/>
      <c r="AC8" s="242"/>
      <c r="AD8" s="242"/>
      <c r="AE8" s="246" t="s">
        <v>0</v>
      </c>
      <c r="AF8" s="246"/>
      <c r="AG8" s="242" t="str">
        <f>IF('Data Entry'!N39="","",'Data Entry'!N39)</f>
        <v>SC17124</v>
      </c>
      <c r="AH8" s="242"/>
      <c r="AI8" s="242"/>
      <c r="AJ8" s="242"/>
      <c r="AK8" s="242"/>
      <c r="AL8" s="242"/>
      <c r="AM8" s="242"/>
      <c r="AN8" s="242"/>
      <c r="AO8" s="242"/>
      <c r="AP8" s="242"/>
      <c r="AQ8" s="242"/>
      <c r="AR8" s="242"/>
      <c r="AS8" s="242"/>
      <c r="AT8" s="242"/>
      <c r="AU8" s="242"/>
      <c r="AV8" s="242"/>
      <c r="AW8" s="242"/>
      <c r="AX8" s="242"/>
      <c r="AY8" s="242"/>
      <c r="AZ8" s="252"/>
    </row>
    <row r="9" spans="1:54" ht="17.100000000000001" customHeight="1" x14ac:dyDescent="0.2">
      <c r="A9" s="251"/>
      <c r="B9" s="242"/>
      <c r="C9" s="242"/>
      <c r="D9" s="242"/>
      <c r="E9" s="242"/>
      <c r="F9" s="242"/>
      <c r="G9" s="242"/>
      <c r="H9" s="242"/>
      <c r="I9" s="242"/>
      <c r="J9" s="242"/>
      <c r="K9" s="242"/>
      <c r="L9" s="242"/>
      <c r="M9" s="242"/>
      <c r="N9" s="242"/>
      <c r="O9" s="242"/>
      <c r="P9" s="242"/>
      <c r="Q9" s="242"/>
      <c r="R9" s="242"/>
      <c r="S9" s="242"/>
      <c r="T9" s="242"/>
      <c r="U9" s="242"/>
      <c r="V9" s="252"/>
      <c r="W9" s="246"/>
      <c r="X9" s="278"/>
      <c r="Y9" s="251" t="s">
        <v>247</v>
      </c>
      <c r="Z9" s="242"/>
      <c r="AA9" s="242"/>
      <c r="AB9" s="242"/>
      <c r="AC9" s="242"/>
      <c r="AD9" s="242"/>
      <c r="AE9" s="246" t="s">
        <v>0</v>
      </c>
      <c r="AF9" s="246"/>
      <c r="AG9" s="242" t="str">
        <f>IF('Data Entry'!N11="","",'Data Entry'!N11)</f>
        <v/>
      </c>
      <c r="AH9" s="242"/>
      <c r="AI9" s="242"/>
      <c r="AJ9" s="242"/>
      <c r="AK9" s="242"/>
      <c r="AL9" s="242"/>
      <c r="AM9" s="242"/>
      <c r="AN9" s="242"/>
      <c r="AO9" s="242"/>
      <c r="AP9" s="242"/>
      <c r="AQ9" s="242"/>
      <c r="AR9" s="242"/>
      <c r="AS9" s="242"/>
      <c r="AT9" s="242"/>
      <c r="AU9" s="242"/>
      <c r="AV9" s="242"/>
      <c r="AW9" s="242"/>
      <c r="AX9" s="242"/>
      <c r="AY9" s="242"/>
      <c r="AZ9" s="252"/>
    </row>
    <row r="10" spans="1:54" ht="17.100000000000001" customHeight="1" x14ac:dyDescent="0.2">
      <c r="A10" s="251"/>
      <c r="B10" s="242"/>
      <c r="C10" s="242"/>
      <c r="D10" s="242"/>
      <c r="E10" s="242"/>
      <c r="F10" s="242"/>
      <c r="G10" s="242"/>
      <c r="H10" s="242"/>
      <c r="I10" s="242"/>
      <c r="J10" s="242"/>
      <c r="K10" s="242"/>
      <c r="L10" s="242"/>
      <c r="M10" s="242"/>
      <c r="N10" s="242"/>
      <c r="O10" s="242"/>
      <c r="P10" s="242"/>
      <c r="Q10" s="242"/>
      <c r="R10" s="242"/>
      <c r="S10" s="242"/>
      <c r="T10" s="242"/>
      <c r="U10" s="242"/>
      <c r="V10" s="252"/>
      <c r="W10" s="246"/>
      <c r="X10" s="278"/>
      <c r="Y10" s="251" t="s">
        <v>69</v>
      </c>
      <c r="Z10" s="242"/>
      <c r="AA10" s="242"/>
      <c r="AB10" s="242"/>
      <c r="AC10" s="242"/>
      <c r="AD10" s="242"/>
      <c r="AE10" s="246" t="s">
        <v>0</v>
      </c>
      <c r="AF10" s="246"/>
      <c r="AG10" s="242" t="str">
        <f>IF('Data Entry'!N12="","",'Data Entry'!N12)</f>
        <v/>
      </c>
      <c r="AH10" s="242"/>
      <c r="AI10" s="242"/>
      <c r="AJ10" s="242"/>
      <c r="AK10" s="242"/>
      <c r="AL10" s="242"/>
      <c r="AM10" s="242"/>
      <c r="AN10" s="242"/>
      <c r="AO10" s="242"/>
      <c r="AP10" s="242"/>
      <c r="AQ10" s="242"/>
      <c r="AR10" s="242"/>
      <c r="AS10" s="242"/>
      <c r="AT10" s="242"/>
      <c r="AU10" s="242"/>
      <c r="AV10" s="242"/>
      <c r="AW10" s="242"/>
      <c r="AX10" s="242"/>
      <c r="AY10" s="242"/>
      <c r="AZ10" s="252"/>
    </row>
    <row r="11" spans="1:54" ht="17.100000000000001" customHeight="1" x14ac:dyDescent="0.2">
      <c r="A11" s="251" t="s">
        <v>65</v>
      </c>
      <c r="B11" s="242"/>
      <c r="C11" s="242"/>
      <c r="D11" s="242" t="str">
        <f>IF('Data Entry'!N35="","",'Data Entry'!N35)</f>
        <v/>
      </c>
      <c r="E11" s="242"/>
      <c r="F11" s="242"/>
      <c r="G11" s="242"/>
      <c r="H11" s="242"/>
      <c r="I11" s="242"/>
      <c r="J11" s="242"/>
      <c r="K11" s="242"/>
      <c r="L11" s="242"/>
      <c r="M11" s="242"/>
      <c r="N11" s="242"/>
      <c r="O11" s="242"/>
      <c r="P11" s="242"/>
      <c r="Q11" s="242"/>
      <c r="R11" s="242"/>
      <c r="S11" s="242"/>
      <c r="T11" s="242"/>
      <c r="U11" s="242"/>
      <c r="V11" s="252"/>
      <c r="W11" s="246"/>
      <c r="X11" s="278"/>
      <c r="Y11" s="251" t="s">
        <v>320</v>
      </c>
      <c r="Z11" s="242"/>
      <c r="AA11" s="242"/>
      <c r="AB11" s="242"/>
      <c r="AC11" s="242"/>
      <c r="AD11" s="242"/>
      <c r="AE11" s="246" t="s">
        <v>0</v>
      </c>
      <c r="AF11" s="246"/>
      <c r="AG11" s="242" t="str">
        <f>IF('Data Entry'!N14="","",'Data Entry'!N14)</f>
        <v/>
      </c>
      <c r="AH11" s="242"/>
      <c r="AI11" s="242"/>
      <c r="AJ11" s="242"/>
      <c r="AK11" s="242"/>
      <c r="AL11" s="242"/>
      <c r="AM11" s="242"/>
      <c r="AN11" s="242"/>
      <c r="AO11" s="242"/>
      <c r="AP11" s="242"/>
      <c r="AQ11" s="242"/>
      <c r="AR11" s="242"/>
      <c r="AS11" s="242"/>
      <c r="AT11" s="242"/>
      <c r="AU11" s="242"/>
      <c r="AV11" s="242"/>
      <c r="AW11" s="242"/>
      <c r="AX11" s="242"/>
      <c r="AY11" s="242"/>
      <c r="AZ11" s="252"/>
    </row>
    <row r="12" spans="1:54" ht="17.100000000000001" customHeight="1" x14ac:dyDescent="0.2">
      <c r="A12" s="251"/>
      <c r="B12" s="242"/>
      <c r="C12" s="242"/>
      <c r="D12" s="242" t="str">
        <f>IF('Data Entry'!N36="","",'Data Entry'!N36)</f>
        <v/>
      </c>
      <c r="E12" s="242"/>
      <c r="F12" s="242"/>
      <c r="G12" s="242"/>
      <c r="H12" s="242"/>
      <c r="I12" s="242"/>
      <c r="J12" s="242"/>
      <c r="K12" s="242"/>
      <c r="L12" s="242"/>
      <c r="M12" s="242"/>
      <c r="N12" s="242"/>
      <c r="O12" s="242"/>
      <c r="P12" s="242"/>
      <c r="Q12" s="242"/>
      <c r="R12" s="242"/>
      <c r="S12" s="242"/>
      <c r="T12" s="242"/>
      <c r="U12" s="242"/>
      <c r="V12" s="252"/>
      <c r="W12" s="246"/>
      <c r="X12" s="278"/>
      <c r="Y12" s="251" t="s">
        <v>67</v>
      </c>
      <c r="Z12" s="242"/>
      <c r="AA12" s="242"/>
      <c r="AB12" s="242"/>
      <c r="AC12" s="242"/>
      <c r="AD12" s="242"/>
      <c r="AE12" s="246" t="s">
        <v>0</v>
      </c>
      <c r="AF12" s="246"/>
      <c r="AG12" s="268" t="str">
        <f>IF('Data Entry'!N10="","",'Data Entry'!N10)</f>
        <v/>
      </c>
      <c r="AH12" s="268"/>
      <c r="AI12" s="268"/>
      <c r="AJ12" s="268"/>
      <c r="AK12" s="268"/>
      <c r="AL12" s="268"/>
      <c r="AM12" s="268"/>
      <c r="AN12" s="268"/>
      <c r="AO12" s="268"/>
      <c r="AP12" s="268"/>
      <c r="AQ12" s="268"/>
      <c r="AR12" s="268"/>
      <c r="AS12" s="268"/>
      <c r="AT12" s="268"/>
      <c r="AU12" s="268"/>
      <c r="AV12" s="268"/>
      <c r="AW12" s="268"/>
      <c r="AX12" s="268"/>
      <c r="AY12" s="268"/>
      <c r="AZ12" s="269"/>
    </row>
    <row r="13" spans="1:54" ht="17.100000000000001" customHeight="1" x14ac:dyDescent="0.2">
      <c r="A13" s="251"/>
      <c r="B13" s="242"/>
      <c r="C13" s="242"/>
      <c r="D13" s="242" t="str">
        <f>IF('Data Entry'!N37="","",'Data Entry'!N37)</f>
        <v/>
      </c>
      <c r="E13" s="242"/>
      <c r="F13" s="242"/>
      <c r="G13" s="242"/>
      <c r="H13" s="242"/>
      <c r="I13" s="242"/>
      <c r="J13" s="242"/>
      <c r="K13" s="242"/>
      <c r="L13" s="242"/>
      <c r="M13" s="242"/>
      <c r="N13" s="242"/>
      <c r="O13" s="242"/>
      <c r="P13" s="242"/>
      <c r="Q13" s="242"/>
      <c r="R13" s="242"/>
      <c r="S13" s="242"/>
      <c r="T13" s="242"/>
      <c r="U13" s="242"/>
      <c r="V13" s="252"/>
      <c r="W13" s="246"/>
      <c r="X13" s="278"/>
      <c r="Y13" s="251" t="s">
        <v>68</v>
      </c>
      <c r="Z13" s="242"/>
      <c r="AA13" s="242"/>
      <c r="AB13" s="242"/>
      <c r="AC13" s="242"/>
      <c r="AD13" s="242"/>
      <c r="AE13" s="246" t="s">
        <v>0</v>
      </c>
      <c r="AF13" s="246"/>
      <c r="AG13" s="242" t="str">
        <f>IF('Data Entry'!N27="","",'Data Entry'!N27)</f>
        <v>İSTANBUL</v>
      </c>
      <c r="AH13" s="242"/>
      <c r="AI13" s="242"/>
      <c r="AJ13" s="242"/>
      <c r="AK13" s="242"/>
      <c r="AL13" s="242"/>
      <c r="AM13" s="242"/>
      <c r="AN13" s="242"/>
      <c r="AO13" s="242"/>
      <c r="AP13" s="242"/>
      <c r="AQ13" s="242"/>
      <c r="AR13" s="242"/>
      <c r="AS13" s="242"/>
      <c r="AT13" s="242"/>
      <c r="AU13" s="242"/>
      <c r="AV13" s="242"/>
      <c r="AW13" s="242"/>
      <c r="AX13" s="242"/>
      <c r="AY13" s="242"/>
      <c r="AZ13" s="252"/>
      <c r="BB13" s="17" t="s">
        <v>95</v>
      </c>
    </row>
    <row r="14" spans="1:54" ht="17.100000000000001" customHeight="1" x14ac:dyDescent="0.2">
      <c r="A14" s="251"/>
      <c r="B14" s="242"/>
      <c r="C14" s="242"/>
      <c r="D14" s="242" t="str">
        <f>IF('Data Entry'!N38="","",'Data Entry'!N38)</f>
        <v/>
      </c>
      <c r="E14" s="242"/>
      <c r="F14" s="242"/>
      <c r="G14" s="242"/>
      <c r="H14" s="242"/>
      <c r="I14" s="242"/>
      <c r="J14" s="242"/>
      <c r="K14" s="242"/>
      <c r="L14" s="242"/>
      <c r="M14" s="242"/>
      <c r="N14" s="242"/>
      <c r="O14" s="242"/>
      <c r="P14" s="242"/>
      <c r="Q14" s="242"/>
      <c r="R14" s="242"/>
      <c r="S14" s="242"/>
      <c r="T14" s="242"/>
      <c r="U14" s="242"/>
      <c r="V14" s="252"/>
      <c r="W14" s="246"/>
      <c r="X14" s="278"/>
      <c r="Y14" s="251" t="s">
        <v>70</v>
      </c>
      <c r="Z14" s="242"/>
      <c r="AA14" s="242"/>
      <c r="AB14" s="242"/>
      <c r="AC14" s="242"/>
      <c r="AD14" s="242"/>
      <c r="AE14" s="246" t="s">
        <v>71</v>
      </c>
      <c r="AF14" s="246"/>
      <c r="AG14" s="242" t="s">
        <v>73</v>
      </c>
      <c r="AH14" s="242"/>
      <c r="AI14" s="242"/>
      <c r="AJ14" s="242"/>
      <c r="AK14" s="242"/>
      <c r="AL14" s="242"/>
      <c r="AM14" s="242"/>
      <c r="AN14" s="246" t="s">
        <v>0</v>
      </c>
      <c r="AO14" s="246"/>
      <c r="AP14" s="270">
        <v>40</v>
      </c>
      <c r="AQ14" s="270"/>
      <c r="AR14" s="270"/>
      <c r="AS14" s="17" t="str">
        <f>"°"</f>
        <v>°</v>
      </c>
      <c r="AT14" s="276">
        <v>56.6</v>
      </c>
      <c r="AU14" s="276"/>
      <c r="AV14" s="276"/>
      <c r="AW14" s="17" t="str">
        <f>"'"</f>
        <v>'</v>
      </c>
      <c r="AX14" s="272" t="s">
        <v>95</v>
      </c>
      <c r="AY14" s="272"/>
      <c r="AZ14" s="273"/>
      <c r="BB14" s="17" t="s">
        <v>96</v>
      </c>
    </row>
    <row r="15" spans="1:54" ht="17.100000000000001" customHeight="1" x14ac:dyDescent="0.2">
      <c r="A15" s="287"/>
      <c r="B15" s="247"/>
      <c r="C15" s="247"/>
      <c r="D15" s="247"/>
      <c r="E15" s="247"/>
      <c r="F15" s="247"/>
      <c r="G15" s="247"/>
      <c r="H15" s="247"/>
      <c r="I15" s="247"/>
      <c r="J15" s="247"/>
      <c r="K15" s="247"/>
      <c r="L15" s="247"/>
      <c r="M15" s="247"/>
      <c r="N15" s="247"/>
      <c r="O15" s="247"/>
      <c r="P15" s="247"/>
      <c r="Q15" s="247"/>
      <c r="R15" s="247"/>
      <c r="S15" s="247"/>
      <c r="T15" s="247"/>
      <c r="U15" s="247"/>
      <c r="V15" s="288"/>
      <c r="W15" s="246"/>
      <c r="X15" s="278"/>
      <c r="Y15" s="248"/>
      <c r="Z15" s="249"/>
      <c r="AA15" s="249"/>
      <c r="AB15" s="249"/>
      <c r="AC15" s="249"/>
      <c r="AD15" s="249"/>
      <c r="AE15" s="249"/>
      <c r="AF15" s="249"/>
      <c r="AG15" s="250" t="s">
        <v>72</v>
      </c>
      <c r="AH15" s="250"/>
      <c r="AI15" s="250"/>
      <c r="AJ15" s="250"/>
      <c r="AK15" s="250"/>
      <c r="AL15" s="250"/>
      <c r="AM15" s="250"/>
      <c r="AN15" s="247" t="s">
        <v>0</v>
      </c>
      <c r="AO15" s="247"/>
      <c r="AP15" s="271">
        <v>28</v>
      </c>
      <c r="AQ15" s="271"/>
      <c r="AR15" s="271"/>
      <c r="AS15" s="18" t="str">
        <f>"°"</f>
        <v>°</v>
      </c>
      <c r="AT15" s="277">
        <v>52.9</v>
      </c>
      <c r="AU15" s="277"/>
      <c r="AV15" s="277"/>
      <c r="AW15" s="18" t="str">
        <f>"'"</f>
        <v>'</v>
      </c>
      <c r="AX15" s="274" t="s">
        <v>97</v>
      </c>
      <c r="AY15" s="274"/>
      <c r="AZ15" s="275"/>
      <c r="BB15" s="17" t="s">
        <v>97</v>
      </c>
    </row>
    <row r="16" spans="1:54" ht="17.100000000000001" customHeight="1" x14ac:dyDescent="0.2">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B16" s="17" t="s">
        <v>98</v>
      </c>
    </row>
    <row r="17" spans="1:54" ht="17.100000000000001" customHeight="1" x14ac:dyDescent="0.2">
      <c r="A17" s="242" t="s">
        <v>255</v>
      </c>
      <c r="B17" s="242"/>
      <c r="C17" s="242"/>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2"/>
      <c r="AI17" s="242"/>
      <c r="AJ17" s="242"/>
      <c r="AK17" s="242"/>
      <c r="AL17" s="242"/>
      <c r="AM17" s="242"/>
      <c r="AN17" s="242"/>
      <c r="AO17" s="242"/>
      <c r="AP17" s="242"/>
      <c r="AQ17" s="242"/>
      <c r="AR17" s="242"/>
      <c r="AS17" s="242"/>
      <c r="AT17" s="242"/>
      <c r="AU17" s="242"/>
      <c r="AV17" s="242"/>
      <c r="AW17" s="242"/>
      <c r="AX17" s="242"/>
      <c r="AY17" s="242"/>
      <c r="AZ17" s="242"/>
    </row>
    <row r="18" spans="1:54" ht="17.100000000000001" customHeight="1" x14ac:dyDescent="0.2">
      <c r="A18" s="242" t="str">
        <f>"This is to certify that the " &amp; AG6 &amp; " has been bunkered with"</f>
        <v>This is to certify that the  has been bunkered with</v>
      </c>
      <c r="B18" s="242"/>
      <c r="C18" s="242"/>
      <c r="D18" s="242"/>
      <c r="E18" s="242"/>
      <c r="F18" s="242"/>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242"/>
      <c r="AU18" s="242"/>
      <c r="AV18" s="242"/>
      <c r="AW18" s="242"/>
      <c r="AX18" s="242"/>
      <c r="AY18" s="242"/>
      <c r="AZ18" s="242"/>
    </row>
    <row r="19" spans="1:54" ht="17.100000000000001" customHeight="1" x14ac:dyDescent="0.2">
      <c r="A19" s="242" t="str">
        <f>AG11 &amp; " from the " &amp; AG10 &amp; " at " &amp; AG13 &amp; "."</f>
        <v xml:space="preserve"> from the  at İSTANBUL.</v>
      </c>
      <c r="B19" s="242"/>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2"/>
      <c r="AI19" s="242"/>
      <c r="AJ19" s="242"/>
      <c r="AK19" s="242"/>
      <c r="AL19" s="242"/>
      <c r="AM19" s="242"/>
      <c r="AN19" s="242"/>
      <c r="AO19" s="242"/>
      <c r="AP19" s="242"/>
      <c r="AQ19" s="242"/>
      <c r="AR19" s="242"/>
      <c r="AS19" s="242"/>
      <c r="AT19" s="242"/>
      <c r="AU19" s="242"/>
      <c r="AV19" s="242"/>
      <c r="AW19" s="242"/>
      <c r="AX19" s="242"/>
      <c r="AY19" s="242"/>
      <c r="AZ19" s="242"/>
    </row>
    <row r="20" spans="1:54" ht="17.100000000000001" customHeight="1" x14ac:dyDescent="0.2">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row>
    <row r="21" spans="1:54" ht="17.100000000000001" customHeight="1" x14ac:dyDescent="0.2">
      <c r="A21" s="241" t="str">
        <f>"CUSTODY TRANSFER  -  BUNKER RECEIPT FOR " &amp; AG11</f>
        <v xml:space="preserve">CUSTODY TRANSFER  -  BUNKER RECEIPT FOR </v>
      </c>
      <c r="B21" s="241"/>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W21" s="241"/>
      <c r="AX21" s="241"/>
      <c r="AY21" s="241"/>
      <c r="AZ21" s="241"/>
    </row>
    <row r="22" spans="1:54" ht="17.100000000000001" customHeight="1" x14ac:dyDescent="0.2">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row>
    <row r="23" spans="1:54" ht="17.100000000000001" customHeight="1" x14ac:dyDescent="0.2">
      <c r="A23" s="243" t="s">
        <v>79</v>
      </c>
      <c r="B23" s="243"/>
      <c r="C23" s="243"/>
      <c r="D23" s="243"/>
      <c r="E23" s="243"/>
      <c r="F23" s="243"/>
      <c r="G23" s="243"/>
      <c r="H23" s="243"/>
      <c r="I23" s="243"/>
      <c r="J23" s="243"/>
      <c r="K23" s="243"/>
      <c r="L23" s="243"/>
      <c r="M23" s="244" t="s">
        <v>353</v>
      </c>
      <c r="N23" s="244"/>
      <c r="O23" s="244"/>
      <c r="P23" s="244"/>
      <c r="Q23" s="244"/>
      <c r="R23" s="244"/>
      <c r="S23" s="244"/>
      <c r="T23" s="244"/>
      <c r="U23" s="244" t="s">
        <v>86</v>
      </c>
      <c r="V23" s="244"/>
      <c r="W23" s="244"/>
      <c r="X23" s="244"/>
      <c r="Y23" s="244"/>
      <c r="Z23" s="244"/>
      <c r="AA23" s="244"/>
      <c r="AB23" s="244"/>
      <c r="AC23" s="244" t="s">
        <v>76</v>
      </c>
      <c r="AD23" s="244"/>
      <c r="AE23" s="244"/>
      <c r="AF23" s="244"/>
      <c r="AG23" s="244"/>
      <c r="AH23" s="244"/>
      <c r="AI23" s="244"/>
      <c r="AJ23" s="244"/>
      <c r="AK23" s="244" t="s">
        <v>78</v>
      </c>
      <c r="AL23" s="244"/>
      <c r="AM23" s="244"/>
      <c r="AN23" s="244"/>
      <c r="AO23" s="244"/>
      <c r="AP23" s="244"/>
      <c r="AQ23" s="244"/>
      <c r="AR23" s="244"/>
      <c r="AS23" s="244" t="s">
        <v>77</v>
      </c>
      <c r="AT23" s="244"/>
      <c r="AU23" s="244"/>
      <c r="AV23" s="244"/>
      <c r="AW23" s="244"/>
      <c r="AX23" s="244"/>
      <c r="AY23" s="244"/>
      <c r="AZ23" s="244"/>
    </row>
    <row r="24" spans="1:54" ht="17.100000000000001" customHeight="1" x14ac:dyDescent="0.2">
      <c r="A24" s="243"/>
      <c r="B24" s="243"/>
      <c r="C24" s="243"/>
      <c r="D24" s="243"/>
      <c r="E24" s="243"/>
      <c r="F24" s="243"/>
      <c r="G24" s="243"/>
      <c r="H24" s="243"/>
      <c r="I24" s="243"/>
      <c r="J24" s="243"/>
      <c r="K24" s="243"/>
      <c r="L24" s="243"/>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c r="AM24" s="244"/>
      <c r="AN24" s="244"/>
      <c r="AO24" s="244"/>
      <c r="AP24" s="244"/>
      <c r="AQ24" s="244"/>
      <c r="AR24" s="244"/>
      <c r="AS24" s="245"/>
      <c r="AT24" s="245"/>
      <c r="AU24" s="245"/>
      <c r="AV24" s="245"/>
      <c r="AW24" s="245"/>
      <c r="AX24" s="245"/>
      <c r="AY24" s="245"/>
      <c r="AZ24" s="245"/>
    </row>
    <row r="25" spans="1:54" ht="17.100000000000001" customHeight="1" x14ac:dyDescent="0.2">
      <c r="A25" s="243" t="s">
        <v>249</v>
      </c>
      <c r="B25" s="243"/>
      <c r="C25" s="243"/>
      <c r="D25" s="243"/>
      <c r="E25" s="243"/>
      <c r="F25" s="243"/>
      <c r="G25" s="243"/>
      <c r="H25" s="243"/>
      <c r="I25" s="243"/>
      <c r="J25" s="243"/>
      <c r="K25" s="243"/>
      <c r="L25" s="243"/>
      <c r="M25" s="256">
        <v>479.214</v>
      </c>
      <c r="N25" s="256"/>
      <c r="O25" s="256"/>
      <c r="P25" s="256"/>
      <c r="Q25" s="256"/>
      <c r="R25" s="256"/>
      <c r="S25" s="256"/>
      <c r="T25" s="256"/>
      <c r="U25" s="260">
        <v>0.83579999999999999</v>
      </c>
      <c r="V25" s="260"/>
      <c r="W25" s="260"/>
      <c r="X25" s="260"/>
      <c r="Y25" s="260"/>
      <c r="Z25" s="260"/>
      <c r="AA25" s="260"/>
      <c r="AB25" s="260"/>
      <c r="AC25" s="256">
        <f>U25*M25</f>
        <v>400.52706119999999</v>
      </c>
      <c r="AD25" s="256"/>
      <c r="AE25" s="256"/>
      <c r="AF25" s="256"/>
      <c r="AG25" s="256"/>
      <c r="AH25" s="256"/>
      <c r="AI25" s="256"/>
      <c r="AJ25" s="256"/>
      <c r="AK25" s="258">
        <f>IF(U25="","",U25-0.0011)</f>
        <v>0.8347</v>
      </c>
      <c r="AL25" s="258"/>
      <c r="AM25" s="258"/>
      <c r="AN25" s="258"/>
      <c r="AO25" s="258"/>
      <c r="AP25" s="258"/>
      <c r="AQ25" s="258"/>
      <c r="AR25" s="259"/>
      <c r="AS25" s="256">
        <f>M25*AK25</f>
        <v>399.99992579999997</v>
      </c>
      <c r="AT25" s="256"/>
      <c r="AU25" s="256"/>
      <c r="AV25" s="256"/>
      <c r="AW25" s="256"/>
      <c r="AX25" s="256"/>
      <c r="AY25" s="256"/>
      <c r="AZ25" s="256"/>
    </row>
    <row r="26" spans="1:54" ht="17.100000000000001" customHeight="1" x14ac:dyDescent="0.2">
      <c r="A26" s="243"/>
      <c r="B26" s="243"/>
      <c r="C26" s="243"/>
      <c r="D26" s="243"/>
      <c r="E26" s="243"/>
      <c r="F26" s="243"/>
      <c r="G26" s="243"/>
      <c r="H26" s="243"/>
      <c r="I26" s="243"/>
      <c r="J26" s="243"/>
      <c r="K26" s="243"/>
      <c r="L26" s="243"/>
      <c r="M26" s="256"/>
      <c r="N26" s="256"/>
      <c r="O26" s="256"/>
      <c r="P26" s="256"/>
      <c r="Q26" s="256"/>
      <c r="R26" s="256"/>
      <c r="S26" s="256"/>
      <c r="T26" s="256"/>
      <c r="U26" s="260"/>
      <c r="V26" s="260"/>
      <c r="W26" s="260"/>
      <c r="X26" s="260"/>
      <c r="Y26" s="260"/>
      <c r="Z26" s="260"/>
      <c r="AA26" s="260"/>
      <c r="AB26" s="260"/>
      <c r="AC26" s="256"/>
      <c r="AD26" s="256"/>
      <c r="AE26" s="256"/>
      <c r="AF26" s="256"/>
      <c r="AG26" s="256"/>
      <c r="AH26" s="256"/>
      <c r="AI26" s="256"/>
      <c r="AJ26" s="256"/>
      <c r="AK26" s="258"/>
      <c r="AL26" s="258"/>
      <c r="AM26" s="258"/>
      <c r="AN26" s="258"/>
      <c r="AO26" s="258"/>
      <c r="AP26" s="258"/>
      <c r="AQ26" s="258"/>
      <c r="AR26" s="259"/>
      <c r="AS26" s="256"/>
      <c r="AT26" s="256"/>
      <c r="AU26" s="256"/>
      <c r="AV26" s="256"/>
      <c r="AW26" s="256"/>
      <c r="AX26" s="256"/>
      <c r="AY26" s="256"/>
      <c r="AZ26" s="256"/>
    </row>
    <row r="27" spans="1:54" ht="17.100000000000001" customHeight="1" x14ac:dyDescent="0.2">
      <c r="A27" s="243" t="s">
        <v>250</v>
      </c>
      <c r="B27" s="243"/>
      <c r="C27" s="243"/>
      <c r="D27" s="243"/>
      <c r="E27" s="243"/>
      <c r="F27" s="243"/>
      <c r="G27" s="243"/>
      <c r="H27" s="243"/>
      <c r="I27" s="243"/>
      <c r="J27" s="243"/>
      <c r="K27" s="243"/>
      <c r="L27" s="243"/>
      <c r="M27" s="255">
        <f>IF(OR(AS27="",AK27=""),"",AS27/AK27)</f>
        <v>479.89696897088771</v>
      </c>
      <c r="N27" s="255"/>
      <c r="O27" s="255"/>
      <c r="P27" s="255"/>
      <c r="Q27" s="255"/>
      <c r="R27" s="255"/>
      <c r="S27" s="255"/>
      <c r="T27" s="255"/>
      <c r="U27" s="258">
        <f>IF(U25="","",U25)</f>
        <v>0.83579999999999999</v>
      </c>
      <c r="V27" s="258"/>
      <c r="W27" s="258"/>
      <c r="X27" s="258"/>
      <c r="Y27" s="258"/>
      <c r="Z27" s="258"/>
      <c r="AA27" s="258"/>
      <c r="AB27" s="258"/>
      <c r="AC27" s="255">
        <f>IF(OR(M27="",U27=""),"",M27*U27)</f>
        <v>401.09788666586792</v>
      </c>
      <c r="AD27" s="255"/>
      <c r="AE27" s="255"/>
      <c r="AF27" s="255"/>
      <c r="AG27" s="255"/>
      <c r="AH27" s="255"/>
      <c r="AI27" s="255"/>
      <c r="AJ27" s="255"/>
      <c r="AK27" s="258">
        <f>IF(U27="","",U27-0.0011)</f>
        <v>0.8347</v>
      </c>
      <c r="AL27" s="258"/>
      <c r="AM27" s="258"/>
      <c r="AN27" s="258"/>
      <c r="AO27" s="258"/>
      <c r="AP27" s="258"/>
      <c r="AQ27" s="258"/>
      <c r="AR27" s="259"/>
      <c r="AS27" s="254">
        <f>IF('Barge Survey 1'!BR11="","",'Barge Survey 1'!BR11)</f>
        <v>400.57</v>
      </c>
      <c r="AT27" s="254"/>
      <c r="AU27" s="254"/>
      <c r="AV27" s="254"/>
      <c r="AW27" s="254"/>
      <c r="AX27" s="254"/>
      <c r="AY27" s="254"/>
      <c r="AZ27" s="254"/>
    </row>
    <row r="28" spans="1:54" ht="17.100000000000001" customHeight="1" x14ac:dyDescent="0.2">
      <c r="A28" s="243"/>
      <c r="B28" s="243"/>
      <c r="C28" s="243"/>
      <c r="D28" s="243"/>
      <c r="E28" s="243"/>
      <c r="F28" s="243"/>
      <c r="G28" s="243"/>
      <c r="H28" s="243"/>
      <c r="I28" s="243"/>
      <c r="J28" s="243"/>
      <c r="K28" s="243"/>
      <c r="L28" s="243"/>
      <c r="M28" s="255"/>
      <c r="N28" s="255"/>
      <c r="O28" s="255"/>
      <c r="P28" s="255"/>
      <c r="Q28" s="255"/>
      <c r="R28" s="255"/>
      <c r="S28" s="255"/>
      <c r="T28" s="255"/>
      <c r="U28" s="258"/>
      <c r="V28" s="258"/>
      <c r="W28" s="258"/>
      <c r="X28" s="258"/>
      <c r="Y28" s="258"/>
      <c r="Z28" s="258"/>
      <c r="AA28" s="258"/>
      <c r="AB28" s="258"/>
      <c r="AC28" s="255"/>
      <c r="AD28" s="255"/>
      <c r="AE28" s="255"/>
      <c r="AF28" s="255"/>
      <c r="AG28" s="255"/>
      <c r="AH28" s="255"/>
      <c r="AI28" s="255"/>
      <c r="AJ28" s="255"/>
      <c r="AK28" s="258"/>
      <c r="AL28" s="258"/>
      <c r="AM28" s="258"/>
      <c r="AN28" s="258"/>
      <c r="AO28" s="258"/>
      <c r="AP28" s="258"/>
      <c r="AQ28" s="258"/>
      <c r="AR28" s="259"/>
      <c r="AS28" s="255"/>
      <c r="AT28" s="255"/>
      <c r="AU28" s="255"/>
      <c r="AV28" s="255"/>
      <c r="AW28" s="255"/>
      <c r="AX28" s="255"/>
      <c r="AY28" s="255"/>
      <c r="AZ28" s="255"/>
    </row>
    <row r="29" spans="1:54" ht="17.100000000000001" customHeight="1" x14ac:dyDescent="0.2">
      <c r="A29" s="243" t="s">
        <v>251</v>
      </c>
      <c r="B29" s="243"/>
      <c r="C29" s="243"/>
      <c r="D29" s="243"/>
      <c r="E29" s="243"/>
      <c r="F29" s="243"/>
      <c r="G29" s="243"/>
      <c r="H29" s="243"/>
      <c r="I29" s="243"/>
      <c r="J29" s="243"/>
      <c r="K29" s="243"/>
      <c r="L29" s="243"/>
      <c r="M29" s="255">
        <f>IF(OR(AS29="",AK29=""),"",AS29/AK29)</f>
        <v>479.33988259254824</v>
      </c>
      <c r="N29" s="255"/>
      <c r="O29" s="255"/>
      <c r="P29" s="255"/>
      <c r="Q29" s="255"/>
      <c r="R29" s="255"/>
      <c r="S29" s="255"/>
      <c r="T29" s="255"/>
      <c r="U29" s="258">
        <f>IF(U25="","",U25)</f>
        <v>0.83579999999999999</v>
      </c>
      <c r="V29" s="258"/>
      <c r="W29" s="258"/>
      <c r="X29" s="258"/>
      <c r="Y29" s="258"/>
      <c r="Z29" s="258"/>
      <c r="AA29" s="258"/>
      <c r="AB29" s="258"/>
      <c r="AC29" s="255">
        <f>IF(OR(M29="",U29=""),"",M29*U29)</f>
        <v>400.6322738708518</v>
      </c>
      <c r="AD29" s="255"/>
      <c r="AE29" s="255"/>
      <c r="AF29" s="255"/>
      <c r="AG29" s="255"/>
      <c r="AH29" s="255"/>
      <c r="AI29" s="255"/>
      <c r="AJ29" s="255"/>
      <c r="AK29" s="258">
        <f>IF(U29="","",U29-0.0011)</f>
        <v>0.8347</v>
      </c>
      <c r="AL29" s="258"/>
      <c r="AM29" s="258"/>
      <c r="AN29" s="258"/>
      <c r="AO29" s="258"/>
      <c r="AP29" s="258"/>
      <c r="AQ29" s="258"/>
      <c r="AR29" s="259"/>
      <c r="AS29" s="254">
        <f>IF('Vessel Survey 1'!BR11="","",'Vessel Survey 1'!BR11)</f>
        <v>400.10500000000002</v>
      </c>
      <c r="AT29" s="254"/>
      <c r="AU29" s="254"/>
      <c r="AV29" s="254"/>
      <c r="AW29" s="254"/>
      <c r="AX29" s="254"/>
      <c r="AY29" s="254"/>
      <c r="AZ29" s="254"/>
    </row>
    <row r="30" spans="1:54" ht="17.100000000000001" customHeight="1" x14ac:dyDescent="0.2">
      <c r="A30" s="243"/>
      <c r="B30" s="243"/>
      <c r="C30" s="243"/>
      <c r="D30" s="243"/>
      <c r="E30" s="243"/>
      <c r="F30" s="243"/>
      <c r="G30" s="243"/>
      <c r="H30" s="243"/>
      <c r="I30" s="243"/>
      <c r="J30" s="243"/>
      <c r="K30" s="243"/>
      <c r="L30" s="243"/>
      <c r="M30" s="255"/>
      <c r="N30" s="255"/>
      <c r="O30" s="255"/>
      <c r="P30" s="255"/>
      <c r="Q30" s="255"/>
      <c r="R30" s="255"/>
      <c r="S30" s="255"/>
      <c r="T30" s="255"/>
      <c r="U30" s="258"/>
      <c r="V30" s="258"/>
      <c r="W30" s="258"/>
      <c r="X30" s="258"/>
      <c r="Y30" s="258"/>
      <c r="Z30" s="258"/>
      <c r="AA30" s="258"/>
      <c r="AB30" s="258"/>
      <c r="AC30" s="255"/>
      <c r="AD30" s="255"/>
      <c r="AE30" s="255"/>
      <c r="AF30" s="255"/>
      <c r="AG30" s="255"/>
      <c r="AH30" s="255"/>
      <c r="AI30" s="255"/>
      <c r="AJ30" s="255"/>
      <c r="AK30" s="258"/>
      <c r="AL30" s="258"/>
      <c r="AM30" s="258"/>
      <c r="AN30" s="258"/>
      <c r="AO30" s="258"/>
      <c r="AP30" s="258"/>
      <c r="AQ30" s="258"/>
      <c r="AR30" s="259"/>
      <c r="AS30" s="255"/>
      <c r="AT30" s="255"/>
      <c r="AU30" s="255"/>
      <c r="AV30" s="255"/>
      <c r="AW30" s="255"/>
      <c r="AX30" s="255"/>
      <c r="AY30" s="255"/>
      <c r="AZ30" s="255"/>
      <c r="BB30" s="17" t="s">
        <v>248</v>
      </c>
    </row>
    <row r="31" spans="1:54" ht="17.100000000000001" customHeight="1" x14ac:dyDescent="0.2">
      <c r="A31" s="243" t="s">
        <v>252</v>
      </c>
      <c r="B31" s="243"/>
      <c r="C31" s="243"/>
      <c r="D31" s="243"/>
      <c r="E31" s="243"/>
      <c r="F31" s="243"/>
      <c r="G31" s="243"/>
      <c r="H31" s="243"/>
      <c r="I31" s="243"/>
      <c r="J31" s="243"/>
      <c r="K31" s="243"/>
      <c r="L31" s="243"/>
      <c r="M31" s="255">
        <f>IF(OR(M29="",M25=""),"",M29-M25)</f>
        <v>0.12588259254823697</v>
      </c>
      <c r="N31" s="255"/>
      <c r="O31" s="255"/>
      <c r="P31" s="255"/>
      <c r="Q31" s="255"/>
      <c r="R31" s="255"/>
      <c r="S31" s="255"/>
      <c r="T31" s="255"/>
      <c r="U31" s="257"/>
      <c r="V31" s="257"/>
      <c r="W31" s="257"/>
      <c r="X31" s="257"/>
      <c r="Y31" s="257"/>
      <c r="Z31" s="257"/>
      <c r="AA31" s="257"/>
      <c r="AB31" s="257"/>
      <c r="AC31" s="255">
        <f>IF(OR(AC29="",AC25=""),"",AC29-AC25)</f>
        <v>0.10521267085181307</v>
      </c>
      <c r="AD31" s="255"/>
      <c r="AE31" s="255"/>
      <c r="AF31" s="255"/>
      <c r="AG31" s="255"/>
      <c r="AH31" s="255"/>
      <c r="AI31" s="255"/>
      <c r="AJ31" s="255"/>
      <c r="AK31" s="257"/>
      <c r="AL31" s="257"/>
      <c r="AM31" s="257"/>
      <c r="AN31" s="257"/>
      <c r="AO31" s="257"/>
      <c r="AP31" s="257"/>
      <c r="AQ31" s="257"/>
      <c r="AR31" s="257"/>
      <c r="AS31" s="254">
        <f>IF(OR(AS29="",AS25=""),"",AS29-AS25)</f>
        <v>0.10507420000004686</v>
      </c>
      <c r="AT31" s="254"/>
      <c r="AU31" s="254"/>
      <c r="AV31" s="254"/>
      <c r="AW31" s="254"/>
      <c r="AX31" s="254"/>
      <c r="AY31" s="254"/>
      <c r="AZ31" s="254"/>
      <c r="BB31" s="17" t="s">
        <v>186</v>
      </c>
    </row>
    <row r="32" spans="1:54" ht="17.100000000000001" customHeight="1" x14ac:dyDescent="0.2">
      <c r="A32" s="243"/>
      <c r="B32" s="243"/>
      <c r="C32" s="243"/>
      <c r="D32" s="243"/>
      <c r="E32" s="243"/>
      <c r="F32" s="243"/>
      <c r="G32" s="243"/>
      <c r="H32" s="243"/>
      <c r="I32" s="243"/>
      <c r="J32" s="243"/>
      <c r="K32" s="243"/>
      <c r="L32" s="243"/>
      <c r="M32" s="255"/>
      <c r="N32" s="255"/>
      <c r="O32" s="255"/>
      <c r="P32" s="255"/>
      <c r="Q32" s="255"/>
      <c r="R32" s="255"/>
      <c r="S32" s="255"/>
      <c r="T32" s="255"/>
      <c r="U32" s="257"/>
      <c r="V32" s="257"/>
      <c r="W32" s="257"/>
      <c r="X32" s="257"/>
      <c r="Y32" s="257"/>
      <c r="Z32" s="257"/>
      <c r="AA32" s="257"/>
      <c r="AB32" s="257"/>
      <c r="AC32" s="255"/>
      <c r="AD32" s="255"/>
      <c r="AE32" s="255"/>
      <c r="AF32" s="255"/>
      <c r="AG32" s="255"/>
      <c r="AH32" s="255"/>
      <c r="AI32" s="255"/>
      <c r="AJ32" s="255"/>
      <c r="AK32" s="257"/>
      <c r="AL32" s="257"/>
      <c r="AM32" s="257"/>
      <c r="AN32" s="257"/>
      <c r="AO32" s="257"/>
      <c r="AP32" s="257"/>
      <c r="AQ32" s="257"/>
      <c r="AR32" s="257"/>
      <c r="AS32" s="255"/>
      <c r="AT32" s="255"/>
      <c r="AU32" s="255"/>
      <c r="AV32" s="255"/>
      <c r="AW32" s="255"/>
      <c r="AX32" s="255"/>
      <c r="AY32" s="255"/>
      <c r="AZ32" s="255"/>
      <c r="BB32" s="17" t="s">
        <v>187</v>
      </c>
    </row>
    <row r="33" spans="1:54" ht="17.100000000000001" customHeight="1" x14ac:dyDescent="0.2">
      <c r="A33" s="243" t="s">
        <v>253</v>
      </c>
      <c r="B33" s="243"/>
      <c r="C33" s="243"/>
      <c r="D33" s="243"/>
      <c r="E33" s="243"/>
      <c r="F33" s="243"/>
      <c r="G33" s="243"/>
      <c r="H33" s="243"/>
      <c r="I33" s="243"/>
      <c r="J33" s="243"/>
      <c r="K33" s="243"/>
      <c r="L33" s="243"/>
      <c r="M33" s="255">
        <f>IF(OR(M25="",M29=""),"",((M31/M25)*100))</f>
        <v>2.6268554872820277E-2</v>
      </c>
      <c r="N33" s="255"/>
      <c r="O33" s="255"/>
      <c r="P33" s="255"/>
      <c r="Q33" s="255"/>
      <c r="R33" s="255"/>
      <c r="S33" s="255"/>
      <c r="T33" s="255"/>
      <c r="U33" s="257"/>
      <c r="V33" s="257"/>
      <c r="W33" s="257"/>
      <c r="X33" s="257"/>
      <c r="Y33" s="257"/>
      <c r="Z33" s="257"/>
      <c r="AA33" s="257"/>
      <c r="AB33" s="257"/>
      <c r="AC33" s="255">
        <f>IF(OR(AC25="",AC29=""),"",((AC31/AC25)*100))</f>
        <v>2.6268554872819438E-2</v>
      </c>
      <c r="AD33" s="255"/>
      <c r="AE33" s="255"/>
      <c r="AF33" s="255"/>
      <c r="AG33" s="255"/>
      <c r="AH33" s="255"/>
      <c r="AI33" s="255"/>
      <c r="AJ33" s="255"/>
      <c r="AK33" s="257"/>
      <c r="AL33" s="257"/>
      <c r="AM33" s="257"/>
      <c r="AN33" s="257"/>
      <c r="AO33" s="257"/>
      <c r="AP33" s="257"/>
      <c r="AQ33" s="257"/>
      <c r="AR33" s="257"/>
      <c r="AS33" s="255">
        <f>IF(OR(AS25="",AS29=""),"",((AS31/AS25)*100))</f>
        <v>2.6268554872828646E-2</v>
      </c>
      <c r="AT33" s="255"/>
      <c r="AU33" s="255"/>
      <c r="AV33" s="255"/>
      <c r="AW33" s="255"/>
      <c r="AX33" s="255"/>
      <c r="AY33" s="255"/>
      <c r="AZ33" s="255"/>
      <c r="BB33" s="17" t="s">
        <v>188</v>
      </c>
    </row>
    <row r="34" spans="1:54" ht="17.100000000000001" customHeight="1" x14ac:dyDescent="0.2">
      <c r="A34" s="243"/>
      <c r="B34" s="243"/>
      <c r="C34" s="243"/>
      <c r="D34" s="243"/>
      <c r="E34" s="243"/>
      <c r="F34" s="243"/>
      <c r="G34" s="243"/>
      <c r="H34" s="243"/>
      <c r="I34" s="243"/>
      <c r="J34" s="243"/>
      <c r="K34" s="243"/>
      <c r="L34" s="243"/>
      <c r="M34" s="255"/>
      <c r="N34" s="255"/>
      <c r="O34" s="255"/>
      <c r="P34" s="255"/>
      <c r="Q34" s="255"/>
      <c r="R34" s="255"/>
      <c r="S34" s="255"/>
      <c r="T34" s="255"/>
      <c r="U34" s="257"/>
      <c r="V34" s="257"/>
      <c r="W34" s="257"/>
      <c r="X34" s="257"/>
      <c r="Y34" s="257"/>
      <c r="Z34" s="257"/>
      <c r="AA34" s="257"/>
      <c r="AB34" s="257"/>
      <c r="AC34" s="255"/>
      <c r="AD34" s="255"/>
      <c r="AE34" s="255"/>
      <c r="AF34" s="255"/>
      <c r="AG34" s="255"/>
      <c r="AH34" s="255"/>
      <c r="AI34" s="255"/>
      <c r="AJ34" s="255"/>
      <c r="AK34" s="257"/>
      <c r="AL34" s="257"/>
      <c r="AM34" s="257"/>
      <c r="AN34" s="257"/>
      <c r="AO34" s="257"/>
      <c r="AP34" s="257"/>
      <c r="AQ34" s="257"/>
      <c r="AR34" s="257"/>
      <c r="AS34" s="255"/>
      <c r="AT34" s="255"/>
      <c r="AU34" s="255"/>
      <c r="AV34" s="255"/>
      <c r="AW34" s="255"/>
      <c r="AX34" s="255"/>
      <c r="AY34" s="255"/>
      <c r="AZ34" s="255"/>
      <c r="BB34" s="17" t="s">
        <v>248</v>
      </c>
    </row>
    <row r="35" spans="1:54" ht="17.100000000000001" customHeight="1" x14ac:dyDescent="0.2">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B35" s="17" t="s">
        <v>90</v>
      </c>
    </row>
    <row r="36" spans="1:54" ht="17.100000000000001" customHeight="1" x14ac:dyDescent="0.2">
      <c r="A36" s="242" t="s">
        <v>89</v>
      </c>
      <c r="B36" s="242"/>
      <c r="C36" s="242"/>
      <c r="D36" s="242"/>
      <c r="E36" s="242"/>
      <c r="F36" s="242"/>
      <c r="G36" s="242"/>
      <c r="H36" s="242"/>
      <c r="I36" s="242"/>
      <c r="J36" s="242"/>
      <c r="K36" s="242"/>
      <c r="L36" s="242"/>
      <c r="M36" s="242"/>
      <c r="N36" s="242"/>
      <c r="O36" s="242"/>
      <c r="P36" s="253" t="s">
        <v>188</v>
      </c>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c r="AT36" s="253"/>
      <c r="AU36" s="253"/>
      <c r="AV36" s="253"/>
      <c r="AW36" s="253"/>
      <c r="AX36" s="253"/>
      <c r="AY36" s="253"/>
      <c r="AZ36" s="253"/>
      <c r="BB36" s="17" t="s">
        <v>91</v>
      </c>
    </row>
    <row r="37" spans="1:54" ht="17.100000000000001" customHeight="1" x14ac:dyDescent="0.2">
      <c r="A37" s="242" t="s">
        <v>88</v>
      </c>
      <c r="B37" s="242"/>
      <c r="C37" s="242"/>
      <c r="D37" s="242"/>
      <c r="E37" s="242"/>
      <c r="F37" s="242"/>
      <c r="G37" s="242"/>
      <c r="H37" s="242"/>
      <c r="I37" s="242"/>
      <c r="J37" s="242"/>
      <c r="K37" s="242"/>
      <c r="L37" s="242"/>
      <c r="M37" s="242"/>
      <c r="N37" s="242"/>
      <c r="O37" s="242"/>
      <c r="P37" s="253" t="s">
        <v>92</v>
      </c>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c r="AT37" s="253"/>
      <c r="AU37" s="253"/>
      <c r="AV37" s="253"/>
      <c r="AW37" s="253"/>
      <c r="AX37" s="253"/>
      <c r="AY37" s="253"/>
      <c r="AZ37" s="253"/>
      <c r="BB37" s="17" t="s">
        <v>92</v>
      </c>
    </row>
    <row r="38" spans="1:54" ht="17.100000000000001" customHeight="1" x14ac:dyDescent="0.2">
      <c r="A38" s="253"/>
      <c r="B38" s="253"/>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row>
    <row r="39" spans="1:54" ht="17.100000000000001" customHeight="1" x14ac:dyDescent="0.2">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64" t="s">
        <v>80</v>
      </c>
      <c r="Z39" s="265"/>
      <c r="AA39" s="265"/>
      <c r="AB39" s="265"/>
      <c r="AC39" s="265"/>
      <c r="AD39" s="265"/>
      <c r="AE39" s="265"/>
      <c r="AF39" s="267" t="s">
        <v>0</v>
      </c>
      <c r="AG39" s="267"/>
      <c r="AH39" s="281" t="s">
        <v>185</v>
      </c>
      <c r="AI39" s="281"/>
      <c r="AJ39" s="281"/>
      <c r="AK39" s="281"/>
      <c r="AL39" s="281"/>
      <c r="AM39" s="281"/>
      <c r="AN39" s="281"/>
      <c r="AO39" s="281"/>
      <c r="AP39" s="281"/>
      <c r="AQ39" s="281"/>
      <c r="AR39" s="281"/>
      <c r="AS39" s="281"/>
      <c r="AT39" s="281"/>
      <c r="AU39" s="281"/>
      <c r="AV39" s="281"/>
      <c r="AW39" s="281"/>
      <c r="AX39" s="281"/>
      <c r="AY39" s="281"/>
      <c r="AZ39" s="282"/>
    </row>
    <row r="40" spans="1:54" ht="17.100000000000001" customHeight="1" x14ac:dyDescent="0.2">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51" t="s">
        <v>74</v>
      </c>
      <c r="Z40" s="242"/>
      <c r="AA40" s="242"/>
      <c r="AB40" s="242"/>
      <c r="AC40" s="242"/>
      <c r="AD40" s="242"/>
      <c r="AE40" s="242"/>
      <c r="AF40" s="246" t="s">
        <v>0</v>
      </c>
      <c r="AG40" s="246"/>
      <c r="AH40" s="253" t="str">
        <f>IF('Data Entry'!N29="","",'Data Entry'!N29)&amp;IF(OR('Data Entry'!N29="",'Data Entry'!N30=""),""," / Licence No")&amp; IF('Data Entry'!N30="","",'Data Entry'!N30)</f>
        <v>MEHMET EROĞLU</v>
      </c>
      <c r="AI40" s="253"/>
      <c r="AJ40" s="253"/>
      <c r="AK40" s="253"/>
      <c r="AL40" s="253"/>
      <c r="AM40" s="253"/>
      <c r="AN40" s="253"/>
      <c r="AO40" s="253"/>
      <c r="AP40" s="253"/>
      <c r="AQ40" s="253"/>
      <c r="AR40" s="253"/>
      <c r="AS40" s="253"/>
      <c r="AT40" s="253"/>
      <c r="AU40" s="253"/>
      <c r="AV40" s="253"/>
      <c r="AW40" s="253"/>
      <c r="AX40" s="253"/>
      <c r="AY40" s="253"/>
      <c r="AZ40" s="280"/>
    </row>
    <row r="41" spans="1:54" ht="17.100000000000001" customHeight="1" x14ac:dyDescent="0.2">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84"/>
      <c r="Z41" s="246"/>
      <c r="AA41" s="246"/>
      <c r="AB41" s="246"/>
      <c r="AC41" s="246"/>
      <c r="AD41" s="246"/>
      <c r="AE41" s="246"/>
      <c r="AF41" s="246"/>
      <c r="AG41" s="246"/>
      <c r="AH41" s="285" t="s">
        <v>528</v>
      </c>
      <c r="AI41" s="285"/>
      <c r="AJ41" s="285"/>
      <c r="AK41" s="285"/>
      <c r="AL41" s="285"/>
      <c r="AM41" s="285"/>
      <c r="AN41" s="285"/>
      <c r="AO41" s="285"/>
      <c r="AP41" s="285"/>
      <c r="AQ41" s="285"/>
      <c r="AR41" s="285"/>
      <c r="AS41" s="285"/>
      <c r="AT41" s="285"/>
      <c r="AU41" s="285"/>
      <c r="AV41" s="285"/>
      <c r="AW41" s="285"/>
      <c r="AX41" s="285"/>
      <c r="AY41" s="285"/>
      <c r="AZ41" s="278"/>
      <c r="BB41" s="19"/>
    </row>
    <row r="42" spans="1:54" ht="17.100000000000001" customHeight="1" x14ac:dyDescent="0.2">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51" t="s">
        <v>75</v>
      </c>
      <c r="Z42" s="242"/>
      <c r="AA42" s="242"/>
      <c r="AB42" s="242"/>
      <c r="AC42" s="242"/>
      <c r="AD42" s="242"/>
      <c r="AE42" s="242"/>
      <c r="AF42" s="246" t="s">
        <v>0</v>
      </c>
      <c r="AG42" s="246"/>
      <c r="AH42" s="286"/>
      <c r="AI42" s="286"/>
      <c r="AJ42" s="286"/>
      <c r="AK42" s="286"/>
      <c r="AL42" s="286"/>
      <c r="AM42" s="286"/>
      <c r="AN42" s="286"/>
      <c r="AO42" s="286"/>
      <c r="AP42" s="286"/>
      <c r="AQ42" s="286"/>
      <c r="AR42" s="286"/>
      <c r="AS42" s="286"/>
      <c r="AT42" s="286"/>
      <c r="AU42" s="286"/>
      <c r="AV42" s="286"/>
      <c r="AW42" s="286"/>
      <c r="AX42" s="286"/>
      <c r="AY42" s="286"/>
      <c r="AZ42" s="278"/>
    </row>
    <row r="43" spans="1:54" ht="17.100000000000001" customHeight="1" x14ac:dyDescent="0.2">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8" t="s">
        <v>67</v>
      </c>
      <c r="Z43" s="249"/>
      <c r="AA43" s="249"/>
      <c r="AB43" s="249"/>
      <c r="AC43" s="249"/>
      <c r="AD43" s="249"/>
      <c r="AE43" s="249"/>
      <c r="AF43" s="247" t="s">
        <v>0</v>
      </c>
      <c r="AG43" s="247"/>
      <c r="AH43" s="283" t="str">
        <f>IF('Data Entry'!N10="","",'Data Entry'!N10)</f>
        <v/>
      </c>
      <c r="AI43" s="283"/>
      <c r="AJ43" s="283"/>
      <c r="AK43" s="283"/>
      <c r="AL43" s="283"/>
      <c r="AM43" s="283"/>
      <c r="AN43" s="283"/>
      <c r="AO43" s="283"/>
      <c r="AP43" s="249"/>
      <c r="AQ43" s="249"/>
      <c r="AR43" s="249"/>
      <c r="AS43" s="249"/>
      <c r="AT43" s="247"/>
      <c r="AU43" s="247"/>
      <c r="AV43" s="279"/>
      <c r="AW43" s="279"/>
      <c r="AX43" s="279"/>
      <c r="AY43" s="279"/>
      <c r="AZ43" s="275"/>
    </row>
    <row r="44" spans="1:54" ht="12" customHeight="1" x14ac:dyDescent="0.2">
      <c r="A44" s="148" t="s">
        <v>155</v>
      </c>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t="str">
        <f>'Data Entry'!AK9</f>
        <v>LTS-CUS-F-01 rev 2.0</v>
      </c>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row>
  </sheetData>
  <sheetProtection selectLockedCells="1"/>
  <mergeCells count="133">
    <mergeCell ref="A44:Z44"/>
    <mergeCell ref="AA44:AZ44"/>
    <mergeCell ref="A36:O36"/>
    <mergeCell ref="A37:O37"/>
    <mergeCell ref="P36:AZ36"/>
    <mergeCell ref="P37:AZ37"/>
    <mergeCell ref="Y9:AD9"/>
    <mergeCell ref="AE9:AF9"/>
    <mergeCell ref="AG9:AZ9"/>
    <mergeCell ref="A15:C15"/>
    <mergeCell ref="D15:V15"/>
    <mergeCell ref="D14:V14"/>
    <mergeCell ref="Y13:AD13"/>
    <mergeCell ref="AS33:AZ34"/>
    <mergeCell ref="W6:X15"/>
    <mergeCell ref="A33:L34"/>
    <mergeCell ref="M33:T34"/>
    <mergeCell ref="U33:AB34"/>
    <mergeCell ref="AC33:AJ34"/>
    <mergeCell ref="AK33:AR34"/>
    <mergeCell ref="Y7:AD7"/>
    <mergeCell ref="AE7:AF7"/>
    <mergeCell ref="AG7:AZ7"/>
    <mergeCell ref="Y39:AE39"/>
    <mergeCell ref="AZ41:AZ42"/>
    <mergeCell ref="A22:AZ22"/>
    <mergeCell ref="A39:X43"/>
    <mergeCell ref="AV43:AZ43"/>
    <mergeCell ref="AF43:AG43"/>
    <mergeCell ref="AT43:AU43"/>
    <mergeCell ref="AH40:AZ40"/>
    <mergeCell ref="AH39:AZ39"/>
    <mergeCell ref="AP43:AS43"/>
    <mergeCell ref="AF42:AG42"/>
    <mergeCell ref="AF39:AG39"/>
    <mergeCell ref="AF40:AG40"/>
    <mergeCell ref="Y40:AE40"/>
    <mergeCell ref="Y43:AE43"/>
    <mergeCell ref="AH43:AO43"/>
    <mergeCell ref="Y41:AG41"/>
    <mergeCell ref="Y42:AE42"/>
    <mergeCell ref="AH41:AY42"/>
    <mergeCell ref="A35:AZ35"/>
    <mergeCell ref="AS29:AZ30"/>
    <mergeCell ref="AK25:AR26"/>
    <mergeCell ref="AG11:AZ11"/>
    <mergeCell ref="AG12:AZ12"/>
    <mergeCell ref="AG13:AZ13"/>
    <mergeCell ref="AE11:AF11"/>
    <mergeCell ref="AP14:AR14"/>
    <mergeCell ref="AP15:AR15"/>
    <mergeCell ref="AX14:AZ14"/>
    <mergeCell ref="AX15:AZ15"/>
    <mergeCell ref="AT14:AV14"/>
    <mergeCell ref="AT15:AV15"/>
    <mergeCell ref="A11:C11"/>
    <mergeCell ref="D11:V11"/>
    <mergeCell ref="AE12:AF12"/>
    <mergeCell ref="A12:C12"/>
    <mergeCell ref="A13:C13"/>
    <mergeCell ref="A14:C14"/>
    <mergeCell ref="D12:V12"/>
    <mergeCell ref="D13:V13"/>
    <mergeCell ref="Y12:AD12"/>
    <mergeCell ref="Y11:AD11"/>
    <mergeCell ref="AE13:AF13"/>
    <mergeCell ref="Y1:AZ1"/>
    <mergeCell ref="Y2:AZ2"/>
    <mergeCell ref="Y3:AZ3"/>
    <mergeCell ref="Y4:AZ4"/>
    <mergeCell ref="A1:X4"/>
    <mergeCell ref="Y10:AD10"/>
    <mergeCell ref="Y6:AD6"/>
    <mergeCell ref="AG6:AZ6"/>
    <mergeCell ref="AG10:AZ10"/>
    <mergeCell ref="AE6:AF6"/>
    <mergeCell ref="A5:AZ5"/>
    <mergeCell ref="AE10:AF10"/>
    <mergeCell ref="AG8:AZ8"/>
    <mergeCell ref="Y8:AD8"/>
    <mergeCell ref="AE8:AF8"/>
    <mergeCell ref="A6:C6"/>
    <mergeCell ref="A8:C8"/>
    <mergeCell ref="A10:C10"/>
    <mergeCell ref="D6:V6"/>
    <mergeCell ref="D8:V8"/>
    <mergeCell ref="D10:V10"/>
    <mergeCell ref="A7:C7"/>
    <mergeCell ref="D7:V7"/>
    <mergeCell ref="A9:C9"/>
    <mergeCell ref="D9:V9"/>
    <mergeCell ref="A38:AZ38"/>
    <mergeCell ref="AS31:AZ32"/>
    <mergeCell ref="A25:L26"/>
    <mergeCell ref="A27:L28"/>
    <mergeCell ref="A29:L30"/>
    <mergeCell ref="M25:T26"/>
    <mergeCell ref="A31:L32"/>
    <mergeCell ref="M31:T32"/>
    <mergeCell ref="U31:AB32"/>
    <mergeCell ref="AC31:AJ32"/>
    <mergeCell ref="AK31:AR32"/>
    <mergeCell ref="M29:T30"/>
    <mergeCell ref="U29:AB30"/>
    <mergeCell ref="AC29:AJ30"/>
    <mergeCell ref="AK29:AR30"/>
    <mergeCell ref="M27:T28"/>
    <mergeCell ref="U27:AB28"/>
    <mergeCell ref="AC27:AJ28"/>
    <mergeCell ref="AK27:AR28"/>
    <mergeCell ref="AS25:AZ26"/>
    <mergeCell ref="AS27:AZ28"/>
    <mergeCell ref="U25:AB26"/>
    <mergeCell ref="AC25:AJ26"/>
    <mergeCell ref="A21:AZ21"/>
    <mergeCell ref="A19:AZ19"/>
    <mergeCell ref="A23:L24"/>
    <mergeCell ref="U23:AB24"/>
    <mergeCell ref="AC23:AJ24"/>
    <mergeCell ref="AK23:AR24"/>
    <mergeCell ref="AS23:AZ24"/>
    <mergeCell ref="AE14:AF14"/>
    <mergeCell ref="AN14:AO14"/>
    <mergeCell ref="AN15:AO15"/>
    <mergeCell ref="Y15:AF15"/>
    <mergeCell ref="AG14:AM14"/>
    <mergeCell ref="AG15:AM15"/>
    <mergeCell ref="Y14:AD14"/>
    <mergeCell ref="A18:AZ18"/>
    <mergeCell ref="M23:T24"/>
    <mergeCell ref="A20:AZ20"/>
    <mergeCell ref="A16:AZ16"/>
    <mergeCell ref="A17:AZ17"/>
  </mergeCells>
  <phoneticPr fontId="2" type="noConversion"/>
  <conditionalFormatting sqref="AS25 M25:AJ26 AP14:AR15 AT14:AV15 AX14:AZ15">
    <cfRule type="containsBlanks" dxfId="132" priority="5" stopIfTrue="1">
      <formula>LEN(TRIM(M14))=0</formula>
    </cfRule>
  </conditionalFormatting>
  <conditionalFormatting sqref="AH40 AH43 M27:T34 U27:AZ30 AK25 AC31:AJ34 AS31:AZ34 AG6:AZ13 A18:AZ19 D6">
    <cfRule type="containsBlanks" dxfId="131" priority="2" stopIfTrue="1">
      <formula>LEN(TRIM(A6))=0</formula>
    </cfRule>
  </conditionalFormatting>
  <conditionalFormatting sqref="P36:AZ37">
    <cfRule type="containsText" dxfId="130" priority="1" stopIfTrue="1" operator="containsText" text="(please select)">
      <formula>NOT(ISERROR(SEARCH("(please select)",P36)))</formula>
    </cfRule>
  </conditionalFormatting>
  <dataValidations xWindow="582" yWindow="501" count="10">
    <dataValidation type="list" showInputMessage="1" showErrorMessage="1" sqref="P36:AZ36" xr:uid="{00000000-0002-0000-0400-000000000000}">
      <formula1>$BB$30:$BB$33</formula1>
    </dataValidation>
    <dataValidation type="list" allowBlank="1" showInputMessage="1" showErrorMessage="1" sqref="M38:AZ38" xr:uid="{00000000-0002-0000-0400-000001000000}">
      <formula1>$BB$31:$BB$35</formula1>
    </dataValidation>
    <dataValidation type="list" allowBlank="1" showInputMessage="1" showErrorMessage="1" sqref="P37:AZ37" xr:uid="{00000000-0002-0000-0400-000002000000}">
      <formula1>$BB$34:$BB$37</formula1>
    </dataValidation>
    <dataValidation allowBlank="1" showInputMessage="1" showErrorMessage="1" promptTitle="Vessel Position" prompt="Please enter the vessel position" sqref="AT14:AV14 AP14:AR14 AP15:AR15 AT15:AV15" xr:uid="{00000000-0002-0000-0400-000003000000}"/>
    <dataValidation type="list" allowBlank="1" showInputMessage="1" showErrorMessage="1" promptTitle="Vessel Position" prompt="Please enter the vessel position" sqref="AX14:AZ14" xr:uid="{00000000-0002-0000-0400-000004000000}">
      <formula1>$BB$13:$BB$14</formula1>
    </dataValidation>
    <dataValidation type="list" allowBlank="1" showInputMessage="1" showErrorMessage="1" promptTitle="Vessel Position" prompt="Please enter the vessel position" sqref="AX15:AZ15" xr:uid="{00000000-0002-0000-0400-000005000000}">
      <formula1>$BB$15:$BB$16</formula1>
    </dataValidation>
    <dataValidation allowBlank="1" showInputMessage="1" showErrorMessage="1" promptTitle="Volume (m³ @ 15°C)" prompt="Please enter the volume as stated on the bunker receipt in m³ at 15°C" sqref="M25:T26" xr:uid="{00000000-0002-0000-0400-000006000000}"/>
    <dataValidation allowBlank="1" showInputMessage="1" showErrorMessage="1" promptTitle="Density (kg/L @ 15°C)" prompt="Please enter the density as stated on the bunker receipt in kg/L at 15°C" sqref="U25:AB26" xr:uid="{00000000-0002-0000-0400-000007000000}"/>
    <dataValidation allowBlank="1" showInputMessage="1" showErrorMessage="1" promptTitle="Metric Tons in Vacuum" prompt="Please enter the Metric Tons in Vacuum as per the bunker receipt" sqref="AC25:AJ26" xr:uid="{00000000-0002-0000-0400-000008000000}"/>
    <dataValidation allowBlank="1" showInputMessage="1" showErrorMessage="1" promptTitle="Metric Tons in Air" prompt="Please enter the Metric Tons in Air as per the bunker receipt" sqref="AS25:AZ26" xr:uid="{00000000-0002-0000-0400-000009000000}"/>
  </dataValidations>
  <printOptions horizontalCentered="1"/>
  <pageMargins left="0" right="0" top="0.51181102362204722" bottom="0" header="0.51181102362204722" footer="0.23622047244094491"/>
  <pageSetup orientation="portrait" horizontalDpi="4294967293" r:id="rId1"/>
  <headerFooter alignWithMargins="0">
    <oddFooter>&amp;C&amp;06 &amp;P &amp;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AZ63"/>
  <sheetViews>
    <sheetView topLeftCell="A46" workbookViewId="0">
      <selection activeCell="BG36" sqref="BG36"/>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246" t="s">
        <v>404</v>
      </c>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367</v>
      </c>
      <c r="B6" s="155"/>
      <c r="C6" s="155"/>
      <c r="D6" s="155"/>
      <c r="E6" s="155"/>
      <c r="F6" s="155"/>
      <c r="G6" s="155"/>
      <c r="H6" s="155"/>
      <c r="I6" s="155"/>
      <c r="J6" s="155"/>
      <c r="K6" s="155"/>
      <c r="L6" s="155"/>
      <c r="M6" s="209" t="str">
        <f>IF('Data Entry'!N8="","",'Data Entry'!N8)</f>
        <v/>
      </c>
      <c r="N6" s="209"/>
      <c r="O6" s="209"/>
      <c r="P6" s="209"/>
      <c r="Q6" s="209"/>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c r="AU6" s="209"/>
      <c r="AV6" s="209"/>
      <c r="AW6" s="209"/>
      <c r="AX6" s="209"/>
      <c r="AY6" s="209"/>
      <c r="AZ6" s="209"/>
    </row>
    <row r="7" spans="1:52" ht="12" customHeight="1" x14ac:dyDescent="0.2">
      <c r="A7" s="155" t="s">
        <v>369</v>
      </c>
      <c r="B7" s="155"/>
      <c r="C7" s="155"/>
      <c r="D7" s="208" t="str">
        <f>IF('Data Entry'!N10="","",'Data Entry'!N10)</f>
        <v/>
      </c>
      <c r="E7" s="208"/>
      <c r="F7" s="208"/>
      <c r="G7" s="208"/>
      <c r="H7" s="208"/>
      <c r="I7" s="208"/>
      <c r="J7" s="208"/>
      <c r="K7" s="208"/>
      <c r="L7" s="208"/>
      <c r="M7" s="208"/>
      <c r="N7" s="208"/>
      <c r="O7" s="208"/>
      <c r="P7" s="208"/>
      <c r="Q7" s="208"/>
      <c r="R7" s="208"/>
      <c r="S7" s="198" t="s">
        <v>366</v>
      </c>
      <c r="T7" s="198"/>
      <c r="U7" s="198"/>
      <c r="V7" s="198"/>
      <c r="W7" s="198"/>
      <c r="X7" s="220" t="str">
        <f>IF('Data Entry'!N26="","",'Data Entry'!N26)&amp;IF(OR('Data Entry'!N26="",'Data Entry'!N27=""),"","/")&amp; IF('Data Entry'!N27="","",'Data Entry'!N27)</f>
        <v>ANCHORAGE AREA/İSTANBUL</v>
      </c>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5" t="s">
        <v>406</v>
      </c>
      <c r="B9" s="155"/>
      <c r="C9" s="155"/>
      <c r="D9" s="155"/>
      <c r="E9" s="155"/>
      <c r="F9" s="155"/>
      <c r="G9" s="155"/>
      <c r="H9" s="155"/>
      <c r="I9" s="155"/>
      <c r="J9" s="155"/>
      <c r="K9" s="209" t="str">
        <f>IF('Data Entry'!N12="","",'Data Entry'!N12)</f>
        <v/>
      </c>
      <c r="L9" s="209"/>
      <c r="M9" s="209"/>
      <c r="N9" s="209"/>
      <c r="O9" s="209"/>
      <c r="P9" s="209"/>
      <c r="Q9" s="209"/>
      <c r="R9" s="209"/>
      <c r="S9" s="209"/>
      <c r="T9" s="209"/>
      <c r="U9" s="209"/>
      <c r="V9" s="209"/>
      <c r="W9" s="209"/>
      <c r="X9" s="209"/>
      <c r="Y9" s="209"/>
      <c r="Z9" s="209"/>
      <c r="AA9" s="209"/>
      <c r="AB9" s="209"/>
      <c r="AC9" s="209"/>
      <c r="AD9" s="209"/>
      <c r="AE9" s="209"/>
      <c r="AF9" s="209"/>
      <c r="AG9" s="209"/>
      <c r="AH9" s="154" t="s">
        <v>407</v>
      </c>
      <c r="AI9" s="154"/>
      <c r="AJ9" s="154"/>
      <c r="AK9" s="209"/>
      <c r="AL9" s="209"/>
      <c r="AM9" s="209"/>
      <c r="AN9" s="209"/>
      <c r="AO9" s="209"/>
      <c r="AP9" s="209"/>
      <c r="AQ9" s="209"/>
      <c r="AR9" s="209"/>
      <c r="AS9" s="209"/>
      <c r="AT9" s="209"/>
      <c r="AU9" s="209"/>
      <c r="AV9" s="209"/>
      <c r="AW9" s="209"/>
      <c r="AX9" s="209"/>
      <c r="AY9" s="209"/>
      <c r="AZ9" s="209"/>
    </row>
    <row r="10" spans="1:52" ht="12" customHeight="1" x14ac:dyDescent="0.2">
      <c r="A10" s="154"/>
      <c r="B10" s="154"/>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row>
    <row r="11" spans="1:52" ht="12" customHeight="1" x14ac:dyDescent="0.2">
      <c r="A11" s="304" t="s">
        <v>368</v>
      </c>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5" t="s">
        <v>370</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row>
    <row r="13" spans="1:52" ht="12" customHeight="1" x14ac:dyDescent="0.2">
      <c r="A13" s="155" t="s">
        <v>408</v>
      </c>
      <c r="B13" s="155"/>
      <c r="C13" s="155"/>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row>
    <row r="14" spans="1:52" ht="12" customHeight="1" x14ac:dyDescent="0.2">
      <c r="A14" s="155" t="s">
        <v>409</v>
      </c>
      <c r="B14" s="155"/>
      <c r="C14" s="155"/>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row>
    <row r="15" spans="1:52" ht="12" customHeight="1" x14ac:dyDescent="0.2">
      <c r="A15" s="154"/>
      <c r="B15" s="154"/>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row>
    <row r="16" spans="1:52" ht="12" customHeight="1" x14ac:dyDescent="0.2">
      <c r="A16" s="290" t="s">
        <v>371</v>
      </c>
      <c r="B16" s="290"/>
      <c r="C16" s="290"/>
      <c r="D16" s="290"/>
      <c r="E16" s="290"/>
      <c r="F16" s="290"/>
      <c r="G16" s="290"/>
      <c r="H16" s="290"/>
      <c r="I16" s="290"/>
      <c r="J16" s="290"/>
      <c r="K16" s="290" t="s">
        <v>372</v>
      </c>
      <c r="L16" s="290"/>
      <c r="M16" s="290"/>
      <c r="N16" s="290"/>
      <c r="O16" s="290"/>
      <c r="P16" s="290"/>
      <c r="Q16" s="290"/>
      <c r="R16" s="290"/>
      <c r="S16" s="290"/>
      <c r="T16" s="290"/>
      <c r="U16" s="290"/>
      <c r="V16" s="298"/>
      <c r="W16" s="290" t="s">
        <v>373</v>
      </c>
      <c r="X16" s="290"/>
      <c r="Y16" s="290"/>
      <c r="Z16" s="290"/>
      <c r="AA16" s="124"/>
      <c r="AB16" s="299" t="s">
        <v>374</v>
      </c>
      <c r="AC16" s="299"/>
      <c r="AD16" s="299"/>
      <c r="AE16" s="299"/>
      <c r="AF16" s="299"/>
      <c r="AG16" s="299"/>
      <c r="AH16" s="299"/>
      <c r="AI16" s="299"/>
      <c r="AJ16" s="299"/>
      <c r="AK16" s="299"/>
      <c r="AL16" s="299"/>
      <c r="AM16" s="299"/>
      <c r="AN16" s="299"/>
      <c r="AO16" s="299"/>
      <c r="AP16" s="299"/>
      <c r="AQ16" s="299"/>
      <c r="AR16" s="299"/>
      <c r="AS16" s="299"/>
      <c r="AT16" s="299"/>
      <c r="AU16" s="299"/>
      <c r="AV16" s="299"/>
      <c r="AW16" s="299"/>
      <c r="AX16" s="299"/>
      <c r="AY16" s="299"/>
      <c r="AZ16" s="299"/>
    </row>
    <row r="17" spans="1:52" ht="12" customHeight="1" x14ac:dyDescent="0.2">
      <c r="A17" s="290"/>
      <c r="B17" s="290"/>
      <c r="C17" s="290"/>
      <c r="D17" s="290"/>
      <c r="E17" s="290"/>
      <c r="F17" s="290"/>
      <c r="G17" s="290"/>
      <c r="H17" s="290"/>
      <c r="I17" s="290"/>
      <c r="J17" s="290"/>
      <c r="K17" s="290" t="s">
        <v>375</v>
      </c>
      <c r="L17" s="290"/>
      <c r="M17" s="290"/>
      <c r="N17" s="290"/>
      <c r="O17" s="300" t="s">
        <v>410</v>
      </c>
      <c r="P17" s="301"/>
      <c r="Q17" s="301"/>
      <c r="R17" s="302"/>
      <c r="S17" s="300" t="s">
        <v>411</v>
      </c>
      <c r="T17" s="301"/>
      <c r="U17" s="301"/>
      <c r="V17" s="302"/>
      <c r="W17" s="290"/>
      <c r="X17" s="290"/>
      <c r="Y17" s="290"/>
      <c r="Z17" s="290"/>
      <c r="AA17" s="124"/>
      <c r="AB17" s="299" t="s">
        <v>413</v>
      </c>
      <c r="AC17" s="299"/>
      <c r="AD17" s="299"/>
      <c r="AE17" s="299"/>
      <c r="AF17" s="299"/>
      <c r="AG17" s="299"/>
      <c r="AH17" s="299"/>
      <c r="AI17" s="299"/>
      <c r="AJ17" s="299"/>
      <c r="AK17" s="299"/>
      <c r="AL17" s="299"/>
      <c r="AM17" s="294" t="str">
        <f>IF('Data Entry'!N13="","",'Data Entry'!N13)</f>
        <v/>
      </c>
      <c r="AN17" s="294"/>
      <c r="AO17" s="294"/>
      <c r="AP17" s="294"/>
      <c r="AQ17" s="294"/>
      <c r="AR17" s="294"/>
      <c r="AS17" s="294"/>
      <c r="AT17" s="294"/>
      <c r="AU17" s="294"/>
      <c r="AV17" s="294"/>
      <c r="AW17" s="294"/>
      <c r="AX17" s="294"/>
      <c r="AY17" s="294"/>
      <c r="AZ17" s="294"/>
    </row>
    <row r="18" spans="1:52" ht="12" customHeight="1" x14ac:dyDescent="0.2">
      <c r="A18" s="290"/>
      <c r="B18" s="290"/>
      <c r="C18" s="290"/>
      <c r="D18" s="290"/>
      <c r="E18" s="290"/>
      <c r="F18" s="290"/>
      <c r="G18" s="290"/>
      <c r="H18" s="290"/>
      <c r="I18" s="290"/>
      <c r="J18" s="290"/>
      <c r="K18" s="290"/>
      <c r="L18" s="290"/>
      <c r="M18" s="290"/>
      <c r="N18" s="290"/>
      <c r="O18" s="305" t="s">
        <v>412</v>
      </c>
      <c r="P18" s="306"/>
      <c r="Q18" s="306"/>
      <c r="R18" s="307"/>
      <c r="S18" s="305" t="s">
        <v>412</v>
      </c>
      <c r="T18" s="306"/>
      <c r="U18" s="306"/>
      <c r="V18" s="307"/>
      <c r="W18" s="290"/>
      <c r="X18" s="290"/>
      <c r="Y18" s="290"/>
      <c r="Z18" s="290"/>
      <c r="AA18" s="117"/>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row>
    <row r="19" spans="1:52" ht="12" customHeight="1" x14ac:dyDescent="0.2">
      <c r="A19" s="291" t="s">
        <v>376</v>
      </c>
      <c r="B19" s="291"/>
      <c r="C19" s="291"/>
      <c r="D19" s="291"/>
      <c r="E19" s="291"/>
      <c r="F19" s="291"/>
      <c r="G19" s="291"/>
      <c r="H19" s="291"/>
      <c r="I19" s="291"/>
      <c r="J19" s="291"/>
      <c r="K19" s="290"/>
      <c r="L19" s="290"/>
      <c r="M19" s="290"/>
      <c r="N19" s="290"/>
      <c r="O19" s="290"/>
      <c r="P19" s="290"/>
      <c r="Q19" s="290"/>
      <c r="R19" s="290"/>
      <c r="S19" s="290"/>
      <c r="T19" s="290"/>
      <c r="U19" s="290"/>
      <c r="V19" s="290"/>
      <c r="W19" s="290"/>
      <c r="X19" s="290"/>
      <c r="Y19" s="290"/>
      <c r="Z19" s="290"/>
      <c r="AA19" s="117"/>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row>
    <row r="20" spans="1:52" ht="12" customHeight="1" x14ac:dyDescent="0.2">
      <c r="A20" s="291" t="s">
        <v>377</v>
      </c>
      <c r="B20" s="291"/>
      <c r="C20" s="291"/>
      <c r="D20" s="291"/>
      <c r="E20" s="291"/>
      <c r="F20" s="291"/>
      <c r="G20" s="291"/>
      <c r="H20" s="291"/>
      <c r="I20" s="291"/>
      <c r="J20" s="291"/>
      <c r="K20" s="290"/>
      <c r="L20" s="290"/>
      <c r="M20" s="290"/>
      <c r="N20" s="290"/>
      <c r="O20" s="290"/>
      <c r="P20" s="290"/>
      <c r="Q20" s="290"/>
      <c r="R20" s="290"/>
      <c r="S20" s="290"/>
      <c r="T20" s="290"/>
      <c r="U20" s="290"/>
      <c r="V20" s="290"/>
      <c r="W20" s="290"/>
      <c r="X20" s="290"/>
      <c r="Y20" s="290"/>
      <c r="Z20" s="290"/>
      <c r="AA20" s="125"/>
      <c r="AB20" s="294"/>
      <c r="AC20" s="294"/>
      <c r="AD20" s="294"/>
      <c r="AE20" s="294"/>
      <c r="AF20" s="294"/>
      <c r="AG20" s="294"/>
      <c r="AH20" s="294"/>
      <c r="AI20" s="294"/>
      <c r="AJ20" s="294"/>
      <c r="AK20" s="294"/>
      <c r="AL20" s="294"/>
      <c r="AM20" s="294"/>
      <c r="AN20" s="294"/>
      <c r="AO20" s="294"/>
      <c r="AP20" s="294"/>
      <c r="AQ20" s="294"/>
      <c r="AR20" s="294"/>
      <c r="AS20" s="294"/>
      <c r="AT20" s="294"/>
      <c r="AU20" s="294"/>
      <c r="AV20" s="294"/>
      <c r="AW20" s="294"/>
      <c r="AX20" s="294"/>
      <c r="AY20" s="294"/>
      <c r="AZ20" s="294"/>
    </row>
    <row r="21" spans="1:52" ht="12" customHeight="1" x14ac:dyDescent="0.2">
      <c r="A21" s="291" t="s">
        <v>378</v>
      </c>
      <c r="B21" s="291"/>
      <c r="C21" s="291"/>
      <c r="D21" s="291"/>
      <c r="E21" s="291"/>
      <c r="F21" s="291"/>
      <c r="G21" s="291"/>
      <c r="H21" s="291"/>
      <c r="I21" s="291"/>
      <c r="J21" s="291"/>
      <c r="K21" s="290"/>
      <c r="L21" s="290"/>
      <c r="M21" s="290"/>
      <c r="N21" s="290"/>
      <c r="O21" s="290"/>
      <c r="P21" s="290"/>
      <c r="Q21" s="290"/>
      <c r="R21" s="290"/>
      <c r="S21" s="290"/>
      <c r="T21" s="290"/>
      <c r="U21" s="290"/>
      <c r="V21" s="290"/>
      <c r="W21" s="290"/>
      <c r="X21" s="290"/>
      <c r="Y21" s="290"/>
      <c r="Z21" s="290"/>
      <c r="AA21" s="125"/>
      <c r="AB21" s="295" t="s">
        <v>414</v>
      </c>
      <c r="AC21" s="295"/>
      <c r="AD21" s="295"/>
      <c r="AE21" s="295"/>
      <c r="AF21" s="295"/>
      <c r="AG21" s="295"/>
      <c r="AH21" s="295"/>
      <c r="AI21" s="295"/>
      <c r="AJ21" s="295"/>
      <c r="AK21" s="295"/>
      <c r="AL21" s="295"/>
      <c r="AM21" s="295"/>
      <c r="AN21" s="295"/>
      <c r="AO21" s="295"/>
      <c r="AP21" s="295"/>
      <c r="AQ21" s="295"/>
      <c r="AR21" s="295"/>
      <c r="AS21" s="295"/>
      <c r="AT21" s="295"/>
      <c r="AU21" s="295"/>
      <c r="AV21" s="295"/>
      <c r="AW21" s="295"/>
      <c r="AX21" s="295"/>
      <c r="AY21" s="295"/>
      <c r="AZ21" s="295"/>
    </row>
    <row r="22" spans="1:52" ht="12" customHeight="1" x14ac:dyDescent="0.2">
      <c r="A22" s="291"/>
      <c r="B22" s="291"/>
      <c r="C22" s="291"/>
      <c r="D22" s="291"/>
      <c r="E22" s="291"/>
      <c r="F22" s="291"/>
      <c r="G22" s="291"/>
      <c r="H22" s="291"/>
      <c r="I22" s="291"/>
      <c r="J22" s="291"/>
      <c r="K22" s="290"/>
      <c r="L22" s="290"/>
      <c r="M22" s="290"/>
      <c r="N22" s="290"/>
      <c r="O22" s="290"/>
      <c r="P22" s="290"/>
      <c r="Q22" s="290"/>
      <c r="R22" s="290"/>
      <c r="S22" s="290"/>
      <c r="T22" s="290"/>
      <c r="U22" s="290"/>
      <c r="V22" s="290"/>
      <c r="W22" s="290"/>
      <c r="X22" s="290"/>
      <c r="Y22" s="290"/>
      <c r="Z22" s="290"/>
      <c r="AA22" s="125"/>
      <c r="AB22" s="293" t="s">
        <v>369</v>
      </c>
      <c r="AC22" s="293"/>
      <c r="AD22" s="293"/>
      <c r="AE22" s="297" t="str">
        <f>IF('Data Entry'!N10="","",'Data Entry'!N10)</f>
        <v/>
      </c>
      <c r="AF22" s="297"/>
      <c r="AG22" s="297"/>
      <c r="AH22" s="297"/>
      <c r="AI22" s="297"/>
      <c r="AJ22" s="297"/>
      <c r="AK22" s="297"/>
      <c r="AL22" s="297"/>
      <c r="AM22" s="297"/>
      <c r="AN22" s="297"/>
      <c r="AO22" s="297"/>
      <c r="AP22" s="125" t="s">
        <v>387</v>
      </c>
      <c r="AQ22" s="125"/>
      <c r="AR22" s="125"/>
      <c r="AS22" s="296"/>
      <c r="AT22" s="296"/>
      <c r="AU22" s="296"/>
      <c r="AV22" s="296"/>
      <c r="AW22" s="296"/>
      <c r="AX22" s="296"/>
      <c r="AY22" s="296"/>
      <c r="AZ22" s="296"/>
    </row>
    <row r="23" spans="1:52" ht="12" customHeight="1" x14ac:dyDescent="0.2">
      <c r="A23" s="291"/>
      <c r="B23" s="291"/>
      <c r="C23" s="291"/>
      <c r="D23" s="291"/>
      <c r="E23" s="291"/>
      <c r="F23" s="291"/>
      <c r="G23" s="291"/>
      <c r="H23" s="291"/>
      <c r="I23" s="291"/>
      <c r="J23" s="291"/>
      <c r="K23" s="290"/>
      <c r="L23" s="290"/>
      <c r="M23" s="290"/>
      <c r="N23" s="290"/>
      <c r="O23" s="290"/>
      <c r="P23" s="290"/>
      <c r="Q23" s="290"/>
      <c r="R23" s="290"/>
      <c r="S23" s="290"/>
      <c r="T23" s="290"/>
      <c r="U23" s="290"/>
      <c r="V23" s="290"/>
      <c r="W23" s="290"/>
      <c r="X23" s="290"/>
      <c r="Y23" s="290"/>
      <c r="Z23" s="290"/>
      <c r="AA23" s="292"/>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row>
    <row r="24" spans="1:52" ht="12" customHeight="1" x14ac:dyDescent="0.2">
      <c r="A24" s="291" t="s">
        <v>380</v>
      </c>
      <c r="B24" s="291"/>
      <c r="C24" s="291"/>
      <c r="D24" s="291"/>
      <c r="E24" s="291"/>
      <c r="F24" s="291"/>
      <c r="G24" s="291"/>
      <c r="H24" s="291"/>
      <c r="I24" s="291"/>
      <c r="J24" s="291"/>
      <c r="K24" s="290"/>
      <c r="L24" s="290"/>
      <c r="M24" s="290"/>
      <c r="N24" s="290"/>
      <c r="O24" s="290"/>
      <c r="P24" s="290"/>
      <c r="Q24" s="290"/>
      <c r="R24" s="290"/>
      <c r="S24" s="290"/>
      <c r="T24" s="290"/>
      <c r="U24" s="290"/>
      <c r="V24" s="290"/>
      <c r="W24" s="290"/>
      <c r="X24" s="290"/>
      <c r="Y24" s="290"/>
      <c r="Z24" s="290"/>
      <c r="AA24" s="292"/>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row>
    <row r="25" spans="1:52" ht="12" customHeight="1" x14ac:dyDescent="0.2">
      <c r="A25" s="291"/>
      <c r="B25" s="291"/>
      <c r="C25" s="291"/>
      <c r="D25" s="291"/>
      <c r="E25" s="291"/>
      <c r="F25" s="291"/>
      <c r="G25" s="291"/>
      <c r="H25" s="291"/>
      <c r="I25" s="291"/>
      <c r="J25" s="291"/>
      <c r="K25" s="290"/>
      <c r="L25" s="290"/>
      <c r="M25" s="290"/>
      <c r="N25" s="290"/>
      <c r="O25" s="290"/>
      <c r="P25" s="290"/>
      <c r="Q25" s="290"/>
      <c r="R25" s="290"/>
      <c r="S25" s="290"/>
      <c r="T25" s="290"/>
      <c r="U25" s="290"/>
      <c r="V25" s="290"/>
      <c r="W25" s="290"/>
      <c r="X25" s="290"/>
      <c r="Y25" s="290"/>
      <c r="Z25" s="290"/>
      <c r="AA25" s="125"/>
      <c r="AB25" s="299" t="s">
        <v>379</v>
      </c>
      <c r="AC25" s="299"/>
      <c r="AD25" s="299"/>
      <c r="AE25" s="299"/>
      <c r="AF25" s="299"/>
      <c r="AG25" s="299"/>
      <c r="AH25" s="299"/>
      <c r="AI25" s="299"/>
      <c r="AJ25" s="299"/>
      <c r="AK25" s="299"/>
      <c r="AL25" s="299"/>
      <c r="AM25" s="299"/>
      <c r="AN25" s="299"/>
      <c r="AO25" s="299"/>
      <c r="AP25" s="299"/>
      <c r="AQ25" s="299"/>
      <c r="AR25" s="299"/>
      <c r="AS25" s="299"/>
      <c r="AT25" s="299"/>
      <c r="AU25" s="299"/>
      <c r="AV25" s="299"/>
      <c r="AW25" s="299"/>
      <c r="AX25" s="299"/>
      <c r="AY25" s="299"/>
      <c r="AZ25" s="299"/>
    </row>
    <row r="26" spans="1:52" ht="12" customHeight="1" x14ac:dyDescent="0.2">
      <c r="A26" s="291"/>
      <c r="B26" s="291"/>
      <c r="C26" s="291"/>
      <c r="D26" s="291"/>
      <c r="E26" s="291"/>
      <c r="F26" s="291"/>
      <c r="G26" s="291"/>
      <c r="H26" s="291"/>
      <c r="I26" s="291"/>
      <c r="J26" s="291"/>
      <c r="K26" s="290"/>
      <c r="L26" s="290"/>
      <c r="M26" s="290"/>
      <c r="N26" s="290"/>
      <c r="O26" s="290"/>
      <c r="P26" s="290"/>
      <c r="Q26" s="290"/>
      <c r="R26" s="290"/>
      <c r="S26" s="290"/>
      <c r="T26" s="290"/>
      <c r="U26" s="290"/>
      <c r="V26" s="290"/>
      <c r="W26" s="290"/>
      <c r="X26" s="290"/>
      <c r="Y26" s="290"/>
      <c r="Z26" s="290"/>
      <c r="AA26" s="125"/>
      <c r="AB26" s="299" t="s">
        <v>413</v>
      </c>
      <c r="AC26" s="299"/>
      <c r="AD26" s="299"/>
      <c r="AE26" s="299"/>
      <c r="AF26" s="299"/>
      <c r="AG26" s="299"/>
      <c r="AH26" s="299"/>
      <c r="AI26" s="299"/>
      <c r="AJ26" s="299"/>
      <c r="AK26" s="299"/>
      <c r="AL26" s="299"/>
      <c r="AM26" s="294" t="str">
        <f>IF('Data Entry'!N9="","",'Data Entry'!N9)</f>
        <v/>
      </c>
      <c r="AN26" s="294"/>
      <c r="AO26" s="294"/>
      <c r="AP26" s="294"/>
      <c r="AQ26" s="294"/>
      <c r="AR26" s="294"/>
      <c r="AS26" s="294"/>
      <c r="AT26" s="294"/>
      <c r="AU26" s="294"/>
      <c r="AV26" s="294"/>
      <c r="AW26" s="294"/>
      <c r="AX26" s="294"/>
      <c r="AY26" s="294"/>
      <c r="AZ26" s="294"/>
    </row>
    <row r="27" spans="1:52" ht="12" customHeight="1" x14ac:dyDescent="0.2">
      <c r="A27" s="291"/>
      <c r="B27" s="291"/>
      <c r="C27" s="291"/>
      <c r="D27" s="291"/>
      <c r="E27" s="291"/>
      <c r="F27" s="291"/>
      <c r="G27" s="291"/>
      <c r="H27" s="291"/>
      <c r="I27" s="291"/>
      <c r="J27" s="291"/>
      <c r="K27" s="290"/>
      <c r="L27" s="290"/>
      <c r="M27" s="290"/>
      <c r="N27" s="290"/>
      <c r="O27" s="290"/>
      <c r="P27" s="290"/>
      <c r="Q27" s="290"/>
      <c r="R27" s="290"/>
      <c r="S27" s="290"/>
      <c r="T27" s="290"/>
      <c r="U27" s="290"/>
      <c r="V27" s="290"/>
      <c r="W27" s="290"/>
      <c r="X27" s="290"/>
      <c r="Y27" s="290"/>
      <c r="Z27" s="290"/>
      <c r="AA27" s="125"/>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row>
    <row r="28" spans="1:52" ht="12" customHeight="1" x14ac:dyDescent="0.2">
      <c r="A28" s="291" t="s">
        <v>381</v>
      </c>
      <c r="B28" s="291"/>
      <c r="C28" s="291"/>
      <c r="D28" s="291"/>
      <c r="E28" s="291"/>
      <c r="F28" s="291"/>
      <c r="G28" s="291"/>
      <c r="H28" s="291"/>
      <c r="I28" s="291"/>
      <c r="J28" s="291"/>
      <c r="K28" s="290"/>
      <c r="L28" s="290"/>
      <c r="M28" s="290"/>
      <c r="N28" s="290"/>
      <c r="O28" s="290"/>
      <c r="P28" s="290"/>
      <c r="Q28" s="290"/>
      <c r="R28" s="290"/>
      <c r="S28" s="290"/>
      <c r="T28" s="290"/>
      <c r="U28" s="290"/>
      <c r="V28" s="290"/>
      <c r="W28" s="290"/>
      <c r="X28" s="290"/>
      <c r="Y28" s="290"/>
      <c r="Z28" s="290"/>
      <c r="AA28" s="125"/>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row>
    <row r="29" spans="1:52" ht="12" customHeight="1" x14ac:dyDescent="0.2">
      <c r="A29" s="291"/>
      <c r="B29" s="291"/>
      <c r="C29" s="291"/>
      <c r="D29" s="291"/>
      <c r="E29" s="291"/>
      <c r="F29" s="291"/>
      <c r="G29" s="291"/>
      <c r="H29" s="291"/>
      <c r="I29" s="291"/>
      <c r="J29" s="291"/>
      <c r="K29" s="290"/>
      <c r="L29" s="290"/>
      <c r="M29" s="290"/>
      <c r="N29" s="290"/>
      <c r="O29" s="290"/>
      <c r="P29" s="290"/>
      <c r="Q29" s="290"/>
      <c r="R29" s="290"/>
      <c r="S29" s="290"/>
      <c r="T29" s="290"/>
      <c r="U29" s="290"/>
      <c r="V29" s="290"/>
      <c r="W29" s="290"/>
      <c r="X29" s="290"/>
      <c r="Y29" s="290"/>
      <c r="Z29" s="290"/>
      <c r="AA29" s="125"/>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4"/>
    </row>
    <row r="30" spans="1:52" ht="12" customHeight="1" x14ac:dyDescent="0.2">
      <c r="A30" s="291"/>
      <c r="B30" s="291"/>
      <c r="C30" s="291"/>
      <c r="D30" s="291"/>
      <c r="E30" s="291"/>
      <c r="F30" s="291"/>
      <c r="G30" s="291"/>
      <c r="H30" s="291"/>
      <c r="I30" s="291"/>
      <c r="J30" s="291"/>
      <c r="K30" s="290"/>
      <c r="L30" s="290"/>
      <c r="M30" s="290"/>
      <c r="N30" s="290"/>
      <c r="O30" s="290"/>
      <c r="P30" s="290"/>
      <c r="Q30" s="290"/>
      <c r="R30" s="290"/>
      <c r="S30" s="290"/>
      <c r="T30" s="290"/>
      <c r="U30" s="290"/>
      <c r="V30" s="290"/>
      <c r="W30" s="290"/>
      <c r="X30" s="290"/>
      <c r="Y30" s="290"/>
      <c r="Z30" s="290"/>
      <c r="AA30" s="125"/>
      <c r="AB30" s="295" t="s">
        <v>415</v>
      </c>
      <c r="AC30" s="295"/>
      <c r="AD30" s="295"/>
      <c r="AE30" s="295"/>
      <c r="AF30" s="295"/>
      <c r="AG30" s="295"/>
      <c r="AH30" s="295"/>
      <c r="AI30" s="295"/>
      <c r="AJ30" s="295"/>
      <c r="AK30" s="295"/>
      <c r="AL30" s="295"/>
      <c r="AM30" s="295"/>
      <c r="AN30" s="295"/>
      <c r="AO30" s="295"/>
      <c r="AP30" s="295"/>
      <c r="AQ30" s="295"/>
      <c r="AR30" s="295"/>
      <c r="AS30" s="295"/>
      <c r="AT30" s="295"/>
      <c r="AU30" s="295"/>
      <c r="AV30" s="295"/>
      <c r="AW30" s="295"/>
      <c r="AX30" s="295"/>
      <c r="AY30" s="295"/>
      <c r="AZ30" s="295"/>
    </row>
    <row r="31" spans="1:52" ht="12" customHeight="1" x14ac:dyDescent="0.2">
      <c r="A31" s="291"/>
      <c r="B31" s="291"/>
      <c r="C31" s="291"/>
      <c r="D31" s="291"/>
      <c r="E31" s="291"/>
      <c r="F31" s="291"/>
      <c r="G31" s="291"/>
      <c r="H31" s="291"/>
      <c r="I31" s="291"/>
      <c r="J31" s="291"/>
      <c r="K31" s="290"/>
      <c r="L31" s="290"/>
      <c r="M31" s="290"/>
      <c r="N31" s="290"/>
      <c r="O31" s="290"/>
      <c r="P31" s="290"/>
      <c r="Q31" s="290"/>
      <c r="R31" s="290"/>
      <c r="S31" s="290"/>
      <c r="T31" s="290"/>
      <c r="U31" s="290"/>
      <c r="V31" s="290"/>
      <c r="W31" s="290"/>
      <c r="X31" s="290"/>
      <c r="Y31" s="290"/>
      <c r="Z31" s="290"/>
      <c r="AA31" s="125"/>
      <c r="AB31" s="293" t="s">
        <v>369</v>
      </c>
      <c r="AC31" s="293"/>
      <c r="AD31" s="293"/>
      <c r="AE31" s="297" t="str">
        <f>IF('Data Entry'!N10="","",'Data Entry'!N10)</f>
        <v/>
      </c>
      <c r="AF31" s="297"/>
      <c r="AG31" s="297"/>
      <c r="AH31" s="297"/>
      <c r="AI31" s="297"/>
      <c r="AJ31" s="297"/>
      <c r="AK31" s="297"/>
      <c r="AL31" s="297"/>
      <c r="AM31" s="297"/>
      <c r="AN31" s="297"/>
      <c r="AO31" s="297"/>
      <c r="AP31" s="125" t="s">
        <v>387</v>
      </c>
      <c r="AQ31" s="125"/>
      <c r="AR31" s="125"/>
      <c r="AS31" s="296"/>
      <c r="AT31" s="296"/>
      <c r="AU31" s="296"/>
      <c r="AV31" s="296"/>
      <c r="AW31" s="296"/>
      <c r="AX31" s="296"/>
      <c r="AY31" s="296"/>
      <c r="AZ31" s="296"/>
    </row>
    <row r="32" spans="1:52" ht="12" customHeight="1" x14ac:dyDescent="0.2">
      <c r="A32" s="291" t="s">
        <v>382</v>
      </c>
      <c r="B32" s="291"/>
      <c r="C32" s="291"/>
      <c r="D32" s="291"/>
      <c r="E32" s="291"/>
      <c r="F32" s="291"/>
      <c r="G32" s="291"/>
      <c r="H32" s="291"/>
      <c r="I32" s="291"/>
      <c r="J32" s="291"/>
      <c r="K32" s="290"/>
      <c r="L32" s="290"/>
      <c r="M32" s="290"/>
      <c r="N32" s="290"/>
      <c r="O32" s="290"/>
      <c r="P32" s="290"/>
      <c r="Q32" s="290"/>
      <c r="R32" s="290"/>
      <c r="S32" s="290"/>
      <c r="T32" s="290"/>
      <c r="U32" s="290"/>
      <c r="V32" s="290"/>
      <c r="W32" s="290"/>
      <c r="X32" s="290"/>
      <c r="Y32" s="290"/>
      <c r="Z32" s="290"/>
      <c r="AA32" s="292"/>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row>
    <row r="33" spans="1:52" ht="12" customHeight="1" x14ac:dyDescent="0.2">
      <c r="A33" s="291"/>
      <c r="B33" s="291"/>
      <c r="C33" s="291"/>
      <c r="D33" s="291"/>
      <c r="E33" s="291"/>
      <c r="F33" s="291"/>
      <c r="G33" s="291"/>
      <c r="H33" s="291"/>
      <c r="I33" s="291"/>
      <c r="J33" s="291"/>
      <c r="K33" s="290"/>
      <c r="L33" s="290"/>
      <c r="M33" s="290"/>
      <c r="N33" s="290"/>
      <c r="O33" s="290"/>
      <c r="P33" s="290"/>
      <c r="Q33" s="290"/>
      <c r="R33" s="290"/>
      <c r="S33" s="290"/>
      <c r="T33" s="290"/>
      <c r="U33" s="290"/>
      <c r="V33" s="290"/>
      <c r="W33" s="290"/>
      <c r="X33" s="290"/>
      <c r="Y33" s="290"/>
      <c r="Z33" s="290"/>
      <c r="AA33" s="126"/>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row>
    <row r="34" spans="1:52" ht="12" customHeight="1" x14ac:dyDescent="0.2">
      <c r="A34" s="291"/>
      <c r="B34" s="291"/>
      <c r="C34" s="291"/>
      <c r="D34" s="291"/>
      <c r="E34" s="291"/>
      <c r="F34" s="291"/>
      <c r="G34" s="291"/>
      <c r="H34" s="291"/>
      <c r="I34" s="291"/>
      <c r="J34" s="291"/>
      <c r="K34" s="290"/>
      <c r="L34" s="290"/>
      <c r="M34" s="290"/>
      <c r="N34" s="290"/>
      <c r="O34" s="290"/>
      <c r="P34" s="290"/>
      <c r="Q34" s="290"/>
      <c r="R34" s="290"/>
      <c r="S34" s="290"/>
      <c r="T34" s="290"/>
      <c r="U34" s="290"/>
      <c r="V34" s="290"/>
      <c r="W34" s="290"/>
      <c r="X34" s="290"/>
      <c r="Y34" s="290"/>
      <c r="Z34" s="290"/>
      <c r="AA34" s="125"/>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row>
    <row r="35" spans="1:52" ht="12" customHeight="1" x14ac:dyDescent="0.2">
      <c r="A35" s="291"/>
      <c r="B35" s="291"/>
      <c r="C35" s="291"/>
      <c r="D35" s="291"/>
      <c r="E35" s="291"/>
      <c r="F35" s="291"/>
      <c r="G35" s="291"/>
      <c r="H35" s="291"/>
      <c r="I35" s="291"/>
      <c r="J35" s="291"/>
      <c r="K35" s="290"/>
      <c r="L35" s="290"/>
      <c r="M35" s="290"/>
      <c r="N35" s="290"/>
      <c r="O35" s="290"/>
      <c r="P35" s="290"/>
      <c r="Q35" s="290"/>
      <c r="R35" s="290"/>
      <c r="S35" s="290"/>
      <c r="T35" s="290"/>
      <c r="U35" s="290"/>
      <c r="V35" s="290"/>
      <c r="W35" s="290"/>
      <c r="X35" s="290"/>
      <c r="Y35" s="290"/>
      <c r="Z35" s="290"/>
      <c r="AA35" s="125"/>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row>
    <row r="36" spans="1:52" ht="12" customHeight="1" x14ac:dyDescent="0.2">
      <c r="A36" s="291"/>
      <c r="B36" s="291"/>
      <c r="C36" s="291"/>
      <c r="D36" s="291"/>
      <c r="E36" s="291"/>
      <c r="F36" s="291"/>
      <c r="G36" s="291"/>
      <c r="H36" s="291"/>
      <c r="I36" s="291"/>
      <c r="J36" s="291"/>
      <c r="K36" s="290"/>
      <c r="L36" s="290"/>
      <c r="M36" s="290"/>
      <c r="N36" s="290"/>
      <c r="O36" s="290"/>
      <c r="P36" s="290"/>
      <c r="Q36" s="290"/>
      <c r="R36" s="290"/>
      <c r="S36" s="290"/>
      <c r="T36" s="290"/>
      <c r="U36" s="290"/>
      <c r="V36" s="290"/>
      <c r="W36" s="290"/>
      <c r="X36" s="290"/>
      <c r="Y36" s="290"/>
      <c r="Z36" s="290"/>
      <c r="AA36" s="125"/>
      <c r="AB36" s="293" t="s">
        <v>416</v>
      </c>
      <c r="AC36" s="293"/>
      <c r="AD36" s="293"/>
      <c r="AE36" s="293"/>
      <c r="AF36" s="293"/>
      <c r="AG36" s="293"/>
      <c r="AH36" s="293"/>
      <c r="AI36" s="293"/>
      <c r="AJ36" s="293"/>
      <c r="AK36" s="293"/>
      <c r="AL36" s="293"/>
      <c r="AM36" s="293"/>
      <c r="AN36" s="293" t="s">
        <v>417</v>
      </c>
      <c r="AO36" s="293"/>
      <c r="AP36" s="293"/>
      <c r="AQ36" s="293"/>
      <c r="AR36" s="293"/>
      <c r="AS36" s="294" t="str">
        <f>IF('Data Entry'!N30="","",'Data Entry'!N30)</f>
        <v/>
      </c>
      <c r="AT36" s="294"/>
      <c r="AU36" s="294"/>
      <c r="AV36" s="294"/>
      <c r="AW36" s="294"/>
      <c r="AX36" s="294"/>
      <c r="AY36" s="294"/>
      <c r="AZ36" s="294"/>
    </row>
    <row r="37" spans="1:52"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2" ht="12" customHeight="1" x14ac:dyDescent="0.2">
      <c r="A38" s="224"/>
      <c r="B38" s="224"/>
      <c r="C38" s="224"/>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224"/>
      <c r="AD38" s="224"/>
      <c r="AE38" s="224"/>
      <c r="AF38" s="224"/>
      <c r="AG38" s="224"/>
      <c r="AH38" s="224"/>
      <c r="AI38" s="224"/>
      <c r="AJ38" s="224"/>
      <c r="AK38" s="224"/>
      <c r="AL38" s="224"/>
      <c r="AM38" s="224"/>
      <c r="AN38" s="224"/>
      <c r="AO38" s="224"/>
      <c r="AP38" s="224"/>
      <c r="AQ38" s="224"/>
      <c r="AR38" s="224"/>
      <c r="AS38" s="224"/>
      <c r="AT38" s="224"/>
      <c r="AU38" s="224"/>
      <c r="AV38" s="224"/>
      <c r="AW38" s="224"/>
      <c r="AX38" s="224"/>
      <c r="AY38" s="224"/>
      <c r="AZ38" s="224"/>
    </row>
    <row r="39" spans="1:52" ht="12" customHeight="1" x14ac:dyDescent="0.2">
      <c r="A39" s="304" t="s">
        <v>418</v>
      </c>
      <c r="B39" s="154"/>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154"/>
      <c r="AN39" s="154"/>
      <c r="AO39" s="154"/>
      <c r="AP39" s="154"/>
      <c r="AQ39" s="154"/>
      <c r="AR39" s="154"/>
      <c r="AS39" s="154"/>
      <c r="AT39" s="154"/>
      <c r="AU39" s="154"/>
      <c r="AV39" s="154"/>
      <c r="AW39" s="154"/>
      <c r="AX39" s="154"/>
      <c r="AY39" s="154"/>
      <c r="AZ39" s="154"/>
    </row>
    <row r="40" spans="1:52" ht="12" customHeight="1" x14ac:dyDescent="0.2">
      <c r="A40" s="223" t="s">
        <v>383</v>
      </c>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23"/>
      <c r="AB40" s="223"/>
      <c r="AC40" s="223"/>
      <c r="AD40" s="223"/>
      <c r="AE40" s="223"/>
      <c r="AF40" s="223"/>
      <c r="AG40" s="223"/>
      <c r="AH40" s="223"/>
      <c r="AI40" s="223"/>
      <c r="AJ40" s="223"/>
      <c r="AK40" s="223"/>
      <c r="AL40" s="223"/>
      <c r="AM40" s="223"/>
      <c r="AN40" s="223"/>
      <c r="AO40" s="223"/>
      <c r="AP40" s="223"/>
      <c r="AQ40" s="223"/>
      <c r="AR40" s="223"/>
      <c r="AS40" s="223"/>
      <c r="AT40" s="223"/>
      <c r="AU40" s="223"/>
      <c r="AV40" s="223"/>
      <c r="AW40" s="223"/>
      <c r="AX40" s="223"/>
      <c r="AY40" s="223"/>
      <c r="AZ40" s="223"/>
    </row>
    <row r="41" spans="1:52" ht="12" customHeight="1" x14ac:dyDescent="0.2">
      <c r="A41" s="205" t="s">
        <v>384</v>
      </c>
      <c r="B41" s="205"/>
      <c r="C41" s="205"/>
      <c r="D41" s="205"/>
      <c r="E41" s="205"/>
      <c r="F41" s="205"/>
      <c r="G41" s="205"/>
      <c r="H41" s="205"/>
      <c r="I41" s="205"/>
      <c r="J41" s="205"/>
      <c r="K41" s="205"/>
      <c r="L41" s="205"/>
      <c r="M41" s="205"/>
      <c r="N41" s="205"/>
      <c r="O41" s="205"/>
      <c r="P41" s="205"/>
      <c r="Q41" s="205"/>
      <c r="R41" s="205"/>
      <c r="S41" s="205"/>
      <c r="T41" s="205"/>
      <c r="U41" s="205"/>
      <c r="V41" s="205"/>
      <c r="W41" s="205"/>
      <c r="X41" s="205"/>
      <c r="Y41" s="205"/>
      <c r="Z41" s="205"/>
      <c r="AA41" s="205"/>
      <c r="AB41" s="205"/>
      <c r="AC41" s="205"/>
      <c r="AD41" s="205"/>
      <c r="AE41" s="205"/>
      <c r="AF41" s="205"/>
      <c r="AG41" s="205"/>
      <c r="AH41" s="205"/>
      <c r="AI41" s="205"/>
      <c r="AJ41" s="205"/>
      <c r="AK41" s="205"/>
      <c r="AL41" s="205"/>
      <c r="AM41" s="205"/>
      <c r="AN41" s="205"/>
      <c r="AO41" s="205"/>
      <c r="AP41" s="205"/>
      <c r="AQ41" s="205"/>
      <c r="AR41" s="205"/>
      <c r="AS41" s="205"/>
      <c r="AT41" s="205"/>
      <c r="AU41" s="205"/>
      <c r="AV41" s="205"/>
      <c r="AW41" s="205"/>
      <c r="AX41" s="205"/>
      <c r="AY41" s="205"/>
      <c r="AZ41" s="205"/>
    </row>
    <row r="42" spans="1:52" ht="12" customHeight="1" x14ac:dyDescent="0.2">
      <c r="A42" s="290" t="s">
        <v>371</v>
      </c>
      <c r="B42" s="290"/>
      <c r="C42" s="290"/>
      <c r="D42" s="290"/>
      <c r="E42" s="290"/>
      <c r="F42" s="290"/>
      <c r="G42" s="290"/>
      <c r="H42" s="290"/>
      <c r="I42" s="290"/>
      <c r="J42" s="290"/>
      <c r="K42" s="290" t="s">
        <v>372</v>
      </c>
      <c r="L42" s="290"/>
      <c r="M42" s="290"/>
      <c r="N42" s="290"/>
      <c r="O42" s="290"/>
      <c r="P42" s="290"/>
      <c r="Q42" s="290"/>
      <c r="R42" s="290"/>
      <c r="S42" s="290"/>
      <c r="T42" s="290"/>
      <c r="U42" s="290"/>
      <c r="V42" s="298"/>
      <c r="W42" s="290" t="s">
        <v>373</v>
      </c>
      <c r="X42" s="290"/>
      <c r="Y42" s="290"/>
      <c r="Z42" s="290"/>
      <c r="AA42" s="124"/>
      <c r="AB42" s="299" t="s">
        <v>385</v>
      </c>
      <c r="AC42" s="299"/>
      <c r="AD42" s="299"/>
      <c r="AE42" s="299"/>
      <c r="AF42" s="299"/>
      <c r="AG42" s="299"/>
      <c r="AH42" s="299"/>
      <c r="AI42" s="299"/>
      <c r="AJ42" s="299"/>
      <c r="AK42" s="299"/>
      <c r="AL42" s="299"/>
      <c r="AM42" s="299"/>
      <c r="AN42" s="299"/>
      <c r="AO42" s="299"/>
      <c r="AP42" s="299"/>
      <c r="AQ42" s="299"/>
      <c r="AR42" s="299"/>
      <c r="AS42" s="299"/>
      <c r="AT42" s="299"/>
      <c r="AU42" s="299"/>
      <c r="AV42" s="299"/>
      <c r="AW42" s="299"/>
      <c r="AX42" s="299"/>
      <c r="AY42" s="299"/>
      <c r="AZ42" s="299"/>
    </row>
    <row r="43" spans="1:52" ht="12" customHeight="1" x14ac:dyDescent="0.2">
      <c r="A43" s="290"/>
      <c r="B43" s="290"/>
      <c r="C43" s="290"/>
      <c r="D43" s="290"/>
      <c r="E43" s="290"/>
      <c r="F43" s="290"/>
      <c r="G43" s="290"/>
      <c r="H43" s="290"/>
      <c r="I43" s="290"/>
      <c r="J43" s="290"/>
      <c r="K43" s="290" t="s">
        <v>375</v>
      </c>
      <c r="L43" s="290"/>
      <c r="M43" s="290"/>
      <c r="N43" s="290"/>
      <c r="O43" s="300" t="s">
        <v>410</v>
      </c>
      <c r="P43" s="301"/>
      <c r="Q43" s="301"/>
      <c r="R43" s="302"/>
      <c r="S43" s="300" t="s">
        <v>411</v>
      </c>
      <c r="T43" s="301"/>
      <c r="U43" s="301"/>
      <c r="V43" s="302"/>
      <c r="W43" s="290"/>
      <c r="X43" s="290"/>
      <c r="Y43" s="290"/>
      <c r="Z43" s="290"/>
      <c r="AA43" s="124"/>
      <c r="AB43" s="299" t="s">
        <v>413</v>
      </c>
      <c r="AC43" s="299"/>
      <c r="AD43" s="299"/>
      <c r="AE43" s="299"/>
      <c r="AF43" s="299"/>
      <c r="AG43" s="299"/>
      <c r="AH43" s="299"/>
      <c r="AI43" s="299"/>
      <c r="AJ43" s="299"/>
      <c r="AK43" s="299"/>
      <c r="AL43" s="299"/>
      <c r="AM43" s="294" t="str">
        <f>IF('Data Entry'!N9="","",'Data Entry'!N9)</f>
        <v/>
      </c>
      <c r="AN43" s="294"/>
      <c r="AO43" s="294"/>
      <c r="AP43" s="294"/>
      <c r="AQ43" s="294"/>
      <c r="AR43" s="294"/>
      <c r="AS43" s="294"/>
      <c r="AT43" s="294"/>
      <c r="AU43" s="294"/>
      <c r="AV43" s="294"/>
      <c r="AW43" s="294"/>
      <c r="AX43" s="294"/>
      <c r="AY43" s="294"/>
      <c r="AZ43" s="294"/>
    </row>
    <row r="44" spans="1:52" ht="12" customHeight="1" x14ac:dyDescent="0.2">
      <c r="A44" s="290"/>
      <c r="B44" s="290"/>
      <c r="C44" s="290"/>
      <c r="D44" s="290"/>
      <c r="E44" s="290"/>
      <c r="F44" s="290"/>
      <c r="G44" s="290"/>
      <c r="H44" s="290"/>
      <c r="I44" s="290"/>
      <c r="J44" s="290"/>
      <c r="K44" s="290"/>
      <c r="L44" s="290"/>
      <c r="M44" s="290"/>
      <c r="N44" s="290"/>
      <c r="O44" s="305" t="s">
        <v>412</v>
      </c>
      <c r="P44" s="306"/>
      <c r="Q44" s="306"/>
      <c r="R44" s="307"/>
      <c r="S44" s="305" t="s">
        <v>412</v>
      </c>
      <c r="T44" s="306"/>
      <c r="U44" s="306"/>
      <c r="V44" s="307"/>
      <c r="W44" s="290"/>
      <c r="X44" s="290"/>
      <c r="Y44" s="290"/>
      <c r="Z44" s="290"/>
      <c r="AA44" s="117"/>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row>
    <row r="45" spans="1:52" ht="12" customHeight="1" x14ac:dyDescent="0.2">
      <c r="A45" s="291" t="s">
        <v>376</v>
      </c>
      <c r="B45" s="291"/>
      <c r="C45" s="291"/>
      <c r="D45" s="291"/>
      <c r="E45" s="291"/>
      <c r="F45" s="291"/>
      <c r="G45" s="291"/>
      <c r="H45" s="291"/>
      <c r="I45" s="291"/>
      <c r="J45" s="291"/>
      <c r="K45" s="290"/>
      <c r="L45" s="290"/>
      <c r="M45" s="290"/>
      <c r="N45" s="290"/>
      <c r="O45" s="290"/>
      <c r="P45" s="290"/>
      <c r="Q45" s="290"/>
      <c r="R45" s="290"/>
      <c r="S45" s="290"/>
      <c r="T45" s="290"/>
      <c r="U45" s="290"/>
      <c r="V45" s="290"/>
      <c r="W45" s="290"/>
      <c r="X45" s="290"/>
      <c r="Y45" s="290"/>
      <c r="Z45" s="290"/>
      <c r="AA45" s="117"/>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row>
    <row r="46" spans="1:52" ht="12" customHeight="1" x14ac:dyDescent="0.2">
      <c r="A46" s="291" t="s">
        <v>377</v>
      </c>
      <c r="B46" s="291"/>
      <c r="C46" s="291"/>
      <c r="D46" s="291"/>
      <c r="E46" s="291"/>
      <c r="F46" s="291"/>
      <c r="G46" s="291"/>
      <c r="H46" s="291"/>
      <c r="I46" s="291"/>
      <c r="J46" s="291"/>
      <c r="K46" s="290"/>
      <c r="L46" s="290"/>
      <c r="M46" s="290"/>
      <c r="N46" s="290"/>
      <c r="O46" s="290"/>
      <c r="P46" s="290"/>
      <c r="Q46" s="290"/>
      <c r="R46" s="290"/>
      <c r="S46" s="290"/>
      <c r="T46" s="290"/>
      <c r="U46" s="290"/>
      <c r="V46" s="290"/>
      <c r="W46" s="290"/>
      <c r="X46" s="290"/>
      <c r="Y46" s="290"/>
      <c r="Z46" s="290"/>
      <c r="AA46" s="125"/>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row>
    <row r="47" spans="1:52" ht="12" customHeight="1" x14ac:dyDescent="0.2">
      <c r="A47" s="291" t="s">
        <v>378</v>
      </c>
      <c r="B47" s="291"/>
      <c r="C47" s="291"/>
      <c r="D47" s="291"/>
      <c r="E47" s="291"/>
      <c r="F47" s="291"/>
      <c r="G47" s="291"/>
      <c r="H47" s="291"/>
      <c r="I47" s="291"/>
      <c r="J47" s="291"/>
      <c r="K47" s="290"/>
      <c r="L47" s="290"/>
      <c r="M47" s="290"/>
      <c r="N47" s="290"/>
      <c r="O47" s="290"/>
      <c r="P47" s="290"/>
      <c r="Q47" s="290"/>
      <c r="R47" s="290"/>
      <c r="S47" s="290"/>
      <c r="T47" s="290"/>
      <c r="U47" s="290"/>
      <c r="V47" s="290"/>
      <c r="W47" s="290"/>
      <c r="X47" s="290"/>
      <c r="Y47" s="290"/>
      <c r="Z47" s="290"/>
      <c r="AA47" s="125"/>
      <c r="AB47" s="295" t="s">
        <v>415</v>
      </c>
      <c r="AC47" s="295"/>
      <c r="AD47" s="295"/>
      <c r="AE47" s="295"/>
      <c r="AF47" s="295"/>
      <c r="AG47" s="295"/>
      <c r="AH47" s="295"/>
      <c r="AI47" s="295"/>
      <c r="AJ47" s="295"/>
      <c r="AK47" s="295"/>
      <c r="AL47" s="295"/>
      <c r="AM47" s="295"/>
      <c r="AN47" s="295"/>
      <c r="AO47" s="295"/>
      <c r="AP47" s="295"/>
      <c r="AQ47" s="295"/>
      <c r="AR47" s="295"/>
      <c r="AS47" s="295"/>
      <c r="AT47" s="295"/>
      <c r="AU47" s="295"/>
      <c r="AV47" s="295"/>
      <c r="AW47" s="295"/>
      <c r="AX47" s="295"/>
      <c r="AY47" s="295"/>
      <c r="AZ47" s="295"/>
    </row>
    <row r="48" spans="1:52" ht="12" customHeight="1" x14ac:dyDescent="0.2">
      <c r="A48" s="291"/>
      <c r="B48" s="291"/>
      <c r="C48" s="291"/>
      <c r="D48" s="291"/>
      <c r="E48" s="291"/>
      <c r="F48" s="291"/>
      <c r="G48" s="291"/>
      <c r="H48" s="291"/>
      <c r="I48" s="291"/>
      <c r="J48" s="291"/>
      <c r="K48" s="290"/>
      <c r="L48" s="290"/>
      <c r="M48" s="290"/>
      <c r="N48" s="290"/>
      <c r="O48" s="290"/>
      <c r="P48" s="290"/>
      <c r="Q48" s="290"/>
      <c r="R48" s="290"/>
      <c r="S48" s="290"/>
      <c r="T48" s="290"/>
      <c r="U48" s="290"/>
      <c r="V48" s="290"/>
      <c r="W48" s="290"/>
      <c r="X48" s="290"/>
      <c r="Y48" s="290"/>
      <c r="Z48" s="290"/>
      <c r="AA48" s="125"/>
      <c r="AB48" s="293" t="s">
        <v>369</v>
      </c>
      <c r="AC48" s="293"/>
      <c r="AD48" s="293"/>
      <c r="AE48" s="297" t="str">
        <f>IF('Data Entry'!N10="","",'Data Entry'!N10)</f>
        <v/>
      </c>
      <c r="AF48" s="297"/>
      <c r="AG48" s="297"/>
      <c r="AH48" s="297"/>
      <c r="AI48" s="297"/>
      <c r="AJ48" s="297"/>
      <c r="AK48" s="297"/>
      <c r="AL48" s="297"/>
      <c r="AM48" s="297"/>
      <c r="AN48" s="297"/>
      <c r="AO48" s="297"/>
      <c r="AP48" s="125" t="s">
        <v>387</v>
      </c>
      <c r="AQ48" s="125"/>
      <c r="AR48" s="125"/>
      <c r="AS48" s="296"/>
      <c r="AT48" s="296"/>
      <c r="AU48" s="296"/>
      <c r="AV48" s="296"/>
      <c r="AW48" s="296"/>
      <c r="AX48" s="296"/>
      <c r="AY48" s="296"/>
      <c r="AZ48" s="296"/>
    </row>
    <row r="49" spans="1:52" ht="12" customHeight="1" x14ac:dyDescent="0.2">
      <c r="A49" s="291"/>
      <c r="B49" s="291"/>
      <c r="C49" s="291"/>
      <c r="D49" s="291"/>
      <c r="E49" s="291"/>
      <c r="F49" s="291"/>
      <c r="G49" s="291"/>
      <c r="H49" s="291"/>
      <c r="I49" s="291"/>
      <c r="J49" s="291"/>
      <c r="K49" s="290"/>
      <c r="L49" s="290"/>
      <c r="M49" s="290"/>
      <c r="N49" s="290"/>
      <c r="O49" s="290"/>
      <c r="P49" s="290"/>
      <c r="Q49" s="290"/>
      <c r="R49" s="290"/>
      <c r="S49" s="290"/>
      <c r="T49" s="290"/>
      <c r="U49" s="290"/>
      <c r="V49" s="290"/>
      <c r="W49" s="290"/>
      <c r="X49" s="290"/>
      <c r="Y49" s="290"/>
      <c r="Z49" s="290"/>
      <c r="AA49" s="292"/>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row>
    <row r="50" spans="1:52" ht="12" customHeight="1" x14ac:dyDescent="0.2">
      <c r="A50" s="291" t="s">
        <v>380</v>
      </c>
      <c r="B50" s="291"/>
      <c r="C50" s="291"/>
      <c r="D50" s="291"/>
      <c r="E50" s="291"/>
      <c r="F50" s="291"/>
      <c r="G50" s="291"/>
      <c r="H50" s="291"/>
      <c r="I50" s="291"/>
      <c r="J50" s="291"/>
      <c r="K50" s="290"/>
      <c r="L50" s="290"/>
      <c r="M50" s="290"/>
      <c r="N50" s="290"/>
      <c r="O50" s="290"/>
      <c r="P50" s="290"/>
      <c r="Q50" s="290"/>
      <c r="R50" s="290"/>
      <c r="S50" s="290"/>
      <c r="T50" s="290"/>
      <c r="U50" s="290"/>
      <c r="V50" s="290"/>
      <c r="W50" s="290"/>
      <c r="X50" s="290"/>
      <c r="Y50" s="290"/>
      <c r="Z50" s="290"/>
      <c r="AA50" s="126"/>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row>
    <row r="51" spans="1:52" ht="12" customHeight="1" x14ac:dyDescent="0.2">
      <c r="A51" s="291"/>
      <c r="B51" s="291"/>
      <c r="C51" s="291"/>
      <c r="D51" s="291"/>
      <c r="E51" s="291"/>
      <c r="F51" s="291"/>
      <c r="G51" s="291"/>
      <c r="H51" s="291"/>
      <c r="I51" s="291"/>
      <c r="J51" s="291"/>
      <c r="K51" s="290"/>
      <c r="L51" s="290"/>
      <c r="M51" s="290"/>
      <c r="N51" s="290"/>
      <c r="O51" s="290"/>
      <c r="P51" s="290"/>
      <c r="Q51" s="290"/>
      <c r="R51" s="290"/>
      <c r="S51" s="290"/>
      <c r="T51" s="290"/>
      <c r="U51" s="290"/>
      <c r="V51" s="290"/>
      <c r="W51" s="290"/>
      <c r="X51" s="290"/>
      <c r="Y51" s="290"/>
      <c r="Z51" s="290"/>
      <c r="AA51" s="125"/>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row>
    <row r="52" spans="1:52" ht="12" customHeight="1" x14ac:dyDescent="0.2">
      <c r="A52" s="291"/>
      <c r="B52" s="291"/>
      <c r="C52" s="291"/>
      <c r="D52" s="291"/>
      <c r="E52" s="291"/>
      <c r="F52" s="291"/>
      <c r="G52" s="291"/>
      <c r="H52" s="291"/>
      <c r="I52" s="291"/>
      <c r="J52" s="291"/>
      <c r="K52" s="290"/>
      <c r="L52" s="290"/>
      <c r="M52" s="290"/>
      <c r="N52" s="290"/>
      <c r="O52" s="290"/>
      <c r="P52" s="290"/>
      <c r="Q52" s="290"/>
      <c r="R52" s="290"/>
      <c r="S52" s="290"/>
      <c r="T52" s="290"/>
      <c r="U52" s="290"/>
      <c r="V52" s="290"/>
      <c r="W52" s="290"/>
      <c r="X52" s="290"/>
      <c r="Y52" s="290"/>
      <c r="Z52" s="290"/>
      <c r="AA52" s="125"/>
      <c r="AB52" s="294"/>
      <c r="AC52" s="294"/>
      <c r="AD52" s="294"/>
      <c r="AE52" s="294"/>
      <c r="AF52" s="294"/>
      <c r="AG52" s="294"/>
      <c r="AH52" s="294"/>
      <c r="AI52" s="294"/>
      <c r="AJ52" s="294"/>
      <c r="AK52" s="294"/>
      <c r="AL52" s="294"/>
      <c r="AM52" s="294"/>
      <c r="AN52" s="294"/>
      <c r="AO52" s="294"/>
      <c r="AP52" s="294"/>
      <c r="AQ52" s="294"/>
      <c r="AR52" s="294"/>
      <c r="AS52" s="294"/>
      <c r="AT52" s="294"/>
      <c r="AU52" s="294"/>
      <c r="AV52" s="294"/>
      <c r="AW52" s="294"/>
      <c r="AX52" s="294"/>
      <c r="AY52" s="294"/>
      <c r="AZ52" s="294"/>
    </row>
    <row r="53" spans="1:52" ht="12" customHeight="1" x14ac:dyDescent="0.2">
      <c r="A53" s="291"/>
      <c r="B53" s="291"/>
      <c r="C53" s="291"/>
      <c r="D53" s="291"/>
      <c r="E53" s="291"/>
      <c r="F53" s="291"/>
      <c r="G53" s="291"/>
      <c r="H53" s="291"/>
      <c r="I53" s="291"/>
      <c r="J53" s="291"/>
      <c r="K53" s="290"/>
      <c r="L53" s="290"/>
      <c r="M53" s="290"/>
      <c r="N53" s="290"/>
      <c r="O53" s="290"/>
      <c r="P53" s="290"/>
      <c r="Q53" s="290"/>
      <c r="R53" s="290"/>
      <c r="S53" s="290"/>
      <c r="T53" s="290"/>
      <c r="U53" s="290"/>
      <c r="V53" s="290"/>
      <c r="W53" s="290"/>
      <c r="X53" s="290"/>
      <c r="Y53" s="290"/>
      <c r="Z53" s="290"/>
      <c r="AA53" s="125"/>
      <c r="AB53" s="293" t="s">
        <v>416</v>
      </c>
      <c r="AC53" s="293"/>
      <c r="AD53" s="293"/>
      <c r="AE53" s="293"/>
      <c r="AF53" s="293"/>
      <c r="AG53" s="293"/>
      <c r="AH53" s="293"/>
      <c r="AI53" s="293"/>
      <c r="AJ53" s="293"/>
      <c r="AK53" s="293"/>
      <c r="AL53" s="293"/>
      <c r="AM53" s="293"/>
      <c r="AN53" s="293" t="s">
        <v>417</v>
      </c>
      <c r="AO53" s="293"/>
      <c r="AP53" s="293"/>
      <c r="AQ53" s="293"/>
      <c r="AR53" s="293"/>
      <c r="AS53" s="294" t="str">
        <f>IF('Data Entry'!N30="","",'Data Entry'!N30)</f>
        <v/>
      </c>
      <c r="AT53" s="294"/>
      <c r="AU53" s="294"/>
      <c r="AV53" s="294"/>
      <c r="AW53" s="294"/>
      <c r="AX53" s="294"/>
      <c r="AY53" s="294"/>
      <c r="AZ53" s="294"/>
    </row>
    <row r="54" spans="1:52" ht="12" customHeight="1" x14ac:dyDescent="0.2">
      <c r="A54" s="291" t="s">
        <v>381</v>
      </c>
      <c r="B54" s="291"/>
      <c r="C54" s="291"/>
      <c r="D54" s="291"/>
      <c r="E54" s="291"/>
      <c r="F54" s="291"/>
      <c r="G54" s="291"/>
      <c r="H54" s="291"/>
      <c r="I54" s="291"/>
      <c r="J54" s="291"/>
      <c r="K54" s="290"/>
      <c r="L54" s="290"/>
      <c r="M54" s="290"/>
      <c r="N54" s="290"/>
      <c r="O54" s="290"/>
      <c r="P54" s="290"/>
      <c r="Q54" s="290"/>
      <c r="R54" s="290"/>
      <c r="S54" s="290"/>
      <c r="T54" s="290"/>
      <c r="U54" s="290"/>
      <c r="V54" s="290"/>
      <c r="W54" s="290"/>
      <c r="X54" s="290"/>
      <c r="Y54" s="290"/>
      <c r="Z54" s="290"/>
      <c r="AA54" s="125"/>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row>
    <row r="55" spans="1:52" ht="12" customHeight="1" x14ac:dyDescent="0.2">
      <c r="A55" s="291"/>
      <c r="B55" s="291"/>
      <c r="C55" s="291"/>
      <c r="D55" s="291"/>
      <c r="E55" s="291"/>
      <c r="F55" s="291"/>
      <c r="G55" s="291"/>
      <c r="H55" s="291"/>
      <c r="I55" s="291"/>
      <c r="J55" s="291"/>
      <c r="K55" s="290"/>
      <c r="L55" s="290"/>
      <c r="M55" s="290"/>
      <c r="N55" s="290"/>
      <c r="O55" s="290"/>
      <c r="P55" s="290"/>
      <c r="Q55" s="290"/>
      <c r="R55" s="290"/>
      <c r="S55" s="290"/>
      <c r="T55" s="290"/>
      <c r="U55" s="290"/>
      <c r="V55" s="290"/>
      <c r="W55" s="290"/>
      <c r="X55" s="290"/>
      <c r="Y55" s="290"/>
      <c r="Z55" s="290"/>
      <c r="AA55" s="125"/>
      <c r="AB55" s="303" t="s">
        <v>386</v>
      </c>
      <c r="AC55" s="303"/>
      <c r="AD55" s="303"/>
      <c r="AE55" s="303"/>
      <c r="AF55" s="303"/>
      <c r="AG55" s="289"/>
      <c r="AH55" s="289"/>
      <c r="AI55" s="289"/>
      <c r="AJ55" s="289"/>
      <c r="AK55" s="289"/>
      <c r="AL55" s="289"/>
      <c r="AM55" s="289"/>
      <c r="AN55" s="289"/>
      <c r="AO55" s="289"/>
      <c r="AP55" s="289"/>
      <c r="AQ55" s="289"/>
      <c r="AR55" s="289"/>
      <c r="AS55" s="289"/>
      <c r="AT55" s="289"/>
      <c r="AU55" s="289"/>
      <c r="AV55" s="289"/>
      <c r="AW55" s="289"/>
      <c r="AX55" s="289"/>
      <c r="AY55" s="289"/>
      <c r="AZ55" s="289"/>
    </row>
    <row r="56" spans="1:52" ht="12" customHeight="1" x14ac:dyDescent="0.2">
      <c r="A56" s="291"/>
      <c r="B56" s="291"/>
      <c r="C56" s="291"/>
      <c r="D56" s="291"/>
      <c r="E56" s="291"/>
      <c r="F56" s="291"/>
      <c r="G56" s="291"/>
      <c r="H56" s="291"/>
      <c r="I56" s="291"/>
      <c r="J56" s="291"/>
      <c r="K56" s="290"/>
      <c r="L56" s="290"/>
      <c r="M56" s="290"/>
      <c r="N56" s="290"/>
      <c r="O56" s="290"/>
      <c r="P56" s="290"/>
      <c r="Q56" s="290"/>
      <c r="R56" s="290"/>
      <c r="S56" s="290"/>
      <c r="T56" s="290"/>
      <c r="U56" s="290"/>
      <c r="V56" s="290"/>
      <c r="W56" s="290"/>
      <c r="X56" s="290"/>
      <c r="Y56" s="290"/>
      <c r="Z56" s="290"/>
      <c r="AA56" s="125"/>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row>
    <row r="57" spans="1:52" ht="12" customHeight="1" x14ac:dyDescent="0.2">
      <c r="A57" s="291"/>
      <c r="B57" s="291"/>
      <c r="C57" s="291"/>
      <c r="D57" s="291"/>
      <c r="E57" s="291"/>
      <c r="F57" s="291"/>
      <c r="G57" s="291"/>
      <c r="H57" s="291"/>
      <c r="I57" s="291"/>
      <c r="J57" s="291"/>
      <c r="K57" s="290"/>
      <c r="L57" s="290"/>
      <c r="M57" s="290"/>
      <c r="N57" s="290"/>
      <c r="O57" s="290"/>
      <c r="P57" s="290"/>
      <c r="Q57" s="290"/>
      <c r="R57" s="290"/>
      <c r="S57" s="290"/>
      <c r="T57" s="290"/>
      <c r="U57" s="290"/>
      <c r="V57" s="290"/>
      <c r="W57" s="290"/>
      <c r="X57" s="290"/>
      <c r="Y57" s="290"/>
      <c r="Z57" s="290"/>
      <c r="AA57" s="125"/>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row>
    <row r="58" spans="1:52" ht="12" customHeight="1" x14ac:dyDescent="0.2">
      <c r="A58" s="291" t="s">
        <v>382</v>
      </c>
      <c r="B58" s="291"/>
      <c r="C58" s="291"/>
      <c r="D58" s="291"/>
      <c r="E58" s="291"/>
      <c r="F58" s="291"/>
      <c r="G58" s="291"/>
      <c r="H58" s="291"/>
      <c r="I58" s="291"/>
      <c r="J58" s="291"/>
      <c r="K58" s="290"/>
      <c r="L58" s="290"/>
      <c r="M58" s="290"/>
      <c r="N58" s="290"/>
      <c r="O58" s="290"/>
      <c r="P58" s="290"/>
      <c r="Q58" s="290"/>
      <c r="R58" s="290"/>
      <c r="S58" s="290"/>
      <c r="T58" s="290"/>
      <c r="U58" s="290"/>
      <c r="V58" s="290"/>
      <c r="W58" s="290"/>
      <c r="X58" s="290"/>
      <c r="Y58" s="290"/>
      <c r="Z58" s="290"/>
      <c r="AA58" s="126"/>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row>
    <row r="59" spans="1:52" ht="12" customHeight="1" x14ac:dyDescent="0.2">
      <c r="A59" s="291"/>
      <c r="B59" s="291"/>
      <c r="C59" s="291"/>
      <c r="D59" s="291"/>
      <c r="E59" s="291"/>
      <c r="F59" s="291"/>
      <c r="G59" s="291"/>
      <c r="H59" s="291"/>
      <c r="I59" s="291"/>
      <c r="J59" s="291"/>
      <c r="K59" s="290"/>
      <c r="L59" s="290"/>
      <c r="M59" s="290"/>
      <c r="N59" s="290"/>
      <c r="O59" s="290"/>
      <c r="P59" s="290"/>
      <c r="Q59" s="290"/>
      <c r="R59" s="290"/>
      <c r="S59" s="290"/>
      <c r="T59" s="290"/>
      <c r="U59" s="290"/>
      <c r="V59" s="290"/>
      <c r="W59" s="290"/>
      <c r="X59" s="290"/>
      <c r="Y59" s="290"/>
      <c r="Z59" s="290"/>
      <c r="AA59" s="126"/>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row>
    <row r="60" spans="1:52" ht="12" customHeight="1" x14ac:dyDescent="0.2">
      <c r="A60" s="291"/>
      <c r="B60" s="291"/>
      <c r="C60" s="291"/>
      <c r="D60" s="291"/>
      <c r="E60" s="291"/>
      <c r="F60" s="291"/>
      <c r="G60" s="291"/>
      <c r="H60" s="291"/>
      <c r="I60" s="291"/>
      <c r="J60" s="291"/>
      <c r="K60" s="290"/>
      <c r="L60" s="290"/>
      <c r="M60" s="290"/>
      <c r="N60" s="290"/>
      <c r="O60" s="290"/>
      <c r="P60" s="290"/>
      <c r="Q60" s="290"/>
      <c r="R60" s="290"/>
      <c r="S60" s="290"/>
      <c r="T60" s="290"/>
      <c r="U60" s="290"/>
      <c r="V60" s="290"/>
      <c r="W60" s="290"/>
      <c r="X60" s="290"/>
      <c r="Y60" s="290"/>
      <c r="Z60" s="290"/>
      <c r="AA60" s="125"/>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row>
    <row r="61" spans="1:52" ht="12" customHeight="1" x14ac:dyDescent="0.2">
      <c r="A61" s="291"/>
      <c r="B61" s="291"/>
      <c r="C61" s="291"/>
      <c r="D61" s="291"/>
      <c r="E61" s="291"/>
      <c r="F61" s="291"/>
      <c r="G61" s="291"/>
      <c r="H61" s="291"/>
      <c r="I61" s="291"/>
      <c r="J61" s="291"/>
      <c r="K61" s="290"/>
      <c r="L61" s="290"/>
      <c r="M61" s="290"/>
      <c r="N61" s="290"/>
      <c r="O61" s="290"/>
      <c r="P61" s="290"/>
      <c r="Q61" s="290"/>
      <c r="R61" s="290"/>
      <c r="S61" s="290"/>
      <c r="T61" s="290"/>
      <c r="U61" s="290"/>
      <c r="V61" s="290"/>
      <c r="W61" s="290"/>
      <c r="X61" s="290"/>
      <c r="Y61" s="290"/>
      <c r="Z61" s="290"/>
      <c r="AA61" s="125"/>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row>
    <row r="62" spans="1:52" ht="12" customHeight="1" x14ac:dyDescent="0.2">
      <c r="A62" s="291"/>
      <c r="B62" s="291"/>
      <c r="C62" s="291"/>
      <c r="D62" s="291"/>
      <c r="E62" s="291"/>
      <c r="F62" s="291"/>
      <c r="G62" s="291"/>
      <c r="H62" s="291"/>
      <c r="I62" s="291"/>
      <c r="J62" s="291"/>
      <c r="K62" s="290"/>
      <c r="L62" s="290"/>
      <c r="M62" s="290"/>
      <c r="N62" s="290"/>
      <c r="O62" s="290"/>
      <c r="P62" s="290"/>
      <c r="Q62" s="290"/>
      <c r="R62" s="290"/>
      <c r="S62" s="290"/>
      <c r="T62" s="290"/>
      <c r="U62" s="290"/>
      <c r="V62" s="290"/>
      <c r="W62" s="290"/>
      <c r="X62" s="290"/>
      <c r="Y62" s="290"/>
      <c r="Z62" s="290"/>
      <c r="AA62" s="125"/>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row>
    <row r="63" spans="1:52" ht="13.5" customHeight="1" x14ac:dyDescent="0.2">
      <c r="A63" s="148" t="s">
        <v>405</v>
      </c>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9" t="str">
        <f>'Data Entry'!AK9</f>
        <v>LTS-CUS-F-01 rev 2.0</v>
      </c>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row>
  </sheetData>
  <mergeCells count="274">
    <mergeCell ref="S30:V30"/>
    <mergeCell ref="S31:V31"/>
    <mergeCell ref="S32:V32"/>
    <mergeCell ref="A21:J21"/>
    <mergeCell ref="S19:V19"/>
    <mergeCell ref="W19:Z19"/>
    <mergeCell ref="S20:V20"/>
    <mergeCell ref="S21:V21"/>
    <mergeCell ref="S22:V22"/>
    <mergeCell ref="S23:V23"/>
    <mergeCell ref="S28:V28"/>
    <mergeCell ref="S29:V29"/>
    <mergeCell ref="W21:Z21"/>
    <mergeCell ref="W22:Z22"/>
    <mergeCell ref="W23:Z23"/>
    <mergeCell ref="W29:Z29"/>
    <mergeCell ref="W25:Z25"/>
    <mergeCell ref="W26:Z26"/>
    <mergeCell ref="W27:Z27"/>
    <mergeCell ref="W28:Z28"/>
    <mergeCell ref="S24:V24"/>
    <mergeCell ref="S25:V25"/>
    <mergeCell ref="S26:V26"/>
    <mergeCell ref="S27:V27"/>
    <mergeCell ref="O34:R34"/>
    <mergeCell ref="O35:R35"/>
    <mergeCell ref="S34:V34"/>
    <mergeCell ref="S35:V35"/>
    <mergeCell ref="O29:R29"/>
    <mergeCell ref="K35:N35"/>
    <mergeCell ref="O21:R21"/>
    <mergeCell ref="O22:R22"/>
    <mergeCell ref="O23:R23"/>
    <mergeCell ref="O24:R24"/>
    <mergeCell ref="O25:R25"/>
    <mergeCell ref="O26:R26"/>
    <mergeCell ref="O27:R27"/>
    <mergeCell ref="O28:R28"/>
    <mergeCell ref="O30:R30"/>
    <mergeCell ref="O31:R31"/>
    <mergeCell ref="O32:R32"/>
    <mergeCell ref="O33:R33"/>
    <mergeCell ref="K28:N28"/>
    <mergeCell ref="K29:N29"/>
    <mergeCell ref="K31:N31"/>
    <mergeCell ref="K32:N32"/>
    <mergeCell ref="K33:N33"/>
    <mergeCell ref="S33:V33"/>
    <mergeCell ref="A34:J34"/>
    <mergeCell ref="K34:N34"/>
    <mergeCell ref="A30:J30"/>
    <mergeCell ref="A31:J31"/>
    <mergeCell ref="A32:J32"/>
    <mergeCell ref="K22:N22"/>
    <mergeCell ref="K23:N23"/>
    <mergeCell ref="K24:N24"/>
    <mergeCell ref="K25:N25"/>
    <mergeCell ref="K26:N26"/>
    <mergeCell ref="K27:N27"/>
    <mergeCell ref="A27:J27"/>
    <mergeCell ref="A28:J28"/>
    <mergeCell ref="K30:N30"/>
    <mergeCell ref="A29:J29"/>
    <mergeCell ref="AE1:AI1"/>
    <mergeCell ref="AK1:AZ1"/>
    <mergeCell ref="AE2:AI2"/>
    <mergeCell ref="AK2:AZ2"/>
    <mergeCell ref="AE3:AZ3"/>
    <mergeCell ref="A4:AZ4"/>
    <mergeCell ref="A1:AD3"/>
    <mergeCell ref="O18:R18"/>
    <mergeCell ref="S18:V18"/>
    <mergeCell ref="W16:Z18"/>
    <mergeCell ref="S17:V17"/>
    <mergeCell ref="K17:N18"/>
    <mergeCell ref="A16:J18"/>
    <mergeCell ref="A5:AZ5"/>
    <mergeCell ref="A12:AZ12"/>
    <mergeCell ref="A6:L6"/>
    <mergeCell ref="M6:AZ6"/>
    <mergeCell ref="A7:C7"/>
    <mergeCell ref="D7:R7"/>
    <mergeCell ref="S7:W7"/>
    <mergeCell ref="AB17:AL17"/>
    <mergeCell ref="AB18:AZ20"/>
    <mergeCell ref="W20:Z20"/>
    <mergeCell ref="A36:J36"/>
    <mergeCell ref="K36:N36"/>
    <mergeCell ref="O36:R36"/>
    <mergeCell ref="S36:V36"/>
    <mergeCell ref="A8:AZ8"/>
    <mergeCell ref="A10:AZ10"/>
    <mergeCell ref="X7:AZ7"/>
    <mergeCell ref="A9:J9"/>
    <mergeCell ref="K9:AG9"/>
    <mergeCell ref="AH9:AJ9"/>
    <mergeCell ref="AK9:AZ9"/>
    <mergeCell ref="A19:J19"/>
    <mergeCell ref="A20:J20"/>
    <mergeCell ref="K19:N19"/>
    <mergeCell ref="K20:N20"/>
    <mergeCell ref="O19:R19"/>
    <mergeCell ref="O20:R20"/>
    <mergeCell ref="A22:J22"/>
    <mergeCell ref="AB16:AZ16"/>
    <mergeCell ref="AA23:AZ23"/>
    <mergeCell ref="AB25:AZ25"/>
    <mergeCell ref="AB26:AL26"/>
    <mergeCell ref="AM26:AZ26"/>
    <mergeCell ref="A33:J33"/>
    <mergeCell ref="A63:Z63"/>
    <mergeCell ref="AA63:AZ63"/>
    <mergeCell ref="A11:AZ11"/>
    <mergeCell ref="A13:AZ13"/>
    <mergeCell ref="A14:AZ14"/>
    <mergeCell ref="A15:AZ15"/>
    <mergeCell ref="K16:V16"/>
    <mergeCell ref="O17:R17"/>
    <mergeCell ref="AB48:AD48"/>
    <mergeCell ref="AE48:AO48"/>
    <mergeCell ref="AS48:AZ48"/>
    <mergeCell ref="A37:AZ37"/>
    <mergeCell ref="A38:AZ38"/>
    <mergeCell ref="A39:AZ39"/>
    <mergeCell ref="A40:AZ40"/>
    <mergeCell ref="AM43:AZ43"/>
    <mergeCell ref="O44:R44"/>
    <mergeCell ref="S44:V44"/>
    <mergeCell ref="A23:J23"/>
    <mergeCell ref="A24:J24"/>
    <mergeCell ref="A25:J25"/>
    <mergeCell ref="A26:J26"/>
    <mergeCell ref="A35:J35"/>
    <mergeCell ref="K21:N21"/>
    <mergeCell ref="AG55:AZ55"/>
    <mergeCell ref="AB55:AF55"/>
    <mergeCell ref="W30:Z30"/>
    <mergeCell ref="W31:Z31"/>
    <mergeCell ref="W32:Z32"/>
    <mergeCell ref="W33:Z33"/>
    <mergeCell ref="W34:Z34"/>
    <mergeCell ref="AB36:AM36"/>
    <mergeCell ref="AN36:AR36"/>
    <mergeCell ref="W36:Z36"/>
    <mergeCell ref="W35:Z35"/>
    <mergeCell ref="AB53:AM53"/>
    <mergeCell ref="AN53:AR53"/>
    <mergeCell ref="AS53:AZ53"/>
    <mergeCell ref="AB54:AZ54"/>
    <mergeCell ref="AB47:AZ47"/>
    <mergeCell ref="AB27:AZ29"/>
    <mergeCell ref="AB30:AZ30"/>
    <mergeCell ref="W24:Z24"/>
    <mergeCell ref="AB31:AD31"/>
    <mergeCell ref="AE31:AO31"/>
    <mergeCell ref="AS31:AZ31"/>
    <mergeCell ref="AA24:AZ24"/>
    <mergeCell ref="AA32:AZ32"/>
    <mergeCell ref="AB33:AZ35"/>
    <mergeCell ref="AB21:AZ21"/>
    <mergeCell ref="AM17:AZ17"/>
    <mergeCell ref="AB22:AD22"/>
    <mergeCell ref="AS22:AZ22"/>
    <mergeCell ref="AE22:AO22"/>
    <mergeCell ref="AB44:AZ46"/>
    <mergeCell ref="A45:J45"/>
    <mergeCell ref="K45:N45"/>
    <mergeCell ref="O45:R45"/>
    <mergeCell ref="S45:V45"/>
    <mergeCell ref="W45:Z45"/>
    <mergeCell ref="A46:J46"/>
    <mergeCell ref="AS36:AZ36"/>
    <mergeCell ref="A41:AZ41"/>
    <mergeCell ref="A42:J44"/>
    <mergeCell ref="K42:V42"/>
    <mergeCell ref="W42:Z44"/>
    <mergeCell ref="AB42:AZ42"/>
    <mergeCell ref="K43:N44"/>
    <mergeCell ref="O43:R43"/>
    <mergeCell ref="S43:V43"/>
    <mergeCell ref="AB43:AL43"/>
    <mergeCell ref="K46:N46"/>
    <mergeCell ref="O46:R46"/>
    <mergeCell ref="S46:V46"/>
    <mergeCell ref="W46:Z46"/>
    <mergeCell ref="A47:J47"/>
    <mergeCell ref="K47:N47"/>
    <mergeCell ref="O47:R47"/>
    <mergeCell ref="S47:V47"/>
    <mergeCell ref="W47:Z47"/>
    <mergeCell ref="AA49:AZ49"/>
    <mergeCell ref="A50:J50"/>
    <mergeCell ref="K50:N50"/>
    <mergeCell ref="O50:R50"/>
    <mergeCell ref="S50:V50"/>
    <mergeCell ref="W50:Z50"/>
    <mergeCell ref="A48:J48"/>
    <mergeCell ref="K48:N48"/>
    <mergeCell ref="O48:R48"/>
    <mergeCell ref="S48:V48"/>
    <mergeCell ref="W48:Z48"/>
    <mergeCell ref="A49:J49"/>
    <mergeCell ref="K49:N49"/>
    <mergeCell ref="O49:R49"/>
    <mergeCell ref="S49:V49"/>
    <mergeCell ref="W49:Z49"/>
    <mergeCell ref="AB50:AZ52"/>
    <mergeCell ref="A52:J52"/>
    <mergeCell ref="K52:N52"/>
    <mergeCell ref="O52:R52"/>
    <mergeCell ref="S52:V52"/>
    <mergeCell ref="W52:Z52"/>
    <mergeCell ref="A51:J51"/>
    <mergeCell ref="K51:N51"/>
    <mergeCell ref="O51:R51"/>
    <mergeCell ref="S51:V51"/>
    <mergeCell ref="W51:Z51"/>
    <mergeCell ref="O55:R55"/>
    <mergeCell ref="S55:V55"/>
    <mergeCell ref="W55:Z55"/>
    <mergeCell ref="A56:J56"/>
    <mergeCell ref="K56:N56"/>
    <mergeCell ref="O56:R56"/>
    <mergeCell ref="S56:V56"/>
    <mergeCell ref="W56:Z56"/>
    <mergeCell ref="A53:J53"/>
    <mergeCell ref="K53:N53"/>
    <mergeCell ref="O53:R53"/>
    <mergeCell ref="S53:V53"/>
    <mergeCell ref="W53:Z53"/>
    <mergeCell ref="A54:J54"/>
    <mergeCell ref="K54:N54"/>
    <mergeCell ref="O54:R54"/>
    <mergeCell ref="S54:V54"/>
    <mergeCell ref="W54:Z54"/>
    <mergeCell ref="A55:J55"/>
    <mergeCell ref="K55:N55"/>
    <mergeCell ref="A62:J62"/>
    <mergeCell ref="K62:N62"/>
    <mergeCell ref="O62:R62"/>
    <mergeCell ref="S62:V62"/>
    <mergeCell ref="W62:Z62"/>
    <mergeCell ref="AB62:AZ62"/>
    <mergeCell ref="S61:V61"/>
    <mergeCell ref="W61:Z61"/>
    <mergeCell ref="A59:J59"/>
    <mergeCell ref="K59:N59"/>
    <mergeCell ref="O59:R59"/>
    <mergeCell ref="S59:V59"/>
    <mergeCell ref="W59:Z59"/>
    <mergeCell ref="A60:J60"/>
    <mergeCell ref="K60:N60"/>
    <mergeCell ref="O60:R60"/>
    <mergeCell ref="S60:V60"/>
    <mergeCell ref="AB59:AZ59"/>
    <mergeCell ref="AB60:AZ60"/>
    <mergeCell ref="AB61:AZ61"/>
    <mergeCell ref="W60:Z60"/>
    <mergeCell ref="A61:J61"/>
    <mergeCell ref="K61:N61"/>
    <mergeCell ref="AB57:AZ57"/>
    <mergeCell ref="O61:R61"/>
    <mergeCell ref="A58:J58"/>
    <mergeCell ref="K58:N58"/>
    <mergeCell ref="O58:R58"/>
    <mergeCell ref="S58:V58"/>
    <mergeCell ref="AB56:AZ56"/>
    <mergeCell ref="W58:Z58"/>
    <mergeCell ref="A57:J57"/>
    <mergeCell ref="K57:N57"/>
    <mergeCell ref="O57:R57"/>
    <mergeCell ref="S57:V57"/>
    <mergeCell ref="W57:Z57"/>
    <mergeCell ref="AB58:AZ58"/>
  </mergeCells>
  <conditionalFormatting sqref="AK1:AZ2 M6 X7 K9 D7 AM26 AM43 AE31 AE22 AE48 AS36 AS53 AM17">
    <cfRule type="containsBlanks" dxfId="129" priority="7" stopIfTrue="1">
      <formula>LEN(TRIM(D1))=0</formula>
    </cfRule>
  </conditionalFormatting>
  <conditionalFormatting sqref="AK9:AZ9 AS22:AZ22 AS31:AZ31 AS48:AZ48">
    <cfRule type="containsBlanks" dxfId="128" priority="1" stopIfTrue="1">
      <formula>LEN(TRIM(AK9))=0</formula>
    </cfRule>
  </conditionalFormatting>
  <pageMargins left="0.75" right="0" top="0.25" bottom="0.25" header="0" footer="0"/>
  <pageSetup fitToWidth="0" fitToHeight="0" orientation="portrait" r:id="rId1"/>
  <headerFooter>
    <oddFooter>&amp;C&amp;06 &amp;P &amp;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pageSetUpPr fitToPage="1"/>
  </sheetPr>
  <dimension ref="A1:EB69"/>
  <sheetViews>
    <sheetView topLeftCell="A35" zoomScaleNormal="100" workbookViewId="0">
      <selection activeCell="X63" sqref="X63"/>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5" t="s">
        <v>280</v>
      </c>
      <c r="BM1" s="155"/>
      <c r="BN1" s="155"/>
      <c r="BO1" s="155"/>
      <c r="BP1" s="155"/>
      <c r="BQ1" s="90" t="s">
        <v>0</v>
      </c>
      <c r="BR1" s="155" t="str">
        <f>IF('Data Entry'!N28="","",'Data Entry'!N28)</f>
        <v/>
      </c>
      <c r="BS1" s="155"/>
      <c r="BT1" s="155"/>
      <c r="BU1" s="155"/>
      <c r="BV1" s="155"/>
      <c r="BW1" s="155"/>
      <c r="BX1" s="155"/>
      <c r="BY1" s="155"/>
      <c r="BZ1" s="155"/>
      <c r="CA1" s="155"/>
      <c r="CB1" s="155"/>
      <c r="CC1" s="155"/>
      <c r="CD1" s="155"/>
      <c r="CE1" s="155"/>
      <c r="CF1" s="155"/>
      <c r="CG1" s="155"/>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164" t="s">
        <v>537</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55" t="s">
        <v>281</v>
      </c>
      <c r="BM2" s="155"/>
      <c r="BN2" s="155"/>
      <c r="BO2" s="155"/>
      <c r="BP2" s="155"/>
      <c r="BQ2" s="90" t="s">
        <v>0</v>
      </c>
      <c r="BR2" s="155" t="str">
        <f>IF('Data Entry'!N39="","",'Data Entry'!N39)</f>
        <v>SC17124</v>
      </c>
      <c r="BS2" s="155"/>
      <c r="BT2" s="155"/>
      <c r="BU2" s="155"/>
      <c r="BV2" s="155"/>
      <c r="BW2" s="155"/>
      <c r="BX2" s="155"/>
      <c r="BY2" s="155"/>
      <c r="BZ2" s="155"/>
      <c r="CA2" s="155"/>
      <c r="CB2" s="155"/>
      <c r="CC2" s="155"/>
      <c r="CD2" s="155"/>
      <c r="CE2" s="155"/>
      <c r="CF2" s="155"/>
      <c r="CG2" s="155"/>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14" t="str">
        <f>IF('Data Entry'!N10="","",'Data Entry'!N10)</f>
        <v/>
      </c>
      <c r="Z4" s="314"/>
      <c r="AA4" s="314"/>
      <c r="AB4" s="314"/>
      <c r="AC4" s="314"/>
      <c r="AD4" s="314"/>
      <c r="AE4" s="155" t="s">
        <v>25</v>
      </c>
      <c r="AF4" s="155"/>
      <c r="AG4" s="155"/>
      <c r="AH4" s="90" t="s">
        <v>0</v>
      </c>
      <c r="AI4" s="155" t="str">
        <f>IF('Data Entry'!N14="","",'Data Entry'!N14)</f>
        <v/>
      </c>
      <c r="AJ4" s="155"/>
      <c r="AK4" s="155"/>
      <c r="AL4" s="155"/>
      <c r="AM4" s="155"/>
      <c r="AN4" s="155"/>
      <c r="AO4" s="155"/>
      <c r="AP4" s="155"/>
      <c r="AQ4" s="155" t="s">
        <v>421</v>
      </c>
      <c r="AR4" s="155"/>
      <c r="AS4" s="155"/>
      <c r="AT4" s="155"/>
      <c r="AU4" s="155"/>
      <c r="AV4" s="155"/>
      <c r="AW4" s="155"/>
      <c r="AX4" s="155"/>
      <c r="AY4" s="155"/>
      <c r="AZ4" s="155"/>
      <c r="BA4" s="90" t="s">
        <v>0</v>
      </c>
      <c r="BB4" s="155" t="s">
        <v>549</v>
      </c>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t="s">
        <v>551</v>
      </c>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Entry'!N12="","",'Data Entry'!N12)</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14">
        <v>37587</v>
      </c>
      <c r="BC5" s="314"/>
      <c r="BD5" s="314"/>
      <c r="BE5" s="314"/>
      <c r="BF5" s="314"/>
      <c r="BG5" s="314"/>
      <c r="BH5" s="314"/>
      <c r="BI5" s="314"/>
      <c r="BJ5" s="314"/>
      <c r="BK5" s="314"/>
      <c r="BL5" s="314"/>
      <c r="BM5" s="155" t="s">
        <v>424</v>
      </c>
      <c r="BN5" s="155"/>
      <c r="BO5" s="155"/>
      <c r="BP5" s="155"/>
      <c r="BQ5" s="155"/>
      <c r="BR5" s="155"/>
      <c r="BS5" s="155"/>
      <c r="BT5" s="155"/>
      <c r="BU5" s="155"/>
      <c r="BV5" s="155"/>
      <c r="BW5" s="90" t="s">
        <v>0</v>
      </c>
      <c r="BX5" s="155" t="s">
        <v>550</v>
      </c>
      <c r="BY5" s="155"/>
      <c r="BZ5" s="155"/>
      <c r="CA5" s="155"/>
      <c r="CB5" s="155"/>
      <c r="CC5" s="155"/>
      <c r="CD5" s="155"/>
      <c r="CE5" s="155"/>
      <c r="CF5" s="155"/>
      <c r="CG5" s="155"/>
    </row>
    <row r="6" spans="1:132" ht="11.45" customHeight="1" thickBot="1" x14ac:dyDescent="0.25">
      <c r="A6" s="381"/>
      <c r="B6" s="381"/>
      <c r="C6" s="381"/>
      <c r="D6" s="381"/>
      <c r="E6" s="381"/>
      <c r="F6" s="381"/>
      <c r="G6" s="381"/>
      <c r="H6" s="381"/>
      <c r="I6" s="381"/>
      <c r="J6" s="381"/>
      <c r="K6" s="381"/>
      <c r="L6" s="381"/>
      <c r="M6" s="381"/>
      <c r="N6" s="381"/>
      <c r="O6" s="381"/>
      <c r="P6" s="381"/>
      <c r="Q6" s="381"/>
      <c r="R6" s="381"/>
      <c r="S6" s="381"/>
      <c r="T6" s="381"/>
      <c r="U6" s="381"/>
      <c r="V6" s="381"/>
      <c r="W6" s="381"/>
      <c r="X6" s="381"/>
      <c r="Y6" s="381"/>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1"/>
      <c r="BR6" s="381"/>
      <c r="BS6" s="381"/>
      <c r="BT6" s="381"/>
      <c r="BU6" s="381"/>
      <c r="BV6" s="381"/>
      <c r="BW6" s="381"/>
      <c r="BX6" s="381"/>
      <c r="BY6" s="381"/>
      <c r="BZ6" s="381"/>
      <c r="CA6" s="381"/>
      <c r="CB6" s="381"/>
      <c r="CC6" s="381"/>
      <c r="CD6" s="381"/>
      <c r="CE6" s="381"/>
      <c r="CF6" s="381"/>
      <c r="CG6" s="381"/>
    </row>
    <row r="7" spans="1:132" ht="11.45" customHeight="1" x14ac:dyDescent="0.2">
      <c r="A7" s="336" t="s">
        <v>3</v>
      </c>
      <c r="B7" s="336"/>
      <c r="C7" s="336"/>
      <c r="D7" s="336"/>
      <c r="E7" s="336"/>
      <c r="F7" s="336"/>
      <c r="G7" s="336"/>
      <c r="H7" s="336"/>
      <c r="I7" s="336"/>
      <c r="J7" s="336"/>
      <c r="K7" s="336"/>
      <c r="L7" s="336"/>
      <c r="M7" s="336"/>
      <c r="N7" s="336"/>
      <c r="O7" s="336"/>
      <c r="P7" s="336"/>
      <c r="Q7" s="336"/>
      <c r="R7" s="336"/>
      <c r="S7" s="336"/>
      <c r="T7" s="336"/>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336"/>
      <c r="BB7" s="336"/>
      <c r="BC7" s="336"/>
      <c r="BD7" s="336"/>
      <c r="BE7" s="336"/>
      <c r="BF7" s="336"/>
      <c r="BG7" s="336"/>
      <c r="BH7" s="336"/>
      <c r="BI7" s="336"/>
      <c r="BJ7" s="336"/>
      <c r="BK7" s="336"/>
      <c r="BL7" s="336"/>
      <c r="BM7" s="336"/>
      <c r="BN7" s="336"/>
      <c r="BO7" s="336"/>
      <c r="BP7" s="336"/>
      <c r="BQ7" s="336"/>
      <c r="BR7" s="336"/>
      <c r="BS7" s="336"/>
      <c r="BT7" s="336"/>
      <c r="BU7" s="336"/>
      <c r="BV7" s="336"/>
      <c r="BW7" s="336"/>
      <c r="BX7" s="336"/>
      <c r="BY7" s="336"/>
      <c r="BZ7" s="336"/>
      <c r="CA7" s="336"/>
      <c r="CB7" s="336"/>
      <c r="CC7" s="336"/>
      <c r="CD7" s="336"/>
      <c r="CE7" s="336"/>
      <c r="CF7" s="336"/>
      <c r="CG7" s="336"/>
      <c r="CI7" s="323" t="s">
        <v>169</v>
      </c>
      <c r="CJ7" s="324"/>
      <c r="CK7" s="324"/>
      <c r="CL7" s="325"/>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367"/>
      <c r="AC8" s="195" t="s">
        <v>515</v>
      </c>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367"/>
      <c r="BC8" s="195" t="s">
        <v>348</v>
      </c>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I8" s="326"/>
      <c r="CJ8" s="327"/>
      <c r="CK8" s="327"/>
      <c r="CL8" s="328"/>
      <c r="CN8" s="107" t="s">
        <v>192</v>
      </c>
    </row>
    <row r="9" spans="1:132" ht="11.45" customHeight="1" x14ac:dyDescent="0.2">
      <c r="A9" s="155" t="s">
        <v>4</v>
      </c>
      <c r="B9" s="155"/>
      <c r="C9" s="155"/>
      <c r="D9" s="155"/>
      <c r="E9" s="155"/>
      <c r="F9" s="155"/>
      <c r="G9" s="155"/>
      <c r="H9" s="155"/>
      <c r="I9" s="155"/>
      <c r="J9" s="155"/>
      <c r="K9" s="91" t="s">
        <v>0</v>
      </c>
      <c r="L9" s="182" t="s">
        <v>552</v>
      </c>
      <c r="M9" s="182"/>
      <c r="N9" s="182"/>
      <c r="O9" s="182"/>
      <c r="P9" s="182"/>
      <c r="Q9" s="182"/>
      <c r="R9" s="182"/>
      <c r="S9" s="182"/>
      <c r="T9" s="182"/>
      <c r="U9" s="182"/>
      <c r="V9" s="182"/>
      <c r="W9" s="182"/>
      <c r="X9" s="182"/>
      <c r="Y9" s="182"/>
      <c r="Z9" s="182"/>
      <c r="AA9" s="182"/>
      <c r="AB9" s="182"/>
      <c r="AC9" s="330" t="s">
        <v>189</v>
      </c>
      <c r="AD9" s="155"/>
      <c r="AE9" s="155"/>
      <c r="AF9" s="155"/>
      <c r="AG9" s="155"/>
      <c r="AH9" s="155"/>
      <c r="AI9" s="155"/>
      <c r="AJ9" s="155"/>
      <c r="AK9" s="155"/>
      <c r="AL9" s="155"/>
      <c r="AM9" s="155"/>
      <c r="AN9" s="155"/>
      <c r="AO9" s="155"/>
      <c r="AP9" s="91" t="s">
        <v>0</v>
      </c>
      <c r="AQ9" s="364">
        <v>36</v>
      </c>
      <c r="AR9" s="364"/>
      <c r="AS9" s="364"/>
      <c r="AT9" s="364"/>
      <c r="AU9" s="364"/>
      <c r="AV9" s="364"/>
      <c r="AW9" s="364"/>
      <c r="AX9" s="364"/>
      <c r="AY9" s="155" t="s">
        <v>173</v>
      </c>
      <c r="AZ9" s="155"/>
      <c r="BA9" s="155"/>
      <c r="BB9" s="366"/>
      <c r="BC9" s="330" t="s">
        <v>231</v>
      </c>
      <c r="BD9" s="155"/>
      <c r="BE9" s="155"/>
      <c r="BF9" s="155"/>
      <c r="BG9" s="155"/>
      <c r="BH9" s="155"/>
      <c r="BI9" s="155"/>
      <c r="BJ9" s="155"/>
      <c r="BK9" s="155"/>
      <c r="BL9" s="155"/>
      <c r="BM9" s="155"/>
      <c r="BN9" s="155"/>
      <c r="BO9" s="155"/>
      <c r="BP9" s="155"/>
      <c r="BQ9" s="91" t="s">
        <v>0</v>
      </c>
      <c r="BR9" s="335">
        <f>IF(OR(BX30="",BX49=""),"",ABS(ROUND(BX30-BX49,3)))</f>
        <v>400.10500000000002</v>
      </c>
      <c r="BS9" s="335"/>
      <c r="BT9" s="335"/>
      <c r="BU9" s="335"/>
      <c r="BV9" s="335"/>
      <c r="BW9" s="335"/>
      <c r="BX9" s="335"/>
      <c r="BY9" s="335"/>
      <c r="BZ9" s="155" t="s">
        <v>173</v>
      </c>
      <c r="CA9" s="155"/>
      <c r="CB9" s="155"/>
      <c r="CC9" s="155"/>
      <c r="CD9" s="155"/>
      <c r="CE9" s="155"/>
      <c r="CF9" s="155"/>
      <c r="CG9" s="155"/>
      <c r="CI9" s="329" t="s">
        <v>168</v>
      </c>
      <c r="CJ9" s="159"/>
      <c r="CK9" s="20">
        <f>((AP32+BB32)-(AP13+BB13))*24</f>
        <v>6.0833333334303461</v>
      </c>
      <c r="CL9" s="21" t="s">
        <v>172</v>
      </c>
      <c r="CN9" s="2" t="s">
        <v>193</v>
      </c>
    </row>
    <row r="10" spans="1:132" ht="11.45" customHeight="1" x14ac:dyDescent="0.2">
      <c r="A10" s="155" t="s">
        <v>26</v>
      </c>
      <c r="B10" s="155"/>
      <c r="C10" s="155"/>
      <c r="D10" s="155"/>
      <c r="E10" s="155"/>
      <c r="F10" s="155"/>
      <c r="G10" s="155"/>
      <c r="H10" s="155"/>
      <c r="I10" s="155"/>
      <c r="J10" s="155"/>
      <c r="K10" s="91" t="s">
        <v>0</v>
      </c>
      <c r="L10" s="236">
        <v>44719</v>
      </c>
      <c r="M10" s="236"/>
      <c r="N10" s="236"/>
      <c r="O10" s="236"/>
      <c r="P10" s="236"/>
      <c r="Q10" s="236"/>
      <c r="R10" s="236"/>
      <c r="S10" s="315" t="s">
        <v>16</v>
      </c>
      <c r="T10" s="315"/>
      <c r="U10" s="315"/>
      <c r="V10" s="91" t="s">
        <v>0</v>
      </c>
      <c r="W10" s="156" t="s">
        <v>576</v>
      </c>
      <c r="X10" s="156"/>
      <c r="Y10" s="156"/>
      <c r="Z10" s="156"/>
      <c r="AA10" s="156"/>
      <c r="AB10" s="156"/>
      <c r="AC10" s="330" t="s">
        <v>190</v>
      </c>
      <c r="AD10" s="155"/>
      <c r="AE10" s="155"/>
      <c r="AF10" s="155"/>
      <c r="AG10" s="155"/>
      <c r="AH10" s="155"/>
      <c r="AI10" s="155"/>
      <c r="AJ10" s="155"/>
      <c r="AK10" s="155"/>
      <c r="AL10" s="155"/>
      <c r="AM10" s="155"/>
      <c r="AN10" s="155"/>
      <c r="AO10" s="155"/>
      <c r="AP10" s="91" t="s">
        <v>0</v>
      </c>
      <c r="AQ10" s="364">
        <v>6</v>
      </c>
      <c r="AR10" s="364"/>
      <c r="AS10" s="364"/>
      <c r="AT10" s="364"/>
      <c r="AU10" s="364"/>
      <c r="AV10" s="364"/>
      <c r="AW10" s="364"/>
      <c r="AX10" s="364"/>
      <c r="AY10" s="155" t="s">
        <v>173</v>
      </c>
      <c r="AZ10" s="155"/>
      <c r="BA10" s="155"/>
      <c r="BB10" s="366"/>
      <c r="BC10" s="330" t="s">
        <v>194</v>
      </c>
      <c r="BD10" s="155"/>
      <c r="BE10" s="155"/>
      <c r="BF10" s="155"/>
      <c r="BG10" s="155"/>
      <c r="BH10" s="155"/>
      <c r="BI10" s="155"/>
      <c r="BJ10" s="155"/>
      <c r="BK10" s="155"/>
      <c r="BL10" s="155"/>
      <c r="BM10" s="155"/>
      <c r="BN10" s="155"/>
      <c r="BO10" s="155"/>
      <c r="BP10" s="155"/>
      <c r="BQ10" s="91" t="s">
        <v>0</v>
      </c>
      <c r="BR10" s="364">
        <v>0</v>
      </c>
      <c r="BS10" s="364"/>
      <c r="BT10" s="364"/>
      <c r="BU10" s="364"/>
      <c r="BV10" s="364"/>
      <c r="BW10" s="364"/>
      <c r="BX10" s="364"/>
      <c r="BY10" s="364"/>
      <c r="BZ10" s="155" t="s">
        <v>173</v>
      </c>
      <c r="CA10" s="155"/>
      <c r="CB10" s="155"/>
      <c r="CC10" s="155"/>
      <c r="CD10" s="155"/>
      <c r="CE10" s="155"/>
      <c r="CF10" s="155"/>
      <c r="CG10" s="155"/>
      <c r="CI10" s="330" t="s">
        <v>178</v>
      </c>
      <c r="CJ10" s="155"/>
      <c r="CK10" s="22">
        <f>AQ11</f>
        <v>1.92</v>
      </c>
      <c r="CL10" s="7" t="s">
        <v>173</v>
      </c>
    </row>
    <row r="11" spans="1:132" ht="11.45" customHeight="1" x14ac:dyDescent="0.2">
      <c r="A11" s="155" t="s">
        <v>5</v>
      </c>
      <c r="B11" s="155"/>
      <c r="C11" s="155"/>
      <c r="D11" s="155"/>
      <c r="E11" s="155"/>
      <c r="F11" s="155"/>
      <c r="G11" s="155"/>
      <c r="H11" s="155"/>
      <c r="I11" s="155"/>
      <c r="J11" s="155"/>
      <c r="K11" s="155"/>
      <c r="L11" s="155"/>
      <c r="M11" s="155"/>
      <c r="N11" s="91" t="s">
        <v>0</v>
      </c>
      <c r="O11" s="364">
        <v>164.3</v>
      </c>
      <c r="P11" s="364"/>
      <c r="Q11" s="364"/>
      <c r="R11" s="364"/>
      <c r="S11" s="364"/>
      <c r="T11" s="364"/>
      <c r="U11" s="364"/>
      <c r="V11" s="364"/>
      <c r="W11" s="155" t="s">
        <v>173</v>
      </c>
      <c r="X11" s="155"/>
      <c r="Y11" s="155"/>
      <c r="Z11" s="155"/>
      <c r="AA11" s="155"/>
      <c r="AB11" s="366"/>
      <c r="AC11" s="330" t="s">
        <v>191</v>
      </c>
      <c r="AD11" s="155"/>
      <c r="AE11" s="155"/>
      <c r="AF11" s="155"/>
      <c r="AG11" s="155"/>
      <c r="AH11" s="155"/>
      <c r="AI11" s="155"/>
      <c r="AJ11" s="155"/>
      <c r="AK11" s="155"/>
      <c r="AL11" s="155"/>
      <c r="AM11" s="155"/>
      <c r="AN11" s="155"/>
      <c r="AO11" s="155"/>
      <c r="AP11" s="91" t="s">
        <v>0</v>
      </c>
      <c r="AQ11" s="364">
        <v>1.92</v>
      </c>
      <c r="AR11" s="364"/>
      <c r="AS11" s="364"/>
      <c r="AT11" s="364"/>
      <c r="AU11" s="364"/>
      <c r="AV11" s="364"/>
      <c r="AW11" s="364"/>
      <c r="AX11" s="364"/>
      <c r="AY11" s="155" t="s">
        <v>173</v>
      </c>
      <c r="AZ11" s="155"/>
      <c r="BA11" s="155"/>
      <c r="BB11" s="366"/>
      <c r="BC11" s="330" t="s">
        <v>195</v>
      </c>
      <c r="BD11" s="155"/>
      <c r="BE11" s="155"/>
      <c r="BF11" s="155"/>
      <c r="BG11" s="155"/>
      <c r="BH11" s="155"/>
      <c r="BI11" s="155"/>
      <c r="BJ11" s="155"/>
      <c r="BK11" s="155"/>
      <c r="BL11" s="155"/>
      <c r="BM11" s="155"/>
      <c r="BN11" s="155"/>
      <c r="BO11" s="155"/>
      <c r="BP11" s="155"/>
      <c r="BQ11" s="91" t="s">
        <v>0</v>
      </c>
      <c r="BR11" s="382">
        <f>IF(OR(BR9="",BR10=""),"",ROUND(BR9+BR10,3))</f>
        <v>400.10500000000002</v>
      </c>
      <c r="BS11" s="383"/>
      <c r="BT11" s="383"/>
      <c r="BU11" s="383"/>
      <c r="BV11" s="383"/>
      <c r="BW11" s="383"/>
      <c r="BX11" s="383"/>
      <c r="BY11" s="383"/>
      <c r="BZ11" s="155" t="s">
        <v>173</v>
      </c>
      <c r="CA11" s="155"/>
      <c r="CB11" s="155"/>
      <c r="CC11" s="155"/>
      <c r="CD11" s="155"/>
      <c r="CE11" s="155"/>
      <c r="CF11" s="155"/>
      <c r="CG11" s="155"/>
      <c r="CI11" s="331" t="s">
        <v>167</v>
      </c>
      <c r="CJ11" s="162"/>
      <c r="CK11" s="23">
        <f>CK10*(CK9/24)</f>
        <v>0.48666666667442765</v>
      </c>
      <c r="CL11" s="11" t="s">
        <v>173</v>
      </c>
    </row>
    <row r="12" spans="1:132" ht="11.45" customHeight="1" thickBot="1" x14ac:dyDescent="0.25">
      <c r="A12" s="363"/>
      <c r="B12" s="363"/>
      <c r="C12" s="363"/>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c r="AP12" s="363"/>
      <c r="AQ12" s="363"/>
      <c r="AR12" s="363"/>
      <c r="AS12" s="363"/>
      <c r="AT12" s="363"/>
      <c r="AU12" s="363"/>
      <c r="AV12" s="363"/>
      <c r="AW12" s="363"/>
      <c r="AX12" s="363"/>
      <c r="AY12" s="363"/>
      <c r="AZ12" s="363"/>
      <c r="BA12" s="363"/>
      <c r="BB12" s="363"/>
      <c r="BC12" s="363"/>
      <c r="BD12" s="363"/>
      <c r="BE12" s="363"/>
      <c r="BF12" s="363"/>
      <c r="BG12" s="363"/>
      <c r="BH12" s="363"/>
      <c r="BI12" s="363"/>
      <c r="BJ12" s="363"/>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N12" s="1" t="s">
        <v>224</v>
      </c>
      <c r="CO12" s="91"/>
    </row>
    <row r="13" spans="1:132" ht="11.45" customHeight="1" x14ac:dyDescent="0.2">
      <c r="A13" s="336" t="s">
        <v>27</v>
      </c>
      <c r="B13" s="336"/>
      <c r="C13" s="336"/>
      <c r="D13" s="336"/>
      <c r="E13" s="336"/>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6"/>
      <c r="AH13" s="336"/>
      <c r="AI13" s="336"/>
      <c r="AJ13" s="336"/>
      <c r="AK13" s="336"/>
      <c r="AL13" s="343" t="s">
        <v>2</v>
      </c>
      <c r="AM13" s="343"/>
      <c r="AN13" s="343"/>
      <c r="AO13" s="95" t="s">
        <v>0</v>
      </c>
      <c r="AP13" s="344">
        <f>'Time Log 1'!A22</f>
        <v>44720</v>
      </c>
      <c r="AQ13" s="344"/>
      <c r="AR13" s="344"/>
      <c r="AS13" s="344"/>
      <c r="AT13" s="344"/>
      <c r="AU13" s="344"/>
      <c r="AV13" s="344"/>
      <c r="AW13" s="344"/>
      <c r="AX13" s="343" t="s">
        <v>16</v>
      </c>
      <c r="AY13" s="343"/>
      <c r="AZ13" s="343"/>
      <c r="BA13" s="95" t="s">
        <v>0</v>
      </c>
      <c r="BB13" s="365">
        <f>'Time Log 1'!S22</f>
        <v>7.9861111111111105E-2</v>
      </c>
      <c r="BC13" s="365"/>
      <c r="BD13" s="365"/>
      <c r="BE13" s="365"/>
      <c r="BF13" s="365"/>
      <c r="BG13" s="365"/>
      <c r="BH13" s="365"/>
      <c r="BI13" s="365"/>
      <c r="BJ13" s="343" t="s">
        <v>425</v>
      </c>
      <c r="BK13" s="343"/>
      <c r="BL13" s="343"/>
      <c r="BM13" s="343"/>
      <c r="BN13" s="343"/>
      <c r="BO13" s="343"/>
      <c r="BP13" s="343"/>
      <c r="BQ13" s="95" t="s">
        <v>0</v>
      </c>
      <c r="BR13" s="343" t="s">
        <v>430</v>
      </c>
      <c r="BS13" s="343"/>
      <c r="BT13" s="343"/>
      <c r="BU13" s="343"/>
      <c r="BV13" s="343"/>
      <c r="BW13" s="343"/>
      <c r="BX13" s="343"/>
      <c r="BY13" s="343"/>
      <c r="BZ13" s="343"/>
      <c r="CA13" s="343"/>
      <c r="CB13" s="343"/>
      <c r="CC13" s="343"/>
      <c r="CD13" s="343"/>
      <c r="CE13" s="343"/>
      <c r="CF13" s="343"/>
      <c r="CG13" s="343"/>
      <c r="CN13" s="107" t="s">
        <v>93</v>
      </c>
      <c r="CO13" s="91"/>
      <c r="CP13" s="91"/>
      <c r="CQ13" s="91"/>
    </row>
    <row r="14" spans="1:132" ht="11.45" customHeight="1" x14ac:dyDescent="0.2">
      <c r="A14" s="155"/>
      <c r="B14" s="155"/>
      <c r="C14" s="155"/>
      <c r="D14" s="155"/>
      <c r="E14" s="155"/>
      <c r="F14" s="155"/>
      <c r="G14" s="155" t="s">
        <v>196</v>
      </c>
      <c r="H14" s="155"/>
      <c r="I14" s="155"/>
      <c r="J14" s="155"/>
      <c r="K14" s="155"/>
      <c r="L14" s="155"/>
      <c r="M14" s="90" t="s">
        <v>0</v>
      </c>
      <c r="N14" s="340">
        <v>5.8</v>
      </c>
      <c r="O14" s="340"/>
      <c r="P14" s="340"/>
      <c r="Q14" s="340"/>
      <c r="R14" s="340"/>
      <c r="S14" s="340"/>
      <c r="T14" s="340" t="s">
        <v>192</v>
      </c>
      <c r="U14" s="340"/>
      <c r="V14" s="340"/>
      <c r="W14" s="340"/>
      <c r="X14" s="350"/>
      <c r="Y14" s="350"/>
      <c r="Z14" s="350"/>
      <c r="AA14" s="350"/>
      <c r="AB14" s="350"/>
      <c r="AC14" s="350"/>
      <c r="AD14" s="352" t="s">
        <v>427</v>
      </c>
      <c r="AE14" s="352"/>
      <c r="AF14" s="352"/>
      <c r="AG14" s="90" t="s">
        <v>0</v>
      </c>
      <c r="AH14" s="340">
        <f>IF(OR(N14="",N15=""),"",(N15-N14))</f>
        <v>1.4000000000000004</v>
      </c>
      <c r="AI14" s="340"/>
      <c r="AJ14" s="340"/>
      <c r="AK14" s="340"/>
      <c r="AL14" s="340"/>
      <c r="AM14" s="342" t="str">
        <f>T14</f>
        <v xml:space="preserve"> M</v>
      </c>
      <c r="AN14" s="342"/>
      <c r="AO14" s="342"/>
      <c r="AP14" s="342"/>
      <c r="AQ14" s="155"/>
      <c r="AR14" s="155"/>
      <c r="AS14" s="155"/>
      <c r="AT14" s="155"/>
      <c r="AU14" s="155"/>
      <c r="AV14" s="155"/>
      <c r="AW14" s="340" t="s">
        <v>434</v>
      </c>
      <c r="AX14" s="340"/>
      <c r="AY14" s="340"/>
      <c r="AZ14" s="340"/>
      <c r="BA14" s="340"/>
      <c r="BB14" s="340"/>
      <c r="BC14" s="340"/>
      <c r="BD14" s="340"/>
      <c r="BE14" s="340"/>
      <c r="BF14" s="340"/>
      <c r="BG14" s="340"/>
      <c r="BH14" s="340"/>
      <c r="BI14" s="340"/>
      <c r="BJ14" s="340"/>
      <c r="BK14" s="340"/>
      <c r="BL14" s="340"/>
      <c r="BM14" s="103" t="s">
        <v>0</v>
      </c>
      <c r="BN14" s="155" t="s">
        <v>93</v>
      </c>
      <c r="BO14" s="155"/>
      <c r="BP14" s="155"/>
      <c r="BQ14" s="155"/>
      <c r="BR14" s="155"/>
      <c r="BS14" s="155"/>
      <c r="BT14" s="155"/>
      <c r="BU14" s="155"/>
      <c r="BV14" s="155"/>
      <c r="BW14" s="155"/>
      <c r="BX14" s="155"/>
      <c r="BY14" s="155"/>
      <c r="BZ14" s="155"/>
      <c r="CA14" s="155"/>
      <c r="CB14" s="155"/>
      <c r="CC14" s="155"/>
      <c r="CD14" s="155"/>
      <c r="CE14" s="155"/>
      <c r="CF14" s="155"/>
      <c r="CG14" s="155"/>
      <c r="CN14" s="2" t="s">
        <v>94</v>
      </c>
      <c r="CZ14" s="91"/>
      <c r="DA14" s="91"/>
      <c r="DB14" s="91"/>
      <c r="DC14" s="91"/>
      <c r="DD14" s="91"/>
    </row>
    <row r="15" spans="1:132" ht="11.45" customHeight="1" x14ac:dyDescent="0.2">
      <c r="A15" s="162"/>
      <c r="B15" s="162"/>
      <c r="C15" s="162"/>
      <c r="D15" s="162"/>
      <c r="E15" s="162"/>
      <c r="F15" s="162"/>
      <c r="G15" s="162" t="s">
        <v>426</v>
      </c>
      <c r="H15" s="162"/>
      <c r="I15" s="162"/>
      <c r="J15" s="162"/>
      <c r="K15" s="162"/>
      <c r="L15" s="162"/>
      <c r="M15" s="90" t="s">
        <v>0</v>
      </c>
      <c r="N15" s="355">
        <v>7.2</v>
      </c>
      <c r="O15" s="355"/>
      <c r="P15" s="355"/>
      <c r="Q15" s="355"/>
      <c r="R15" s="355"/>
      <c r="S15" s="355"/>
      <c r="T15" s="358" t="str">
        <f>T14</f>
        <v xml:space="preserve"> M</v>
      </c>
      <c r="U15" s="358"/>
      <c r="V15" s="358"/>
      <c r="W15" s="358"/>
      <c r="X15" s="351"/>
      <c r="Y15" s="351"/>
      <c r="Z15" s="351"/>
      <c r="AA15" s="351"/>
      <c r="AB15" s="351"/>
      <c r="AC15" s="351"/>
      <c r="AD15" s="353" t="s">
        <v>428</v>
      </c>
      <c r="AE15" s="353"/>
      <c r="AF15" s="353"/>
      <c r="AG15" s="90" t="s">
        <v>0</v>
      </c>
      <c r="AH15" s="162">
        <v>0</v>
      </c>
      <c r="AI15" s="162"/>
      <c r="AJ15" s="162"/>
      <c r="AK15" s="162"/>
      <c r="AL15" s="162"/>
      <c r="AM15" s="162" t="s">
        <v>433</v>
      </c>
      <c r="AN15" s="162"/>
      <c r="AO15" s="162"/>
      <c r="AP15" s="162"/>
      <c r="AQ15" s="162"/>
      <c r="AR15" s="162"/>
      <c r="AS15" s="162"/>
      <c r="AT15" s="162"/>
      <c r="AU15" s="162"/>
      <c r="AV15" s="162"/>
      <c r="AW15" s="355" t="s">
        <v>435</v>
      </c>
      <c r="AX15" s="355"/>
      <c r="AY15" s="355"/>
      <c r="AZ15" s="355"/>
      <c r="BA15" s="355"/>
      <c r="BB15" s="355"/>
      <c r="BC15" s="355"/>
      <c r="BD15" s="355"/>
      <c r="BE15" s="355"/>
      <c r="BF15" s="355"/>
      <c r="BG15" s="355"/>
      <c r="BH15" s="355"/>
      <c r="BI15" s="355"/>
      <c r="BJ15" s="355"/>
      <c r="BK15" s="355"/>
      <c r="BL15" s="355"/>
      <c r="BM15" s="103" t="s">
        <v>0</v>
      </c>
      <c r="BN15" s="162" t="s">
        <v>94</v>
      </c>
      <c r="BO15" s="162"/>
      <c r="BP15" s="162"/>
      <c r="BQ15" s="162"/>
      <c r="BR15" s="162"/>
      <c r="BS15" s="162"/>
      <c r="BT15" s="162"/>
      <c r="BU15" s="162"/>
      <c r="BV15" s="162"/>
      <c r="BW15" s="162"/>
      <c r="BX15" s="162"/>
      <c r="BY15" s="162"/>
      <c r="BZ15" s="162"/>
      <c r="CA15" s="162"/>
      <c r="CB15" s="162"/>
      <c r="CC15" s="162"/>
      <c r="CD15" s="162"/>
      <c r="CE15" s="162"/>
      <c r="CF15" s="162"/>
      <c r="CG15" s="162"/>
    </row>
    <row r="16" spans="1:132" ht="11.45" customHeight="1" x14ac:dyDescent="0.2">
      <c r="A16" s="359" t="s">
        <v>7</v>
      </c>
      <c r="B16" s="360"/>
      <c r="C16" s="360"/>
      <c r="D16" s="360"/>
      <c r="E16" s="360"/>
      <c r="F16" s="360"/>
      <c r="G16" s="360"/>
      <c r="H16" s="388"/>
      <c r="I16" s="329" t="s">
        <v>197</v>
      </c>
      <c r="J16" s="376"/>
      <c r="K16" s="376"/>
      <c r="L16" s="376"/>
      <c r="M16" s="376"/>
      <c r="N16" s="376"/>
      <c r="O16" s="377"/>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378"/>
      <c r="J17" s="379"/>
      <c r="K17" s="379"/>
      <c r="L17" s="379"/>
      <c r="M17" s="379"/>
      <c r="N17" s="379"/>
      <c r="O17" s="380"/>
      <c r="P17" s="333" t="str">
        <f>IF(P16=$CN$18,"@ 60°F",IF(P16=$CN$19,"@ 60/60°F","@ 15°C"))</f>
        <v>@ 15°C</v>
      </c>
      <c r="Q17" s="209"/>
      <c r="R17" s="209"/>
      <c r="S17" s="209"/>
      <c r="T17" s="334"/>
      <c r="U17" s="347" t="s">
        <v>459</v>
      </c>
      <c r="V17" s="348"/>
      <c r="W17" s="348"/>
      <c r="X17" s="348"/>
      <c r="Y17" s="349"/>
      <c r="Z17" s="347" t="s">
        <v>226</v>
      </c>
      <c r="AA17" s="348"/>
      <c r="AB17" s="348"/>
      <c r="AC17" s="348"/>
      <c r="AD17" s="349"/>
      <c r="AE17" s="333" t="str">
        <f>Z17</f>
        <v>INNAGE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t="s">
        <v>553</v>
      </c>
      <c r="B18" s="317"/>
      <c r="C18" s="317"/>
      <c r="D18" s="317"/>
      <c r="E18" s="317"/>
      <c r="F18" s="317"/>
      <c r="G18" s="317"/>
      <c r="H18" s="317"/>
      <c r="I18" s="345" t="s">
        <v>544</v>
      </c>
      <c r="J18" s="345"/>
      <c r="K18" s="345"/>
      <c r="L18" s="345"/>
      <c r="M18" s="345"/>
      <c r="N18" s="345"/>
      <c r="O18" s="345"/>
      <c r="P18" s="313">
        <v>0.86950000000000005</v>
      </c>
      <c r="Q18" s="313"/>
      <c r="R18" s="313"/>
      <c r="S18" s="313"/>
      <c r="T18" s="313"/>
      <c r="U18" s="308">
        <v>15.26</v>
      </c>
      <c r="V18" s="308"/>
      <c r="W18" s="308"/>
      <c r="X18" s="308"/>
      <c r="Y18" s="308"/>
      <c r="Z18" s="308">
        <v>15.1</v>
      </c>
      <c r="AA18" s="308"/>
      <c r="AB18" s="308"/>
      <c r="AC18" s="309"/>
      <c r="AD18" s="308"/>
      <c r="AE18" s="308">
        <v>15.1</v>
      </c>
      <c r="AF18" s="308"/>
      <c r="AG18" s="308"/>
      <c r="AH18" s="309"/>
      <c r="AI18" s="308"/>
      <c r="AJ18" s="308">
        <v>0.72</v>
      </c>
      <c r="AK18" s="308"/>
      <c r="AL18" s="308"/>
      <c r="AM18" s="308"/>
      <c r="AN18" s="308"/>
      <c r="AO18" s="308">
        <v>0</v>
      </c>
      <c r="AP18" s="308"/>
      <c r="AQ18" s="308"/>
      <c r="AR18" s="308"/>
      <c r="AS18" s="308"/>
      <c r="AT18" s="308">
        <v>0</v>
      </c>
      <c r="AU18" s="308"/>
      <c r="AV18" s="308"/>
      <c r="AW18" s="308"/>
      <c r="AX18" s="308"/>
      <c r="AY18" s="312">
        <v>28</v>
      </c>
      <c r="AZ18" s="312"/>
      <c r="BA18" s="312"/>
      <c r="BB18" s="312"/>
      <c r="BC18" s="312"/>
      <c r="BD18" s="311">
        <f>IF(OR(AJ18="",AT18=""),"",AJ18-AT18)</f>
        <v>0.72</v>
      </c>
      <c r="BE18" s="311"/>
      <c r="BF18" s="311"/>
      <c r="BG18" s="311"/>
      <c r="BH18" s="311"/>
      <c r="BI18" s="310">
        <f t="shared" ref="BI18:BI29" si="0">IF(OR(AY18="",P18=""),"",IF($CN$53=1,DW18,IF($CN$53=2,DY18,IF($CN$53=3,EA18,IF($CN$53=4,DX18,IF($CN$53=5,DZ18,IF($CN$53=6,EB18)))))))</f>
        <v>0.98948000000000003</v>
      </c>
      <c r="BJ18" s="310"/>
      <c r="BK18" s="310"/>
      <c r="BL18" s="310"/>
      <c r="BM18" s="310"/>
      <c r="BN18" s="311">
        <f>IF(OR(BD18="",BI18=""),"",BD18*BI18)</f>
        <v>0.71242559999999999</v>
      </c>
      <c r="BO18" s="311"/>
      <c r="BP18" s="311"/>
      <c r="BQ18" s="311"/>
      <c r="BR18" s="311"/>
      <c r="BS18" s="332">
        <f t="shared" ref="BS18:BS29" si="1">IF(OR(BD18="",P18="",BI18=""),"",ROUND((DS18-0.0011),4))</f>
        <v>0.86839999999999995</v>
      </c>
      <c r="BT18" s="332"/>
      <c r="BU18" s="332"/>
      <c r="BV18" s="332"/>
      <c r="BW18" s="332"/>
      <c r="BX18" s="311">
        <f t="shared" ref="BX18:BX29" si="2">IF(OR(BD18="",P18="",BI18=""),"",IF($AJ$17=$CN$34,ROUND(BN18*BS18,3),ROUND(CS18*BI18*BS18,3)))</f>
        <v>0.61899999999999999</v>
      </c>
      <c r="BY18" s="311"/>
      <c r="BZ18" s="311"/>
      <c r="CA18" s="311"/>
      <c r="CB18" s="311"/>
      <c r="CC18" s="311">
        <f t="shared" ref="CC18:CC29" si="3">IF(OR(BD18="",P18="",BI18=""),"",IF($AJ$17=$CN$34,ROUND(BN18*DQ18,3),ROUND(CS18*BI18*DQ18,3)))</f>
        <v>0.61899999999999999</v>
      </c>
      <c r="CD18" s="311"/>
      <c r="CE18" s="311"/>
      <c r="CF18" s="311"/>
      <c r="CG18" s="311"/>
      <c r="CN18" s="107" t="s">
        <v>13</v>
      </c>
      <c r="CP18" s="107">
        <f t="shared" ref="CP18:CP29" si="4">IF(OR(AY18="",BD18=""),0,AY18*BD18)</f>
        <v>20.16</v>
      </c>
      <c r="CR18" s="28">
        <f t="shared" ref="CR18:CR29" si="5">IF($BD$17=$CN$35,BD18,(BD18*6.28981))</f>
        <v>4.5286631999999996</v>
      </c>
      <c r="CS18" s="29">
        <f t="shared" ref="CS18:CS29" si="6">IF($BD$17=$CN$34,BD18,(BD18/6.28981))</f>
        <v>0.72</v>
      </c>
      <c r="CU18" s="30">
        <f t="shared" ref="CU18:CU29" si="7">IF($AY$17=$CN$40,AY18,(AY18*1.8+32))</f>
        <v>82.4</v>
      </c>
      <c r="CV18" s="31">
        <f t="shared" ref="CV18:CV29" si="8">ROUND(CU18*2,0)/2</f>
        <v>82.5</v>
      </c>
      <c r="CW18" s="32">
        <f>ROUND(CU18,1)</f>
        <v>82.4</v>
      </c>
      <c r="CX18" s="33">
        <f>(1.8*((((CW18-32)/1.8)-((-0.148759+((-0.267408+((1.08076+((1.269056+((-4.089591+((-1.871251+((7.438081+(-3.536296*(((CW18-32)/1.8)/630)))*(((CW18-32)/1.8)/630)))*(((CW18-32)/1.8)/630)))*(((CW18-32)/1.8)/630)))*(((CW18-32)/1.8)/630)))*(((CW18-32)/1.8)/630)))*(((CW18-32)/1.8)/630)))*(((CW18-32)/1.8)/630)))))+32</f>
        <v>82.412673102275406</v>
      </c>
      <c r="CY18" s="26"/>
      <c r="CZ18" s="30">
        <f t="shared" ref="CZ18:CZ29" si="9">IF($AY$17=$CN$39,AY18,(AY18-32)/1.8)</f>
        <v>28</v>
      </c>
      <c r="DA18" s="28">
        <f t="shared" ref="DA18:DA29" si="10">ROUND(CZ18*4,0)/4</f>
        <v>28</v>
      </c>
      <c r="DB18" s="34">
        <f>ROUND(CZ18,1)</f>
        <v>28</v>
      </c>
      <c r="DC18" s="33">
        <f>DB18-((-0.148759+((-0.267408+((1.08076+((1.269056+((-4.089591+((-1.871251+((7.438081+(-3.536296*(DB18/630)))*(DB18/630)))*(DB18/630)))*(DB18/630)))*(DB18/630)))*(DB18/630)))*(DB18/630)))*(DB18/630))</f>
        <v>28.007040612375221</v>
      </c>
      <c r="DD18" s="35"/>
      <c r="DE18" s="30">
        <f t="shared" ref="DE18:DE29" si="11">IF($P$16=$CN$18,P18,(141.5/DK18)-131.5)</f>
        <v>31.157749806473078</v>
      </c>
      <c r="DF18" s="31">
        <f t="shared" ref="DF18:DF29" si="12">ROUND(DE18*2,0)/2</f>
        <v>31</v>
      </c>
      <c r="DG18" s="32">
        <f>ROUND(DE18,1)</f>
        <v>31.2</v>
      </c>
      <c r="DH18" s="33">
        <f>(141.5/(DG18+131.5))*999.016</f>
        <v>868.84304855562391</v>
      </c>
      <c r="DI18" s="33">
        <f>DH18*(1+((EXP(((0.01374979547/2)*(((103.872/DH18)+0.2701)*(1/DH18)))*(1+(0.8*((0.01374979547/2)*(((103.872/DH18)+0.2701)*(1/DH18))))))-1)/(1+(((0.01374979547/2)*(((103.872/DH18)+0.2701)*(1/DH18)))*(1+(1.6*((0.01374979547/2)*(((103.872/DH18)+0.2701)*(1/DH18)))))*(((2*103.872)+(0.2701+DH18))/(103.872+(0.2701*DH18)))))))</f>
        <v>868.84572735834206</v>
      </c>
      <c r="DK18" s="36">
        <f t="shared" ref="DK18:DK29" si="13">IF($P$16=$CN$19,P18,IF($P$16=$CN$18,141.5/(P18+131.5),DQ18*ROUND(EXP(-(186.9696/(((TRUNC(5*(DQ18*100)+0.5)/5)*0.01)*1000)^2+0.4862/(((TRUNC(5*(DQ18*100)+0.5)/5)*0.01)*1000))*(0.56)*(1+0.8*(186.9696/(((TRUNC(5*(DQ18*100)+0.5)/5)*0.01)*1000)^2+0.4862/(((TRUNC(5*(DQ18*100)+0.5)/5)*0.01)*1000))*0.56)),4)/0.999012))</f>
        <v>0.86992473563881123</v>
      </c>
      <c r="DL18" s="37">
        <f>ROUND(DK18*5,2)/5</f>
        <v>0.86999999999999988</v>
      </c>
      <c r="DM18" s="38">
        <f>ROUND(DK18,4)</f>
        <v>0.86990000000000001</v>
      </c>
      <c r="DN18" s="33">
        <f>DM18*999.016</f>
        <v>869.04401840000003</v>
      </c>
      <c r="DO18" s="33">
        <f>DN18*(1+((EXP(((0.01374979547/2)*(((103.872/DN18)+0.2701)*(1/DN18)))*(1+(0.8*((0.01374979547/2)*(((103.872/DN18)+0.2701)*(1/DN18))))))-1)/(1+(((0.01374979547/2)*(((103.872/DN18)+0.2701)*(1/DN18)))*(1+(1.6*((0.01374979547/2)*(((103.872/DN18)+0.2701)*(1/DN18)))))*(((2*103.872)+(0.2701+DN18))/(103.872+(0.2701*DN18)))))))</f>
        <v>869.04669701265391</v>
      </c>
      <c r="DQ18" s="36">
        <f t="shared" ref="DQ18:DQ29" si="14">IF($P$16=$CN$20,P18,DK18*0.999012*ROUND(EXP(-((103.872/((((TRUNC(5*(DK18*100)+0.5)/5)*0.01)*999.012)^2))+(0.2701/(((TRUNC(5*(DK18*100)+0.5)/5)*0.01)*999.012)))*(-1)*(1+(0.8*((103.872/((((TRUNC(5*(DK18*100)+0.5)/5)*0.01)*999.012)^2))+(0.2701/(((TRUNC(5*(DK18*100)+0.5)/5)*0.01)*999.012)))*(-1)))),4))</f>
        <v>0.86950000000000005</v>
      </c>
      <c r="DR18" s="39">
        <f>ROUND(DQ18*5,2)/5</f>
        <v>0.86999999999999988</v>
      </c>
      <c r="DS18" s="38">
        <f>ROUND(DQ18,4)</f>
        <v>0.86950000000000005</v>
      </c>
      <c r="DT18" s="33">
        <f>DS18*1000</f>
        <v>869.5</v>
      </c>
      <c r="DU18" s="33">
        <f>DT18*(1+((EXP(((0.01374979547/2)*(((186.9696/DT18)+0.4862)*(1/DT18)))*(1+(0.8*((0.01374979547/2)*(((186.9696/DT18)+0.4862)*(1/DT18))))))-1)/(1+(((0.01374979547/2)*(((186.9696/DT18)+0.4862)*(1/DT18)))*(1+(1.6*((0.01374979547/2)*(((186.9696/DT18)+0.4862)*(1/DT18)))))*(((2*186.9696)+(0.4862+DT18))/(186.9696+(0.4862*DT18)))))))</f>
        <v>869.5048208727801</v>
      </c>
      <c r="DW18" s="38">
        <f>ROUND(EXP(-((103.872/(((141.5/(DF18+131.5))*999.012)^2))+(0.2701/((141.5/(DF18+131.5))*999.012)))*(CV18-60)*(1+(0.8*((103.872/(((141.5/(DF18+131.5))*999.012)^2))+(0.2701/((141.5/(DF18+131.5))*999.012)))*(CV18-60)))),4)</f>
        <v>0.9899</v>
      </c>
      <c r="DX18" s="40">
        <f>ROUND(EXP(-(((103.872/DI18)+0.2701)*(1/DI18))*(CX18-60.0068749)*(1+(0.8*(((103.872/DI18)+0.2701)*(1/DI18))*((CX18-60.0068749)+0.01374979547)))),5)</f>
        <v>0.98992000000000002</v>
      </c>
      <c r="DY18" s="36">
        <f>ROUND(EXP(-((103.872/((DL18*999.012)^2))+(0.2701/(DL18*999.012)))*(CV18-60)*(1+(0.8*((103.872/((DL18*999.012)^2))+(0.2701/(DL18*999.012)))*(CV18-60)))),4)</f>
        <v>0.9899</v>
      </c>
      <c r="DZ18" s="40">
        <f>ROUND(EXP(-(((103.872/DO18)+0.2701)*(1/DO18))*(CX18-60.0068749)*(1+(0.8*(((103.872/DO18)+0.2701)*(1/DO18))*((CX18-60.0068749)+0.01374979547)))),5)</f>
        <v>0.98992999999999998</v>
      </c>
      <c r="EA18" s="36">
        <f>ROUND(EXP(-((186.9696/((DR18*1000)^2))+(0.4862/(DR18*1000)))*(DA18-15)*(1+(0.8*((186.9696/((DR18*1000)^2))+(0.4862/(DR18*1000)))*(DA18-15)))),4)</f>
        <v>0.98950000000000005</v>
      </c>
      <c r="EB18" s="40">
        <f>ROUND(EXP(-((((186.9696/DU18)+0.4862)*(1/DU18)))*(DC18-15.00367851)*(1+(0.8*((((186.9696/DU18)+0.4862)*(1/DU18)))*((DC18-15.00367851)+0.01374979547)))),5)</f>
        <v>0.98948000000000003</v>
      </c>
    </row>
    <row r="19" spans="1:132" ht="11.45" customHeight="1" x14ac:dyDescent="0.2">
      <c r="A19" s="317" t="s">
        <v>554</v>
      </c>
      <c r="B19" s="317"/>
      <c r="C19" s="317"/>
      <c r="D19" s="317"/>
      <c r="E19" s="317"/>
      <c r="F19" s="317"/>
      <c r="G19" s="317"/>
      <c r="H19" s="317"/>
      <c r="I19" s="345" t="s">
        <v>544</v>
      </c>
      <c r="J19" s="345"/>
      <c r="K19" s="345"/>
      <c r="L19" s="345"/>
      <c r="M19" s="345"/>
      <c r="N19" s="345"/>
      <c r="O19" s="345"/>
      <c r="P19" s="313">
        <v>0.86950000000000005</v>
      </c>
      <c r="Q19" s="313"/>
      <c r="R19" s="313"/>
      <c r="S19" s="313"/>
      <c r="T19" s="313"/>
      <c r="U19" s="308">
        <v>15.3</v>
      </c>
      <c r="V19" s="308"/>
      <c r="W19" s="308"/>
      <c r="X19" s="308"/>
      <c r="Y19" s="308"/>
      <c r="Z19" s="308">
        <v>15.29</v>
      </c>
      <c r="AA19" s="308"/>
      <c r="AB19" s="308"/>
      <c r="AC19" s="309"/>
      <c r="AD19" s="308"/>
      <c r="AE19" s="308">
        <v>15.29</v>
      </c>
      <c r="AF19" s="308"/>
      <c r="AG19" s="308"/>
      <c r="AH19" s="309"/>
      <c r="AI19" s="308"/>
      <c r="AJ19" s="308">
        <v>0.16</v>
      </c>
      <c r="AK19" s="308"/>
      <c r="AL19" s="308"/>
      <c r="AM19" s="308"/>
      <c r="AN19" s="308"/>
      <c r="AO19" s="308">
        <v>0</v>
      </c>
      <c r="AP19" s="308"/>
      <c r="AQ19" s="308"/>
      <c r="AR19" s="308"/>
      <c r="AS19" s="308"/>
      <c r="AT19" s="308">
        <v>0</v>
      </c>
      <c r="AU19" s="308"/>
      <c r="AV19" s="308"/>
      <c r="AW19" s="308"/>
      <c r="AX19" s="308"/>
      <c r="AY19" s="312">
        <v>26</v>
      </c>
      <c r="AZ19" s="312"/>
      <c r="BA19" s="312"/>
      <c r="BB19" s="312"/>
      <c r="BC19" s="312"/>
      <c r="BD19" s="311">
        <f t="shared" ref="BD19:BD29" si="15">IF(OR(AJ19="",AT19=""),"",AJ19-AT19)</f>
        <v>0.16</v>
      </c>
      <c r="BE19" s="311"/>
      <c r="BF19" s="311"/>
      <c r="BG19" s="311"/>
      <c r="BH19" s="311"/>
      <c r="BI19" s="310">
        <f t="shared" si="0"/>
        <v>0.99109999999999998</v>
      </c>
      <c r="BJ19" s="310"/>
      <c r="BK19" s="310"/>
      <c r="BL19" s="310"/>
      <c r="BM19" s="310"/>
      <c r="BN19" s="311">
        <f t="shared" ref="BN19:BN29" si="16">IF(OR(BD19="",BI19=""),"",BD19*BI19)</f>
        <v>0.15857599999999999</v>
      </c>
      <c r="BO19" s="311"/>
      <c r="BP19" s="311"/>
      <c r="BQ19" s="311"/>
      <c r="BR19" s="311"/>
      <c r="BS19" s="332">
        <f t="shared" si="1"/>
        <v>0.86839999999999995</v>
      </c>
      <c r="BT19" s="332"/>
      <c r="BU19" s="332"/>
      <c r="BV19" s="332"/>
      <c r="BW19" s="332"/>
      <c r="BX19" s="311">
        <f t="shared" si="2"/>
        <v>0.13800000000000001</v>
      </c>
      <c r="BY19" s="311"/>
      <c r="BZ19" s="311"/>
      <c r="CA19" s="311"/>
      <c r="CB19" s="311"/>
      <c r="CC19" s="311">
        <f t="shared" si="3"/>
        <v>0.13800000000000001</v>
      </c>
      <c r="CD19" s="311"/>
      <c r="CE19" s="311"/>
      <c r="CF19" s="311"/>
      <c r="CG19" s="311"/>
      <c r="CN19" s="87" t="s">
        <v>85</v>
      </c>
      <c r="CP19" s="87">
        <f t="shared" si="4"/>
        <v>4.16</v>
      </c>
      <c r="CR19" s="28">
        <f t="shared" si="5"/>
        <v>1.0063696</v>
      </c>
      <c r="CS19" s="29">
        <f t="shared" si="6"/>
        <v>0.16</v>
      </c>
      <c r="CU19" s="28">
        <f t="shared" si="7"/>
        <v>78.800000000000011</v>
      </c>
      <c r="CV19" s="31">
        <f t="shared" si="8"/>
        <v>79</v>
      </c>
      <c r="CW19" s="32">
        <f>ROUND(CU19,1)</f>
        <v>78.8</v>
      </c>
      <c r="CX19" s="32">
        <f t="shared" ref="CX19:CX29" si="17">(1.8*((((CW19-32)/1.8)-((-0.148759+((-0.267408+((1.08076+((1.269056+((-4.089591+((-1.871251+((7.438081+(-3.536296*(((CW19-32)/1.8)/630)))*(((CW19-32)/1.8)/630)))*(((CW19-32)/1.8)/630)))*(((CW19-32)/1.8)/630)))*(((CW19-32)/1.8)/630)))*(((CW19-32)/1.8)/630)))*(((CW19-32)/1.8)/630)))*(((CW19-32)/1.8)/630)))))+32</f>
        <v>78.81172800452606</v>
      </c>
      <c r="CY19" s="26"/>
      <c r="CZ19" s="28">
        <f t="shared" si="9"/>
        <v>26</v>
      </c>
      <c r="DA19" s="28">
        <f t="shared" si="10"/>
        <v>26</v>
      </c>
      <c r="DB19" s="34">
        <f>ROUND(CZ19,1)</f>
        <v>26</v>
      </c>
      <c r="DC19" s="32">
        <f t="shared" ref="DC19:DC29" si="18">DB19-((-0.148759+((-0.267408+((1.08076+((1.269056+((-4.089591+((-1.871251+((7.438081+(-3.536296*(DB19/630)))*(DB19/630)))*(DB19/630)))*(DB19/630)))*(DB19/630)))*(DB19/630)))*(DB19/630)))*(DB19/630))</f>
        <v>26.006515558070042</v>
      </c>
      <c r="DD19" s="35"/>
      <c r="DE19" s="28">
        <f t="shared" si="11"/>
        <v>31.157749806473078</v>
      </c>
      <c r="DF19" s="31">
        <f t="shared" si="12"/>
        <v>31</v>
      </c>
      <c r="DG19" s="32">
        <f>ROUND(DE19,1)</f>
        <v>31.2</v>
      </c>
      <c r="DH19" s="32">
        <f t="shared" ref="DH19:DH29" si="19">(141.5/(DG19+131.5))*999.016</f>
        <v>868.84304855562391</v>
      </c>
      <c r="DI19" s="32">
        <f t="shared" ref="DI19:DI29" si="20">DH19*(1+((EXP(((0.01374979547/2)*(((103.872/DH19)+0.2701)*(1/DH19)))*(1+(0.8*((0.01374979547/2)*(((103.872/DH19)+0.2701)*(1/DH19))))))-1)/(1+(((0.01374979547/2)*(((103.872/DH19)+0.2701)*(1/DH19)))*(1+(1.6*((0.01374979547/2)*(((103.872/DH19)+0.2701)*(1/DH19)))))*(((2*103.872)+(0.2701+DH19))/(103.872+(0.2701*DH19)))))))</f>
        <v>868.84572735834206</v>
      </c>
      <c r="DK19" s="38">
        <f t="shared" si="13"/>
        <v>0.86992473563881123</v>
      </c>
      <c r="DL19" s="41">
        <f>ROUND(DK19*5,2)/5</f>
        <v>0.86999999999999988</v>
      </c>
      <c r="DM19" s="38">
        <f>ROUND(DK19,4)</f>
        <v>0.86990000000000001</v>
      </c>
      <c r="DN19" s="32">
        <f t="shared" ref="DN19:DN29" si="21">DM19*999.016</f>
        <v>869.04401840000003</v>
      </c>
      <c r="DO19" s="32">
        <f>DN19*(1+((EXP(((0.01374979547/2)*(((103.872/DN19)+0.2701)*(1/DN19)))*(1+(0.8*((0.01374979547/2)*(((103.872/DN19)+0.2701)*(1/DN19))))))-1)/(1+(((0.01374979547/2)*(((103.872/DN19)+0.2701)*(1/DN19)))*(1+(1.6*((0.01374979547/2)*(((103.872/DN19)+0.2701)*(1/DN19)))))*(((2*103.872)+(0.2701+DN19))/(103.872+(0.2701*DN19)))))))</f>
        <v>869.04669701265391</v>
      </c>
      <c r="DQ19" s="38">
        <f t="shared" si="14"/>
        <v>0.86950000000000005</v>
      </c>
      <c r="DR19" s="29">
        <f>ROUND(DQ19*5,2)/5</f>
        <v>0.86999999999999988</v>
      </c>
      <c r="DS19" s="38">
        <f>ROUND(DQ19,4)</f>
        <v>0.86950000000000005</v>
      </c>
      <c r="DT19" s="32">
        <f t="shared" ref="DT19:DT29" si="22">DS19*1000</f>
        <v>869.5</v>
      </c>
      <c r="DU19" s="32">
        <f t="shared" ref="DU19:DU29" si="23">DT19*(1+((EXP(((0.01374979547/2)*(((186.9696/DT19)+0.4862)*(1/DT19)))*(1+(0.8*((0.01374979547/2)*(((186.9696/DT19)+0.4862)*(1/DT19))))))-1)/(1+(((0.01374979547/2)*(((186.9696/DT19)+0.4862)*(1/DT19)))*(1+(1.6*((0.01374979547/2)*(((186.9696/DT19)+0.4862)*(1/DT19)))))*(((2*186.9696)+(0.4862+DT19))/(186.9696+(0.4862*DT19)))))))</f>
        <v>869.5048208727801</v>
      </c>
      <c r="DW19" s="38">
        <f>ROUND(EXP(-((103.872/(((141.5/(DF19+131.5))*999.012)^2))+(0.2701/((141.5/(DF19+131.5))*999.012)))*(CV19-60)*(1+(0.8*((103.872/(((141.5/(DF19+131.5))*999.012)^2))+(0.2701/((141.5/(DF19+131.5))*999.012)))*(CV19-60)))),4)</f>
        <v>0.99150000000000005</v>
      </c>
      <c r="DX19" s="42">
        <f>ROUND(EXP(-(((103.872/DI19)+0.2701)*(1/DI19))*(CX19-60.0068749)*(1+(0.8*(((103.872/DI19)+0.2701)*(1/DI19))*((CX19-60.0068749)+0.01374979547)))),5)</f>
        <v>0.99155000000000004</v>
      </c>
      <c r="DY19" s="38">
        <f>ROUND(EXP(-((103.872/((DL19*999.012)^2))+(0.2701/(DL19*999.012)))*(CV19-60)*(1+(0.8*((103.872/((DL19*999.012)^2))+(0.2701/(DL19*999.012)))*(CV19-60)))),4)</f>
        <v>0.99150000000000005</v>
      </c>
      <c r="DZ19" s="42">
        <f>ROUND(EXP(-(((103.872/DO19)+0.2701)*(1/DO19))*(CX19-60.0068749)*(1+(0.8*(((103.872/DO19)+0.2701)*(1/DO19))*((CX19-60.0068749)+0.01374979547)))),5)</f>
        <v>0.99155000000000004</v>
      </c>
      <c r="EA19" s="38">
        <f>ROUND(EXP(-((186.9696/((DR19*1000)^2))+(0.4862/(DR19*1000)))*(DA19-15)*(1+(0.8*((186.9696/((DR19*1000)^2))+(0.4862/(DR19*1000)))*(DA19-15)))),4)</f>
        <v>0.99109999999999998</v>
      </c>
      <c r="EB19" s="42">
        <f>ROUND(EXP(-((((186.9696/DU19)+0.4862)*(1/DU19)))*(DC19-15.00367851)*(1+(0.8*((((186.9696/DU19)+0.4862)*(1/DU19)))*((DC19-15.00367851)+0.01374979547)))),5)</f>
        <v>0.99109999999999998</v>
      </c>
    </row>
    <row r="20" spans="1:132" ht="11.45" customHeight="1" x14ac:dyDescent="0.2">
      <c r="A20" s="317" t="s">
        <v>555</v>
      </c>
      <c r="B20" s="317"/>
      <c r="C20" s="317"/>
      <c r="D20" s="317"/>
      <c r="E20" s="317"/>
      <c r="F20" s="317"/>
      <c r="G20" s="317"/>
      <c r="H20" s="317"/>
      <c r="I20" s="345" t="s">
        <v>544</v>
      </c>
      <c r="J20" s="345"/>
      <c r="K20" s="345"/>
      <c r="L20" s="345"/>
      <c r="M20" s="345"/>
      <c r="N20" s="345"/>
      <c r="O20" s="345"/>
      <c r="P20" s="313">
        <v>0.86950000000000005</v>
      </c>
      <c r="Q20" s="313"/>
      <c r="R20" s="313"/>
      <c r="S20" s="313"/>
      <c r="T20" s="313"/>
      <c r="U20" s="308">
        <v>14.69</v>
      </c>
      <c r="V20" s="308"/>
      <c r="W20" s="308"/>
      <c r="X20" s="308"/>
      <c r="Y20" s="308"/>
      <c r="Z20" s="308">
        <v>9.02</v>
      </c>
      <c r="AA20" s="308"/>
      <c r="AB20" s="308"/>
      <c r="AC20" s="309"/>
      <c r="AD20" s="308"/>
      <c r="AE20" s="308">
        <v>9.02</v>
      </c>
      <c r="AF20" s="308"/>
      <c r="AG20" s="308"/>
      <c r="AH20" s="309"/>
      <c r="AI20" s="308"/>
      <c r="AJ20" s="308">
        <v>53.63</v>
      </c>
      <c r="AK20" s="308"/>
      <c r="AL20" s="308"/>
      <c r="AM20" s="308"/>
      <c r="AN20" s="308"/>
      <c r="AO20" s="308">
        <v>0</v>
      </c>
      <c r="AP20" s="308"/>
      <c r="AQ20" s="308"/>
      <c r="AR20" s="308"/>
      <c r="AS20" s="308"/>
      <c r="AT20" s="308">
        <v>0</v>
      </c>
      <c r="AU20" s="308"/>
      <c r="AV20" s="308"/>
      <c r="AW20" s="308"/>
      <c r="AX20" s="308"/>
      <c r="AY20" s="312">
        <v>30</v>
      </c>
      <c r="AZ20" s="312"/>
      <c r="BA20" s="312"/>
      <c r="BB20" s="312"/>
      <c r="BC20" s="312"/>
      <c r="BD20" s="311">
        <f t="shared" si="15"/>
        <v>53.63</v>
      </c>
      <c r="BE20" s="311"/>
      <c r="BF20" s="311"/>
      <c r="BG20" s="311"/>
      <c r="BH20" s="311"/>
      <c r="BI20" s="310">
        <f t="shared" si="0"/>
        <v>0.98785999999999996</v>
      </c>
      <c r="BJ20" s="310"/>
      <c r="BK20" s="310"/>
      <c r="BL20" s="310"/>
      <c r="BM20" s="310"/>
      <c r="BN20" s="311">
        <f t="shared" si="16"/>
        <v>52.978931799999998</v>
      </c>
      <c r="BO20" s="311"/>
      <c r="BP20" s="311"/>
      <c r="BQ20" s="311"/>
      <c r="BR20" s="311"/>
      <c r="BS20" s="332">
        <f t="shared" si="1"/>
        <v>0.86839999999999995</v>
      </c>
      <c r="BT20" s="332"/>
      <c r="BU20" s="332"/>
      <c r="BV20" s="332"/>
      <c r="BW20" s="332"/>
      <c r="BX20" s="311">
        <f t="shared" si="2"/>
        <v>46.006999999999998</v>
      </c>
      <c r="BY20" s="311"/>
      <c r="BZ20" s="311"/>
      <c r="CA20" s="311"/>
      <c r="CB20" s="311"/>
      <c r="CC20" s="311">
        <f t="shared" si="3"/>
        <v>46.064999999999998</v>
      </c>
      <c r="CD20" s="311"/>
      <c r="CE20" s="311"/>
      <c r="CF20" s="311"/>
      <c r="CG20" s="311"/>
      <c r="CN20" s="2" t="s">
        <v>84</v>
      </c>
      <c r="CP20" s="87">
        <f t="shared" si="4"/>
        <v>1608.9</v>
      </c>
      <c r="CR20" s="28">
        <f t="shared" si="5"/>
        <v>337.32251030000003</v>
      </c>
      <c r="CS20" s="29">
        <f t="shared" si="6"/>
        <v>53.63</v>
      </c>
      <c r="CU20" s="28">
        <f t="shared" si="7"/>
        <v>86</v>
      </c>
      <c r="CV20" s="31">
        <f t="shared" si="8"/>
        <v>86</v>
      </c>
      <c r="CW20" s="32">
        <f t="shared" ref="CW20:CW28" si="24">ROUND(CU20,1)</f>
        <v>86</v>
      </c>
      <c r="CX20" s="32">
        <f t="shared" si="17"/>
        <v>86.013622261202741</v>
      </c>
      <c r="CY20" s="26"/>
      <c r="CZ20" s="28">
        <f t="shared" si="9"/>
        <v>30</v>
      </c>
      <c r="DA20" s="28">
        <f t="shared" si="10"/>
        <v>30</v>
      </c>
      <c r="DB20" s="34">
        <f t="shared" ref="DB20:DB28" si="25">ROUND(CZ20,1)</f>
        <v>30</v>
      </c>
      <c r="DC20" s="32">
        <f t="shared" si="18"/>
        <v>30.007567922890409</v>
      </c>
      <c r="DD20" s="35"/>
      <c r="DE20" s="28">
        <f t="shared" si="11"/>
        <v>31.157749806473078</v>
      </c>
      <c r="DF20" s="31">
        <f t="shared" si="12"/>
        <v>31</v>
      </c>
      <c r="DG20" s="32">
        <f t="shared" ref="DG20:DG28" si="26">ROUND(DE20,1)</f>
        <v>31.2</v>
      </c>
      <c r="DH20" s="32">
        <f t="shared" si="19"/>
        <v>868.84304855562391</v>
      </c>
      <c r="DI20" s="32">
        <f t="shared" si="20"/>
        <v>868.84572735834206</v>
      </c>
      <c r="DK20" s="38">
        <f t="shared" si="13"/>
        <v>0.86992473563881123</v>
      </c>
      <c r="DL20" s="41">
        <f t="shared" ref="DL20:DL28" si="27">ROUND(DK20*5,2)/5</f>
        <v>0.86999999999999988</v>
      </c>
      <c r="DM20" s="38">
        <f t="shared" ref="DM20:DM28" si="28">ROUND(DK20,4)</f>
        <v>0.86990000000000001</v>
      </c>
      <c r="DN20" s="32">
        <f t="shared" si="21"/>
        <v>869.04401840000003</v>
      </c>
      <c r="DO20" s="32">
        <f t="shared" ref="DO20:DO28" si="29">DN20*(1+((EXP(((0.01374979547/2)*(((103.872/DN20)+0.2701)*(1/DN20)))*(1+(0.8*((0.01374979547/2)*(((103.872/DN20)+0.2701)*(1/DN20))))))-1)/(1+(((0.01374979547/2)*(((103.872/DN20)+0.2701)*(1/DN20)))*(1+(1.6*((0.01374979547/2)*(((103.872/DN20)+0.2701)*(1/DN20)))))*(((2*103.872)+(0.2701+DN20))/(103.872+(0.2701*DN20)))))))</f>
        <v>869.04669701265391</v>
      </c>
      <c r="DQ20" s="38">
        <f t="shared" si="14"/>
        <v>0.86950000000000005</v>
      </c>
      <c r="DR20" s="29">
        <f t="shared" ref="DR20:DR28" si="30">ROUND(DQ20*5,2)/5</f>
        <v>0.86999999999999988</v>
      </c>
      <c r="DS20" s="38">
        <f t="shared" ref="DS20:DS28" si="31">ROUND(DQ20,4)</f>
        <v>0.86950000000000005</v>
      </c>
      <c r="DT20" s="32">
        <f t="shared" si="22"/>
        <v>869.5</v>
      </c>
      <c r="DU20" s="32">
        <f t="shared" si="23"/>
        <v>869.5048208727801</v>
      </c>
      <c r="DW20" s="38">
        <f t="shared" ref="DW20:DW28" si="32">ROUND(EXP(-((103.872/(((141.5/(DF20+131.5))*999.012)^2))+(0.2701/((141.5/(DF20+131.5))*999.012)))*(CV20-60)*(1+(0.8*((103.872/(((141.5/(DF20+131.5))*999.012)^2))+(0.2701/((141.5/(DF20+131.5))*999.012)))*(CV20-60)))),4)</f>
        <v>0.98829999999999996</v>
      </c>
      <c r="DX20" s="42">
        <f t="shared" ref="DX20:DX28" si="33">ROUND(EXP(-(((103.872/DI20)+0.2701)*(1/DI20))*(CX20-60.0068749)*(1+(0.8*(((103.872/DI20)+0.2701)*(1/DI20))*((CX20-60.0068749)+0.01374979547)))),5)</f>
        <v>0.98829999999999996</v>
      </c>
      <c r="DY20" s="38">
        <f t="shared" ref="DY20:DY28" si="34">ROUND(EXP(-((103.872/((DL20*999.012)^2))+(0.2701/(DL20*999.012)))*(CV20-60)*(1+(0.8*((103.872/((DL20*999.012)^2))+(0.2701/(DL20*999.012)))*(CV20-60)))),4)</f>
        <v>0.98829999999999996</v>
      </c>
      <c r="DZ20" s="42">
        <f t="shared" ref="DZ20:DZ28" si="35">ROUND(EXP(-(((103.872/DO20)+0.2701)*(1/DO20))*(CX20-60.0068749)*(1+(0.8*(((103.872/DO20)+0.2701)*(1/DO20))*((CX20-60.0068749)+0.01374979547)))),5)</f>
        <v>0.98829999999999996</v>
      </c>
      <c r="EA20" s="38">
        <f t="shared" ref="EA20:EA28" si="36">ROUND(EXP(-((186.9696/((DR20*1000)^2))+(0.4862/(DR20*1000)))*(DA20-15)*(1+(0.8*((186.9696/((DR20*1000)^2))+(0.4862/(DR20*1000)))*(DA20-15)))),4)</f>
        <v>0.9879</v>
      </c>
      <c r="EB20" s="42">
        <f t="shared" ref="EB20:EB28" si="37">ROUND(EXP(-((((186.9696/DU20)+0.4862)*(1/DU20)))*(DC20-15.00367851)*(1+(0.8*((((186.9696/DU20)+0.4862)*(1/DU20)))*((DC20-15.00367851)+0.01374979547)))),5)</f>
        <v>0.98785999999999996</v>
      </c>
    </row>
    <row r="21" spans="1:132" ht="11.45" customHeight="1" x14ac:dyDescent="0.2">
      <c r="A21" s="317" t="s">
        <v>556</v>
      </c>
      <c r="B21" s="317"/>
      <c r="C21" s="317"/>
      <c r="D21" s="317"/>
      <c r="E21" s="317"/>
      <c r="F21" s="317"/>
      <c r="G21" s="317"/>
      <c r="H21" s="317"/>
      <c r="I21" s="345" t="s">
        <v>544</v>
      </c>
      <c r="J21" s="345"/>
      <c r="K21" s="345"/>
      <c r="L21" s="345"/>
      <c r="M21" s="345"/>
      <c r="N21" s="345"/>
      <c r="O21" s="345"/>
      <c r="P21" s="313">
        <v>0.86950000000000005</v>
      </c>
      <c r="Q21" s="313"/>
      <c r="R21" s="313"/>
      <c r="S21" s="313"/>
      <c r="T21" s="313"/>
      <c r="U21" s="308">
        <v>14.7</v>
      </c>
      <c r="V21" s="308"/>
      <c r="W21" s="308"/>
      <c r="X21" s="308"/>
      <c r="Y21" s="308"/>
      <c r="Z21" s="308">
        <v>10.119999999999999</v>
      </c>
      <c r="AA21" s="308"/>
      <c r="AB21" s="308"/>
      <c r="AC21" s="309"/>
      <c r="AD21" s="308"/>
      <c r="AE21" s="308">
        <v>10.119999999999999</v>
      </c>
      <c r="AF21" s="308"/>
      <c r="AG21" s="308"/>
      <c r="AH21" s="309"/>
      <c r="AI21" s="308"/>
      <c r="AJ21" s="308">
        <v>41.1</v>
      </c>
      <c r="AK21" s="308"/>
      <c r="AL21" s="308"/>
      <c r="AM21" s="308"/>
      <c r="AN21" s="308"/>
      <c r="AO21" s="308">
        <v>0</v>
      </c>
      <c r="AP21" s="308"/>
      <c r="AQ21" s="308"/>
      <c r="AR21" s="308"/>
      <c r="AS21" s="308"/>
      <c r="AT21" s="308">
        <v>0</v>
      </c>
      <c r="AU21" s="308"/>
      <c r="AV21" s="308"/>
      <c r="AW21" s="308"/>
      <c r="AX21" s="308"/>
      <c r="AY21" s="312">
        <v>28</v>
      </c>
      <c r="AZ21" s="312"/>
      <c r="BA21" s="312"/>
      <c r="BB21" s="312"/>
      <c r="BC21" s="312"/>
      <c r="BD21" s="311">
        <f t="shared" si="15"/>
        <v>41.1</v>
      </c>
      <c r="BE21" s="311"/>
      <c r="BF21" s="311"/>
      <c r="BG21" s="311"/>
      <c r="BH21" s="311"/>
      <c r="BI21" s="310">
        <f t="shared" si="0"/>
        <v>0.98948000000000003</v>
      </c>
      <c r="BJ21" s="310"/>
      <c r="BK21" s="310"/>
      <c r="BL21" s="310"/>
      <c r="BM21" s="310"/>
      <c r="BN21" s="311">
        <f t="shared" si="16"/>
        <v>40.667628000000001</v>
      </c>
      <c r="BO21" s="311"/>
      <c r="BP21" s="311"/>
      <c r="BQ21" s="311"/>
      <c r="BR21" s="311"/>
      <c r="BS21" s="332">
        <f t="shared" si="1"/>
        <v>0.86839999999999995</v>
      </c>
      <c r="BT21" s="332"/>
      <c r="BU21" s="332"/>
      <c r="BV21" s="332"/>
      <c r="BW21" s="332"/>
      <c r="BX21" s="311">
        <f t="shared" si="2"/>
        <v>35.316000000000003</v>
      </c>
      <c r="BY21" s="311"/>
      <c r="BZ21" s="311"/>
      <c r="CA21" s="311"/>
      <c r="CB21" s="311"/>
      <c r="CC21" s="311">
        <f t="shared" si="3"/>
        <v>35.360999999999997</v>
      </c>
      <c r="CD21" s="311"/>
      <c r="CE21" s="311"/>
      <c r="CF21" s="311"/>
      <c r="CG21" s="311"/>
      <c r="CI21" s="323" t="s">
        <v>175</v>
      </c>
      <c r="CJ21" s="324"/>
      <c r="CK21" s="324"/>
      <c r="CL21" s="325"/>
      <c r="CP21" s="87">
        <f t="shared" si="4"/>
        <v>1150.8</v>
      </c>
      <c r="CR21" s="28">
        <f t="shared" si="5"/>
        <v>258.511191</v>
      </c>
      <c r="CS21" s="29">
        <f t="shared" si="6"/>
        <v>41.1</v>
      </c>
      <c r="CU21" s="28">
        <f t="shared" si="7"/>
        <v>82.4</v>
      </c>
      <c r="CV21" s="31">
        <f t="shared" si="8"/>
        <v>82.5</v>
      </c>
      <c r="CW21" s="32">
        <f t="shared" si="24"/>
        <v>82.4</v>
      </c>
      <c r="CX21" s="32">
        <f t="shared" si="17"/>
        <v>82.412673102275406</v>
      </c>
      <c r="CY21" s="26"/>
      <c r="CZ21" s="28">
        <f t="shared" si="9"/>
        <v>28</v>
      </c>
      <c r="DA21" s="28">
        <f t="shared" si="10"/>
        <v>28</v>
      </c>
      <c r="DB21" s="34">
        <f t="shared" si="25"/>
        <v>28</v>
      </c>
      <c r="DC21" s="32">
        <f t="shared" si="18"/>
        <v>28.007040612375221</v>
      </c>
      <c r="DD21" s="35"/>
      <c r="DE21" s="28">
        <f t="shared" si="11"/>
        <v>31.157749806473078</v>
      </c>
      <c r="DF21" s="31">
        <f t="shared" si="12"/>
        <v>31</v>
      </c>
      <c r="DG21" s="32">
        <f t="shared" si="26"/>
        <v>31.2</v>
      </c>
      <c r="DH21" s="32">
        <f t="shared" si="19"/>
        <v>868.84304855562391</v>
      </c>
      <c r="DI21" s="32">
        <f t="shared" si="20"/>
        <v>868.84572735834206</v>
      </c>
      <c r="DK21" s="38">
        <f t="shared" si="13"/>
        <v>0.86992473563881123</v>
      </c>
      <c r="DL21" s="41">
        <f t="shared" si="27"/>
        <v>0.86999999999999988</v>
      </c>
      <c r="DM21" s="38">
        <f t="shared" si="28"/>
        <v>0.86990000000000001</v>
      </c>
      <c r="DN21" s="32">
        <f t="shared" si="21"/>
        <v>869.04401840000003</v>
      </c>
      <c r="DO21" s="32">
        <f t="shared" si="29"/>
        <v>869.04669701265391</v>
      </c>
      <c r="DQ21" s="38">
        <f t="shared" si="14"/>
        <v>0.86950000000000005</v>
      </c>
      <c r="DR21" s="29">
        <f t="shared" si="30"/>
        <v>0.86999999999999988</v>
      </c>
      <c r="DS21" s="38">
        <f t="shared" si="31"/>
        <v>0.86950000000000005</v>
      </c>
      <c r="DT21" s="32">
        <f t="shared" si="22"/>
        <v>869.5</v>
      </c>
      <c r="DU21" s="32">
        <f t="shared" si="23"/>
        <v>869.5048208727801</v>
      </c>
      <c r="DW21" s="38">
        <f t="shared" si="32"/>
        <v>0.9899</v>
      </c>
      <c r="DX21" s="42">
        <f t="shared" si="33"/>
        <v>0.98992000000000002</v>
      </c>
      <c r="DY21" s="38">
        <f t="shared" si="34"/>
        <v>0.9899</v>
      </c>
      <c r="DZ21" s="42">
        <f t="shared" si="35"/>
        <v>0.98992999999999998</v>
      </c>
      <c r="EA21" s="38">
        <f t="shared" si="36"/>
        <v>0.98950000000000005</v>
      </c>
      <c r="EB21" s="42">
        <f t="shared" si="37"/>
        <v>0.98948000000000003</v>
      </c>
    </row>
    <row r="22" spans="1:132" ht="11.45" customHeight="1" x14ac:dyDescent="0.2">
      <c r="A22" s="317" t="s">
        <v>557</v>
      </c>
      <c r="B22" s="317"/>
      <c r="C22" s="317"/>
      <c r="D22" s="317"/>
      <c r="E22" s="317"/>
      <c r="F22" s="317"/>
      <c r="G22" s="317"/>
      <c r="H22" s="317"/>
      <c r="I22" s="345" t="s">
        <v>544</v>
      </c>
      <c r="J22" s="345"/>
      <c r="K22" s="345"/>
      <c r="L22" s="345"/>
      <c r="M22" s="345"/>
      <c r="N22" s="345"/>
      <c r="O22" s="345"/>
      <c r="P22" s="313">
        <v>0.86950000000000005</v>
      </c>
      <c r="Q22" s="313"/>
      <c r="R22" s="313"/>
      <c r="S22" s="313"/>
      <c r="T22" s="313"/>
      <c r="U22" s="308">
        <v>10.75</v>
      </c>
      <c r="V22" s="308"/>
      <c r="W22" s="308"/>
      <c r="X22" s="308"/>
      <c r="Y22" s="308"/>
      <c r="Z22" s="308">
        <v>7.91</v>
      </c>
      <c r="AA22" s="308"/>
      <c r="AB22" s="308"/>
      <c r="AC22" s="309"/>
      <c r="AD22" s="308"/>
      <c r="AE22" s="308">
        <v>7.91</v>
      </c>
      <c r="AF22" s="308"/>
      <c r="AG22" s="308"/>
      <c r="AH22" s="309"/>
      <c r="AI22" s="308"/>
      <c r="AJ22" s="308">
        <v>32.56</v>
      </c>
      <c r="AK22" s="308"/>
      <c r="AL22" s="308"/>
      <c r="AM22" s="308"/>
      <c r="AN22" s="308"/>
      <c r="AO22" s="308">
        <v>0</v>
      </c>
      <c r="AP22" s="308"/>
      <c r="AQ22" s="308"/>
      <c r="AR22" s="308"/>
      <c r="AS22" s="308"/>
      <c r="AT22" s="308">
        <v>0</v>
      </c>
      <c r="AU22" s="308"/>
      <c r="AV22" s="308"/>
      <c r="AW22" s="308"/>
      <c r="AX22" s="308"/>
      <c r="AY22" s="312">
        <v>34</v>
      </c>
      <c r="AZ22" s="312"/>
      <c r="BA22" s="312"/>
      <c r="BB22" s="312"/>
      <c r="BC22" s="312"/>
      <c r="BD22" s="311">
        <f t="shared" si="15"/>
        <v>32.56</v>
      </c>
      <c r="BE22" s="311"/>
      <c r="BF22" s="311"/>
      <c r="BG22" s="311"/>
      <c r="BH22" s="311"/>
      <c r="BI22" s="310">
        <f t="shared" si="0"/>
        <v>0.98460000000000003</v>
      </c>
      <c r="BJ22" s="310"/>
      <c r="BK22" s="310"/>
      <c r="BL22" s="310"/>
      <c r="BM22" s="310"/>
      <c r="BN22" s="311">
        <f t="shared" si="16"/>
        <v>32.058576000000002</v>
      </c>
      <c r="BO22" s="311"/>
      <c r="BP22" s="311"/>
      <c r="BQ22" s="311"/>
      <c r="BR22" s="311"/>
      <c r="BS22" s="332">
        <f t="shared" si="1"/>
        <v>0.86839999999999995</v>
      </c>
      <c r="BT22" s="332"/>
      <c r="BU22" s="332"/>
      <c r="BV22" s="332"/>
      <c r="BW22" s="332"/>
      <c r="BX22" s="311">
        <f t="shared" si="2"/>
        <v>27.84</v>
      </c>
      <c r="BY22" s="311"/>
      <c r="BZ22" s="311"/>
      <c r="CA22" s="311"/>
      <c r="CB22" s="311"/>
      <c r="CC22" s="311">
        <f t="shared" si="3"/>
        <v>27.875</v>
      </c>
      <c r="CD22" s="311"/>
      <c r="CE22" s="311"/>
      <c r="CF22" s="311"/>
      <c r="CG22" s="311"/>
      <c r="CI22" s="326"/>
      <c r="CJ22" s="327"/>
      <c r="CK22" s="327"/>
      <c r="CL22" s="328"/>
      <c r="CP22" s="87">
        <f t="shared" si="4"/>
        <v>1107.04</v>
      </c>
      <c r="CR22" s="28">
        <f t="shared" si="5"/>
        <v>204.79621360000002</v>
      </c>
      <c r="CS22" s="29">
        <f t="shared" si="6"/>
        <v>32.56</v>
      </c>
      <c r="CU22" s="28">
        <f t="shared" si="7"/>
        <v>93.2</v>
      </c>
      <c r="CV22" s="31">
        <f t="shared" si="8"/>
        <v>93</v>
      </c>
      <c r="CW22" s="32">
        <f t="shared" si="24"/>
        <v>93.2</v>
      </c>
      <c r="CX22" s="32">
        <f t="shared" si="17"/>
        <v>93.215531068139612</v>
      </c>
      <c r="CY22" s="26"/>
      <c r="CZ22" s="28">
        <f t="shared" si="9"/>
        <v>34</v>
      </c>
      <c r="DA22" s="28">
        <f t="shared" si="10"/>
        <v>34</v>
      </c>
      <c r="DB22" s="34">
        <f t="shared" si="25"/>
        <v>34</v>
      </c>
      <c r="DC22" s="32">
        <f t="shared" si="18"/>
        <v>34.008628371188671</v>
      </c>
      <c r="DD22" s="35"/>
      <c r="DE22" s="28">
        <f t="shared" si="11"/>
        <v>31.157749806473078</v>
      </c>
      <c r="DF22" s="31">
        <f t="shared" si="12"/>
        <v>31</v>
      </c>
      <c r="DG22" s="32">
        <f t="shared" si="26"/>
        <v>31.2</v>
      </c>
      <c r="DH22" s="32">
        <f t="shared" si="19"/>
        <v>868.84304855562391</v>
      </c>
      <c r="DI22" s="32">
        <f t="shared" si="20"/>
        <v>868.84572735834206</v>
      </c>
      <c r="DK22" s="38">
        <f t="shared" si="13"/>
        <v>0.86992473563881123</v>
      </c>
      <c r="DL22" s="41">
        <f t="shared" si="27"/>
        <v>0.86999999999999988</v>
      </c>
      <c r="DM22" s="38">
        <f t="shared" si="28"/>
        <v>0.86990000000000001</v>
      </c>
      <c r="DN22" s="32">
        <f t="shared" si="21"/>
        <v>869.04401840000003</v>
      </c>
      <c r="DO22" s="32">
        <f t="shared" si="29"/>
        <v>869.04669701265391</v>
      </c>
      <c r="DQ22" s="38">
        <f t="shared" si="14"/>
        <v>0.86950000000000005</v>
      </c>
      <c r="DR22" s="29">
        <f t="shared" si="30"/>
        <v>0.86999999999999988</v>
      </c>
      <c r="DS22" s="38">
        <f t="shared" si="31"/>
        <v>0.86950000000000005</v>
      </c>
      <c r="DT22" s="32">
        <f t="shared" si="22"/>
        <v>869.5</v>
      </c>
      <c r="DU22" s="32">
        <f t="shared" si="23"/>
        <v>869.5048208727801</v>
      </c>
      <c r="DW22" s="38">
        <f t="shared" si="32"/>
        <v>0.98519999999999996</v>
      </c>
      <c r="DX22" s="42">
        <f t="shared" si="33"/>
        <v>0.98504000000000003</v>
      </c>
      <c r="DY22" s="38">
        <f t="shared" si="34"/>
        <v>0.98509999999999998</v>
      </c>
      <c r="DZ22" s="42">
        <f t="shared" si="35"/>
        <v>0.98504999999999998</v>
      </c>
      <c r="EA22" s="38">
        <f t="shared" si="36"/>
        <v>0.98460000000000003</v>
      </c>
      <c r="EB22" s="42">
        <f t="shared" si="37"/>
        <v>0.98460000000000003</v>
      </c>
    </row>
    <row r="23" spans="1:132" ht="11.45" customHeight="1" x14ac:dyDescent="0.2">
      <c r="A23" s="317" t="s">
        <v>558</v>
      </c>
      <c r="B23" s="317"/>
      <c r="C23" s="317"/>
      <c r="D23" s="317"/>
      <c r="E23" s="317"/>
      <c r="F23" s="317"/>
      <c r="G23" s="317"/>
      <c r="H23" s="317"/>
      <c r="I23" s="345" t="s">
        <v>544</v>
      </c>
      <c r="J23" s="345"/>
      <c r="K23" s="345"/>
      <c r="L23" s="345"/>
      <c r="M23" s="345"/>
      <c r="N23" s="345"/>
      <c r="O23" s="345"/>
      <c r="P23" s="313">
        <v>0.86950000000000005</v>
      </c>
      <c r="Q23" s="313"/>
      <c r="R23" s="313"/>
      <c r="S23" s="313"/>
      <c r="T23" s="313"/>
      <c r="U23" s="308">
        <v>3.76</v>
      </c>
      <c r="V23" s="308"/>
      <c r="W23" s="308"/>
      <c r="X23" s="308"/>
      <c r="Y23" s="308"/>
      <c r="Z23" s="308">
        <v>0</v>
      </c>
      <c r="AA23" s="308"/>
      <c r="AB23" s="308"/>
      <c r="AC23" s="309"/>
      <c r="AD23" s="308"/>
      <c r="AE23" s="308">
        <v>0</v>
      </c>
      <c r="AF23" s="308"/>
      <c r="AG23" s="308"/>
      <c r="AH23" s="309"/>
      <c r="AI23" s="308"/>
      <c r="AJ23" s="308">
        <v>0</v>
      </c>
      <c r="AK23" s="308"/>
      <c r="AL23" s="308"/>
      <c r="AM23" s="308"/>
      <c r="AN23" s="308"/>
      <c r="AO23" s="308">
        <v>0</v>
      </c>
      <c r="AP23" s="308"/>
      <c r="AQ23" s="308"/>
      <c r="AR23" s="308"/>
      <c r="AS23" s="308"/>
      <c r="AT23" s="308">
        <v>0</v>
      </c>
      <c r="AU23" s="308"/>
      <c r="AV23" s="308"/>
      <c r="AW23" s="308"/>
      <c r="AX23" s="308"/>
      <c r="AY23" s="312">
        <v>15</v>
      </c>
      <c r="AZ23" s="312"/>
      <c r="BA23" s="312"/>
      <c r="BB23" s="312"/>
      <c r="BC23" s="312"/>
      <c r="BD23" s="311">
        <f>IF(OR(AJ23="",AT23=""),"",AJ23-AT23)</f>
        <v>0</v>
      </c>
      <c r="BE23" s="311"/>
      <c r="BF23" s="311"/>
      <c r="BG23" s="311"/>
      <c r="BH23" s="311"/>
      <c r="BI23" s="310">
        <f t="shared" si="0"/>
        <v>1</v>
      </c>
      <c r="BJ23" s="310"/>
      <c r="BK23" s="310"/>
      <c r="BL23" s="310"/>
      <c r="BM23" s="310"/>
      <c r="BN23" s="311">
        <f>IF(OR(BD23="",BI23=""),"",BD23*BI23)</f>
        <v>0</v>
      </c>
      <c r="BO23" s="311"/>
      <c r="BP23" s="311"/>
      <c r="BQ23" s="311"/>
      <c r="BR23" s="311"/>
      <c r="BS23" s="332">
        <f t="shared" si="1"/>
        <v>0.86839999999999995</v>
      </c>
      <c r="BT23" s="332"/>
      <c r="BU23" s="332"/>
      <c r="BV23" s="332"/>
      <c r="BW23" s="332"/>
      <c r="BX23" s="311">
        <f t="shared" si="2"/>
        <v>0</v>
      </c>
      <c r="BY23" s="311"/>
      <c r="BZ23" s="311"/>
      <c r="CA23" s="311"/>
      <c r="CB23" s="311"/>
      <c r="CC23" s="311">
        <f t="shared" si="3"/>
        <v>0</v>
      </c>
      <c r="CD23" s="311"/>
      <c r="CE23" s="311"/>
      <c r="CF23" s="311"/>
      <c r="CG23" s="311"/>
      <c r="CI23" s="108" t="s">
        <v>170</v>
      </c>
      <c r="CJ23" s="109"/>
      <c r="CK23" s="43">
        <f>AVERAGE(AY18:BC29)</f>
        <v>29.7</v>
      </c>
      <c r="CL23" s="21" t="s">
        <v>174</v>
      </c>
      <c r="CN23" s="1" t="s">
        <v>217</v>
      </c>
      <c r="CP23" s="87">
        <f t="shared" si="4"/>
        <v>0</v>
      </c>
      <c r="CR23" s="28">
        <f t="shared" si="5"/>
        <v>0</v>
      </c>
      <c r="CS23" s="29">
        <f t="shared" si="6"/>
        <v>0</v>
      </c>
      <c r="CU23" s="28">
        <f t="shared" si="7"/>
        <v>59</v>
      </c>
      <c r="CV23" s="31">
        <f t="shared" si="8"/>
        <v>59</v>
      </c>
      <c r="CW23" s="32">
        <f>ROUND(CU23,1)</f>
        <v>59</v>
      </c>
      <c r="CX23" s="32">
        <f t="shared" si="17"/>
        <v>59.006621316269118</v>
      </c>
      <c r="CY23" s="26"/>
      <c r="CZ23" s="28">
        <f t="shared" si="9"/>
        <v>15</v>
      </c>
      <c r="DA23" s="28">
        <f t="shared" si="10"/>
        <v>15</v>
      </c>
      <c r="DB23" s="34">
        <f>ROUND(CZ23,1)</f>
        <v>15</v>
      </c>
      <c r="DC23" s="32">
        <f t="shared" si="18"/>
        <v>15.003678509038402</v>
      </c>
      <c r="DD23" s="35"/>
      <c r="DE23" s="28">
        <f t="shared" si="11"/>
        <v>31.157749806473078</v>
      </c>
      <c r="DF23" s="31">
        <f t="shared" si="12"/>
        <v>31</v>
      </c>
      <c r="DG23" s="32">
        <f>ROUND(DE23,1)</f>
        <v>31.2</v>
      </c>
      <c r="DH23" s="32">
        <f t="shared" si="19"/>
        <v>868.84304855562391</v>
      </c>
      <c r="DI23" s="32">
        <f t="shared" si="20"/>
        <v>868.84572735834206</v>
      </c>
      <c r="DK23" s="38">
        <f t="shared" si="13"/>
        <v>0.86992473563881123</v>
      </c>
      <c r="DL23" s="41">
        <f t="shared" si="27"/>
        <v>0.86999999999999988</v>
      </c>
      <c r="DM23" s="38">
        <f>ROUND(DK23,4)</f>
        <v>0.86990000000000001</v>
      </c>
      <c r="DN23" s="32">
        <f t="shared" si="21"/>
        <v>869.04401840000003</v>
      </c>
      <c r="DO23" s="32">
        <f t="shared" si="29"/>
        <v>869.04669701265391</v>
      </c>
      <c r="DQ23" s="38">
        <f t="shared" si="14"/>
        <v>0.86950000000000005</v>
      </c>
      <c r="DR23" s="29">
        <f t="shared" si="30"/>
        <v>0.86999999999999988</v>
      </c>
      <c r="DS23" s="38">
        <f>ROUND(DQ23,4)</f>
        <v>0.86950000000000005</v>
      </c>
      <c r="DT23" s="32">
        <f t="shared" si="22"/>
        <v>869.5</v>
      </c>
      <c r="DU23" s="32">
        <f t="shared" si="23"/>
        <v>869.5048208727801</v>
      </c>
      <c r="DW23" s="38">
        <f>ROUND(EXP(-((103.872/(((141.5/(DF23+131.5))*999.012)^2))+(0.2701/((141.5/(DF23+131.5))*999.012)))*(CV23-60)*(1+(0.8*((103.872/(((141.5/(DF23+131.5))*999.012)^2))+(0.2701/((141.5/(DF23+131.5))*999.012)))*(CV23-60)))),4)</f>
        <v>1.0004</v>
      </c>
      <c r="DX23" s="42">
        <f>ROUND(EXP(-(((103.872/DI23)+0.2701)*(1/DI23))*(CX23-60.0068749)*(1+(0.8*(((103.872/DI23)+0.2701)*(1/DI23))*((CX23-60.0068749)+0.01374979547)))),5)</f>
        <v>1.0004500000000001</v>
      </c>
      <c r="DY23" s="38">
        <f>ROUND(EXP(-((103.872/((DL23*999.012)^2))+(0.2701/(DL23*999.012)))*(CV23-60)*(1+(0.8*((103.872/((DL23*999.012)^2))+(0.2701/(DL23*999.012)))*(CV23-60)))),4)</f>
        <v>1.0004</v>
      </c>
      <c r="DZ23" s="42">
        <f>ROUND(EXP(-(((103.872/DO23)+0.2701)*(1/DO23))*(CX23-60.0068749)*(1+(0.8*(((103.872/DO23)+0.2701)*(1/DO23))*((CX23-60.0068749)+0.01374979547)))),5)</f>
        <v>1.0004500000000001</v>
      </c>
      <c r="EA23" s="38">
        <f>ROUND(EXP(-((186.9696/((DR23*1000)^2))+(0.4862/(DR23*1000)))*(DA23-15)*(1+(0.8*((186.9696/((DR23*1000)^2))+(0.4862/(DR23*1000)))*(DA23-15)))),4)</f>
        <v>1</v>
      </c>
      <c r="EB23" s="42">
        <f>ROUND(EXP(-((((186.9696/DU23)+0.4862)*(1/DU23)))*(DC23-15.00367851)*(1+(0.8*((((186.9696/DU23)+0.4862)*(1/DU23)))*((DC23-15.00367851)+0.01374979547)))),5)</f>
        <v>1</v>
      </c>
    </row>
    <row r="24" spans="1:132" ht="11.45" customHeight="1" x14ac:dyDescent="0.2">
      <c r="A24" s="317" t="s">
        <v>559</v>
      </c>
      <c r="B24" s="317"/>
      <c r="C24" s="317"/>
      <c r="D24" s="317"/>
      <c r="E24" s="317"/>
      <c r="F24" s="317"/>
      <c r="G24" s="317"/>
      <c r="H24" s="317"/>
      <c r="I24" s="345" t="s">
        <v>544</v>
      </c>
      <c r="J24" s="345"/>
      <c r="K24" s="345"/>
      <c r="L24" s="345"/>
      <c r="M24" s="345"/>
      <c r="N24" s="345"/>
      <c r="O24" s="345"/>
      <c r="P24" s="313">
        <v>0.86950000000000005</v>
      </c>
      <c r="Q24" s="313"/>
      <c r="R24" s="313"/>
      <c r="S24" s="313"/>
      <c r="T24" s="313"/>
      <c r="U24" s="308">
        <v>13.26</v>
      </c>
      <c r="V24" s="308"/>
      <c r="W24" s="308"/>
      <c r="X24" s="308"/>
      <c r="Y24" s="308"/>
      <c r="Z24" s="308">
        <v>0</v>
      </c>
      <c r="AA24" s="308"/>
      <c r="AB24" s="308"/>
      <c r="AC24" s="309"/>
      <c r="AD24" s="308"/>
      <c r="AE24" s="308">
        <v>0</v>
      </c>
      <c r="AF24" s="308"/>
      <c r="AG24" s="308"/>
      <c r="AH24" s="309"/>
      <c r="AI24" s="308"/>
      <c r="AJ24" s="308">
        <v>0</v>
      </c>
      <c r="AK24" s="308"/>
      <c r="AL24" s="308"/>
      <c r="AM24" s="308"/>
      <c r="AN24" s="308"/>
      <c r="AO24" s="308">
        <v>0</v>
      </c>
      <c r="AP24" s="308"/>
      <c r="AQ24" s="308"/>
      <c r="AR24" s="308"/>
      <c r="AS24" s="308"/>
      <c r="AT24" s="308">
        <v>0</v>
      </c>
      <c r="AU24" s="308"/>
      <c r="AV24" s="308"/>
      <c r="AW24" s="308"/>
      <c r="AX24" s="308"/>
      <c r="AY24" s="312">
        <v>24</v>
      </c>
      <c r="AZ24" s="312"/>
      <c r="BA24" s="312"/>
      <c r="BB24" s="312"/>
      <c r="BC24" s="312"/>
      <c r="BD24" s="311">
        <f>IF(OR(AJ24="",AT24=""),"",AJ24-AT24)</f>
        <v>0</v>
      </c>
      <c r="BE24" s="311"/>
      <c r="BF24" s="311"/>
      <c r="BG24" s="311"/>
      <c r="BH24" s="311"/>
      <c r="BI24" s="310">
        <f t="shared" si="0"/>
        <v>0.99272000000000005</v>
      </c>
      <c r="BJ24" s="310"/>
      <c r="BK24" s="310"/>
      <c r="BL24" s="310"/>
      <c r="BM24" s="310"/>
      <c r="BN24" s="311">
        <f>IF(OR(BD24="",BI24=""),"",BD24*BI24)</f>
        <v>0</v>
      </c>
      <c r="BO24" s="311"/>
      <c r="BP24" s="311"/>
      <c r="BQ24" s="311"/>
      <c r="BR24" s="311"/>
      <c r="BS24" s="332">
        <f t="shared" si="1"/>
        <v>0.86839999999999995</v>
      </c>
      <c r="BT24" s="332"/>
      <c r="BU24" s="332"/>
      <c r="BV24" s="332"/>
      <c r="BW24" s="332"/>
      <c r="BX24" s="311">
        <f t="shared" si="2"/>
        <v>0</v>
      </c>
      <c r="BY24" s="311"/>
      <c r="BZ24" s="311"/>
      <c r="CA24" s="311"/>
      <c r="CB24" s="311"/>
      <c r="CC24" s="311">
        <f t="shared" si="3"/>
        <v>0</v>
      </c>
      <c r="CD24" s="311"/>
      <c r="CE24" s="311"/>
      <c r="CF24" s="311"/>
      <c r="CG24" s="311"/>
      <c r="CI24" s="9" t="s">
        <v>171</v>
      </c>
      <c r="CJ24" s="10"/>
      <c r="CK24" s="44">
        <f>SUM(CP18:CP29)/BD30</f>
        <v>32.106024364465711</v>
      </c>
      <c r="CL24" s="11" t="s">
        <v>174</v>
      </c>
      <c r="CN24" s="107" t="s">
        <v>459</v>
      </c>
      <c r="CP24" s="87">
        <f t="shared" si="4"/>
        <v>0</v>
      </c>
      <c r="CR24" s="28">
        <f t="shared" si="5"/>
        <v>0</v>
      </c>
      <c r="CS24" s="29">
        <f t="shared" si="6"/>
        <v>0</v>
      </c>
      <c r="CU24" s="28">
        <f t="shared" si="7"/>
        <v>75.2</v>
      </c>
      <c r="CV24" s="31">
        <f t="shared" si="8"/>
        <v>75</v>
      </c>
      <c r="CW24" s="32">
        <f>ROUND(CU24,1)</f>
        <v>75.2</v>
      </c>
      <c r="CX24" s="32">
        <f t="shared" si="17"/>
        <v>75.210787389850594</v>
      </c>
      <c r="CY24" s="26"/>
      <c r="CZ24" s="28">
        <f t="shared" si="9"/>
        <v>24</v>
      </c>
      <c r="DA24" s="28">
        <f t="shared" si="10"/>
        <v>24</v>
      </c>
      <c r="DB24" s="34">
        <f>ROUND(CZ24,1)</f>
        <v>24</v>
      </c>
      <c r="DC24" s="32">
        <f t="shared" si="18"/>
        <v>24.005992994361435</v>
      </c>
      <c r="DD24" s="35"/>
      <c r="DE24" s="28">
        <f t="shared" si="11"/>
        <v>31.157749806473078</v>
      </c>
      <c r="DF24" s="31">
        <f t="shared" si="12"/>
        <v>31</v>
      </c>
      <c r="DG24" s="32">
        <f>ROUND(DE24,1)</f>
        <v>31.2</v>
      </c>
      <c r="DH24" s="32">
        <f t="shared" si="19"/>
        <v>868.84304855562391</v>
      </c>
      <c r="DI24" s="32">
        <f t="shared" si="20"/>
        <v>868.84572735834206</v>
      </c>
      <c r="DK24" s="38">
        <f t="shared" si="13"/>
        <v>0.86992473563881123</v>
      </c>
      <c r="DL24" s="41">
        <f t="shared" si="27"/>
        <v>0.86999999999999988</v>
      </c>
      <c r="DM24" s="38">
        <f>ROUND(DK24,4)</f>
        <v>0.86990000000000001</v>
      </c>
      <c r="DN24" s="32">
        <f t="shared" si="21"/>
        <v>869.04401840000003</v>
      </c>
      <c r="DO24" s="32">
        <f t="shared" si="29"/>
        <v>869.04669701265391</v>
      </c>
      <c r="DQ24" s="38">
        <f t="shared" si="14"/>
        <v>0.86950000000000005</v>
      </c>
      <c r="DR24" s="29">
        <f t="shared" si="30"/>
        <v>0.86999999999999988</v>
      </c>
      <c r="DS24" s="38">
        <f>ROUND(DQ24,4)</f>
        <v>0.86950000000000005</v>
      </c>
      <c r="DT24" s="32">
        <f t="shared" si="22"/>
        <v>869.5</v>
      </c>
      <c r="DU24" s="32">
        <f t="shared" si="23"/>
        <v>869.5048208727801</v>
      </c>
      <c r="DW24" s="38">
        <f>ROUND(EXP(-((103.872/(((141.5/(DF24+131.5))*999.012)^2))+(0.2701/((141.5/(DF24+131.5))*999.012)))*(CV24-60)*(1+(0.8*((103.872/(((141.5/(DF24+131.5))*999.012)^2))+(0.2701/((141.5/(DF24+131.5))*999.012)))*(CV24-60)))),4)</f>
        <v>0.99329999999999996</v>
      </c>
      <c r="DX24" s="42">
        <f>ROUND(EXP(-(((103.872/DI24)+0.2701)*(1/DI24))*(CX24-60.0068749)*(1+(0.8*(((103.872/DI24)+0.2701)*(1/DI24))*((CX24-60.0068749)+0.01374979547)))),5)</f>
        <v>0.99317</v>
      </c>
      <c r="DY24" s="38">
        <f>ROUND(EXP(-((103.872/((DL24*999.012)^2))+(0.2701/(DL24*999.012)))*(CV24-60)*(1+(0.8*((103.872/((DL24*999.012)^2))+(0.2701/(DL24*999.012)))*(CV24-60)))),4)</f>
        <v>0.99329999999999996</v>
      </c>
      <c r="DZ24" s="42">
        <f>ROUND(EXP(-(((103.872/DO24)+0.2701)*(1/DO24))*(CX24-60.0068749)*(1+(0.8*(((103.872/DO24)+0.2701)*(1/DO24))*((CX24-60.0068749)+0.01374979547)))),5)</f>
        <v>0.99317</v>
      </c>
      <c r="EA24" s="38">
        <f>ROUND(EXP(-((186.9696/((DR24*1000)^2))+(0.4862/(DR24*1000)))*(DA24-15)*(1+(0.8*((186.9696/((DR24*1000)^2))+(0.4862/(DR24*1000)))*(DA24-15)))),4)</f>
        <v>0.99270000000000003</v>
      </c>
      <c r="EB24" s="42">
        <f>ROUND(EXP(-((((186.9696/DU24)+0.4862)*(1/DU24)))*(DC24-15.00367851)*(1+(0.8*((((186.9696/DU24)+0.4862)*(1/DU24)))*((DC24-15.00367851)+0.01374979547)))),5)</f>
        <v>0.99272000000000005</v>
      </c>
    </row>
    <row r="25" spans="1:132" ht="11.45" customHeight="1" x14ac:dyDescent="0.2">
      <c r="A25" s="317" t="s">
        <v>560</v>
      </c>
      <c r="B25" s="317"/>
      <c r="C25" s="317"/>
      <c r="D25" s="317"/>
      <c r="E25" s="317"/>
      <c r="F25" s="317"/>
      <c r="G25" s="317"/>
      <c r="H25" s="317"/>
      <c r="I25" s="345" t="s">
        <v>544</v>
      </c>
      <c r="J25" s="345"/>
      <c r="K25" s="345"/>
      <c r="L25" s="345"/>
      <c r="M25" s="345"/>
      <c r="N25" s="345"/>
      <c r="O25" s="345"/>
      <c r="P25" s="313">
        <v>0.86950000000000005</v>
      </c>
      <c r="Q25" s="313"/>
      <c r="R25" s="313"/>
      <c r="S25" s="313"/>
      <c r="T25" s="313"/>
      <c r="U25" s="308">
        <v>9.18</v>
      </c>
      <c r="V25" s="308"/>
      <c r="W25" s="308"/>
      <c r="X25" s="308"/>
      <c r="Y25" s="308"/>
      <c r="Z25" s="308">
        <v>2.31</v>
      </c>
      <c r="AA25" s="308"/>
      <c r="AB25" s="308"/>
      <c r="AC25" s="309"/>
      <c r="AD25" s="308"/>
      <c r="AE25" s="308">
        <v>2.31</v>
      </c>
      <c r="AF25" s="308"/>
      <c r="AG25" s="308"/>
      <c r="AH25" s="309"/>
      <c r="AI25" s="308"/>
      <c r="AJ25" s="308">
        <v>13.48</v>
      </c>
      <c r="AK25" s="308"/>
      <c r="AL25" s="308"/>
      <c r="AM25" s="308"/>
      <c r="AN25" s="308"/>
      <c r="AO25" s="308">
        <v>0</v>
      </c>
      <c r="AP25" s="308"/>
      <c r="AQ25" s="308"/>
      <c r="AR25" s="308"/>
      <c r="AS25" s="308"/>
      <c r="AT25" s="308">
        <v>0</v>
      </c>
      <c r="AU25" s="308"/>
      <c r="AV25" s="308"/>
      <c r="AW25" s="308"/>
      <c r="AX25" s="308"/>
      <c r="AY25" s="312">
        <v>40</v>
      </c>
      <c r="AZ25" s="312"/>
      <c r="BA25" s="312"/>
      <c r="BB25" s="312"/>
      <c r="BC25" s="312"/>
      <c r="BD25" s="311">
        <f t="shared" si="15"/>
        <v>13.48</v>
      </c>
      <c r="BE25" s="311"/>
      <c r="BF25" s="311"/>
      <c r="BG25" s="311"/>
      <c r="BH25" s="311"/>
      <c r="BI25" s="310">
        <f t="shared" si="0"/>
        <v>0.97972000000000004</v>
      </c>
      <c r="BJ25" s="310"/>
      <c r="BK25" s="310"/>
      <c r="BL25" s="310"/>
      <c r="BM25" s="310"/>
      <c r="BN25" s="311">
        <f t="shared" si="16"/>
        <v>13.206625600000001</v>
      </c>
      <c r="BO25" s="311"/>
      <c r="BP25" s="311"/>
      <c r="BQ25" s="311"/>
      <c r="BR25" s="311"/>
      <c r="BS25" s="332">
        <f t="shared" si="1"/>
        <v>0.86839999999999995</v>
      </c>
      <c r="BT25" s="332"/>
      <c r="BU25" s="332"/>
      <c r="BV25" s="332"/>
      <c r="BW25" s="332"/>
      <c r="BX25" s="311">
        <f t="shared" si="2"/>
        <v>11.468999999999999</v>
      </c>
      <c r="BY25" s="311"/>
      <c r="BZ25" s="311"/>
      <c r="CA25" s="311"/>
      <c r="CB25" s="311"/>
      <c r="CC25" s="311">
        <f t="shared" si="3"/>
        <v>11.483000000000001</v>
      </c>
      <c r="CD25" s="311"/>
      <c r="CE25" s="311"/>
      <c r="CF25" s="311"/>
      <c r="CG25" s="311"/>
      <c r="CN25" s="2" t="s">
        <v>55</v>
      </c>
      <c r="CP25" s="87">
        <f t="shared" si="4"/>
        <v>539.20000000000005</v>
      </c>
      <c r="CR25" s="28">
        <f t="shared" si="5"/>
        <v>84.786638800000006</v>
      </c>
      <c r="CS25" s="29">
        <f t="shared" si="6"/>
        <v>13.48</v>
      </c>
      <c r="CU25" s="28">
        <f t="shared" si="7"/>
        <v>104</v>
      </c>
      <c r="CV25" s="31">
        <f t="shared" si="8"/>
        <v>104</v>
      </c>
      <c r="CW25" s="32">
        <f t="shared" si="24"/>
        <v>104</v>
      </c>
      <c r="CX25" s="32">
        <f t="shared" si="17"/>
        <v>104.01841412354122</v>
      </c>
      <c r="CY25" s="26"/>
      <c r="CZ25" s="28">
        <f t="shared" si="9"/>
        <v>40</v>
      </c>
      <c r="DA25" s="28">
        <f t="shared" si="10"/>
        <v>40</v>
      </c>
      <c r="DB25" s="34">
        <f t="shared" si="25"/>
        <v>40</v>
      </c>
      <c r="DC25" s="32">
        <f t="shared" si="18"/>
        <v>40.010230068634009</v>
      </c>
      <c r="DD25" s="35"/>
      <c r="DE25" s="28">
        <f t="shared" si="11"/>
        <v>31.157749806473078</v>
      </c>
      <c r="DF25" s="31">
        <f t="shared" si="12"/>
        <v>31</v>
      </c>
      <c r="DG25" s="32">
        <f t="shared" si="26"/>
        <v>31.2</v>
      </c>
      <c r="DH25" s="32">
        <f t="shared" si="19"/>
        <v>868.84304855562391</v>
      </c>
      <c r="DI25" s="32">
        <f t="shared" si="20"/>
        <v>868.84572735834206</v>
      </c>
      <c r="DK25" s="38">
        <f t="shared" si="13"/>
        <v>0.86992473563881123</v>
      </c>
      <c r="DL25" s="41">
        <f t="shared" si="27"/>
        <v>0.86999999999999988</v>
      </c>
      <c r="DM25" s="38">
        <f t="shared" si="28"/>
        <v>0.86990000000000001</v>
      </c>
      <c r="DN25" s="32">
        <f t="shared" si="21"/>
        <v>869.04401840000003</v>
      </c>
      <c r="DO25" s="32">
        <f t="shared" si="29"/>
        <v>869.04669701265391</v>
      </c>
      <c r="DQ25" s="38">
        <f t="shared" si="14"/>
        <v>0.86950000000000005</v>
      </c>
      <c r="DR25" s="29">
        <f t="shared" si="30"/>
        <v>0.86999999999999988</v>
      </c>
      <c r="DS25" s="38">
        <f t="shared" si="31"/>
        <v>0.86950000000000005</v>
      </c>
      <c r="DT25" s="32">
        <f t="shared" si="22"/>
        <v>869.5</v>
      </c>
      <c r="DU25" s="32">
        <f t="shared" si="23"/>
        <v>869.5048208727801</v>
      </c>
      <c r="DW25" s="38">
        <f t="shared" si="32"/>
        <v>0.98019999999999996</v>
      </c>
      <c r="DX25" s="42">
        <f t="shared" si="33"/>
        <v>0.98014999999999997</v>
      </c>
      <c r="DY25" s="38">
        <f t="shared" si="34"/>
        <v>0.98019999999999996</v>
      </c>
      <c r="DZ25" s="42">
        <f t="shared" si="35"/>
        <v>0.98016000000000003</v>
      </c>
      <c r="EA25" s="38">
        <f t="shared" si="36"/>
        <v>0.97970000000000002</v>
      </c>
      <c r="EB25" s="42">
        <f t="shared" si="37"/>
        <v>0.97972000000000004</v>
      </c>
    </row>
    <row r="26" spans="1:132" ht="11.45" customHeight="1" x14ac:dyDescent="0.2">
      <c r="A26" s="317" t="s">
        <v>561</v>
      </c>
      <c r="B26" s="317"/>
      <c r="C26" s="317"/>
      <c r="D26" s="317"/>
      <c r="E26" s="317"/>
      <c r="F26" s="317"/>
      <c r="G26" s="317"/>
      <c r="H26" s="317"/>
      <c r="I26" s="345" t="s">
        <v>544</v>
      </c>
      <c r="J26" s="345"/>
      <c r="K26" s="345"/>
      <c r="L26" s="345"/>
      <c r="M26" s="345"/>
      <c r="N26" s="345"/>
      <c r="O26" s="345"/>
      <c r="P26" s="313">
        <v>0.86950000000000005</v>
      </c>
      <c r="Q26" s="313"/>
      <c r="R26" s="313"/>
      <c r="S26" s="313"/>
      <c r="T26" s="313"/>
      <c r="U26" s="308">
        <v>3.85</v>
      </c>
      <c r="V26" s="308"/>
      <c r="W26" s="308"/>
      <c r="X26" s="308"/>
      <c r="Y26" s="308"/>
      <c r="Z26" s="308">
        <v>2.7</v>
      </c>
      <c r="AA26" s="308"/>
      <c r="AB26" s="308"/>
      <c r="AC26" s="309"/>
      <c r="AD26" s="308"/>
      <c r="AE26" s="308">
        <v>2.7</v>
      </c>
      <c r="AF26" s="308"/>
      <c r="AG26" s="308"/>
      <c r="AH26" s="309"/>
      <c r="AI26" s="308"/>
      <c r="AJ26" s="308">
        <v>15.2</v>
      </c>
      <c r="AK26" s="308"/>
      <c r="AL26" s="308"/>
      <c r="AM26" s="308"/>
      <c r="AN26" s="308"/>
      <c r="AO26" s="308">
        <v>0</v>
      </c>
      <c r="AP26" s="308"/>
      <c r="AQ26" s="308"/>
      <c r="AR26" s="308"/>
      <c r="AS26" s="308"/>
      <c r="AT26" s="308">
        <v>0</v>
      </c>
      <c r="AU26" s="308"/>
      <c r="AV26" s="308"/>
      <c r="AW26" s="308"/>
      <c r="AX26" s="308"/>
      <c r="AY26" s="312">
        <v>40</v>
      </c>
      <c r="AZ26" s="312"/>
      <c r="BA26" s="312"/>
      <c r="BB26" s="312"/>
      <c r="BC26" s="312"/>
      <c r="BD26" s="311">
        <f t="shared" si="15"/>
        <v>15.2</v>
      </c>
      <c r="BE26" s="311"/>
      <c r="BF26" s="311"/>
      <c r="BG26" s="311"/>
      <c r="BH26" s="311"/>
      <c r="BI26" s="310">
        <f t="shared" si="0"/>
        <v>0.97972000000000004</v>
      </c>
      <c r="BJ26" s="310"/>
      <c r="BK26" s="310"/>
      <c r="BL26" s="310"/>
      <c r="BM26" s="310"/>
      <c r="BN26" s="311">
        <f t="shared" si="16"/>
        <v>14.891743999999999</v>
      </c>
      <c r="BO26" s="311"/>
      <c r="BP26" s="311"/>
      <c r="BQ26" s="311"/>
      <c r="BR26" s="311"/>
      <c r="BS26" s="332">
        <f t="shared" si="1"/>
        <v>0.86839999999999995</v>
      </c>
      <c r="BT26" s="332"/>
      <c r="BU26" s="332"/>
      <c r="BV26" s="332"/>
      <c r="BW26" s="332"/>
      <c r="BX26" s="311">
        <f t="shared" si="2"/>
        <v>12.932</v>
      </c>
      <c r="BY26" s="311"/>
      <c r="BZ26" s="311"/>
      <c r="CA26" s="311"/>
      <c r="CB26" s="311"/>
      <c r="CC26" s="311">
        <f t="shared" si="3"/>
        <v>12.948</v>
      </c>
      <c r="CD26" s="311"/>
      <c r="CE26" s="311"/>
      <c r="CF26" s="311"/>
      <c r="CG26" s="311"/>
      <c r="CP26" s="87">
        <f t="shared" si="4"/>
        <v>608</v>
      </c>
      <c r="CR26" s="28">
        <f t="shared" si="5"/>
        <v>95.605111999999991</v>
      </c>
      <c r="CS26" s="29">
        <f t="shared" si="6"/>
        <v>15.2</v>
      </c>
      <c r="CU26" s="28">
        <f t="shared" si="7"/>
        <v>104</v>
      </c>
      <c r="CV26" s="31">
        <f t="shared" si="8"/>
        <v>104</v>
      </c>
      <c r="CW26" s="32">
        <f t="shared" si="24"/>
        <v>104</v>
      </c>
      <c r="CX26" s="32">
        <f t="shared" si="17"/>
        <v>104.01841412354122</v>
      </c>
      <c r="CY26" s="26"/>
      <c r="CZ26" s="28">
        <f t="shared" si="9"/>
        <v>40</v>
      </c>
      <c r="DA26" s="28">
        <f t="shared" si="10"/>
        <v>40</v>
      </c>
      <c r="DB26" s="34">
        <f t="shared" si="25"/>
        <v>40</v>
      </c>
      <c r="DC26" s="32">
        <f t="shared" si="18"/>
        <v>40.010230068634009</v>
      </c>
      <c r="DD26" s="35"/>
      <c r="DE26" s="28">
        <f t="shared" si="11"/>
        <v>31.157749806473078</v>
      </c>
      <c r="DF26" s="31">
        <f t="shared" si="12"/>
        <v>31</v>
      </c>
      <c r="DG26" s="32">
        <f t="shared" si="26"/>
        <v>31.2</v>
      </c>
      <c r="DH26" s="32">
        <f t="shared" si="19"/>
        <v>868.84304855562391</v>
      </c>
      <c r="DI26" s="32">
        <f t="shared" si="20"/>
        <v>868.84572735834206</v>
      </c>
      <c r="DK26" s="38">
        <f t="shared" si="13"/>
        <v>0.86992473563881123</v>
      </c>
      <c r="DL26" s="41">
        <f t="shared" si="27"/>
        <v>0.86999999999999988</v>
      </c>
      <c r="DM26" s="38">
        <f t="shared" si="28"/>
        <v>0.86990000000000001</v>
      </c>
      <c r="DN26" s="32">
        <f t="shared" si="21"/>
        <v>869.04401840000003</v>
      </c>
      <c r="DO26" s="32">
        <f t="shared" si="29"/>
        <v>869.04669701265391</v>
      </c>
      <c r="DQ26" s="38">
        <f t="shared" si="14"/>
        <v>0.86950000000000005</v>
      </c>
      <c r="DR26" s="29">
        <f t="shared" si="30"/>
        <v>0.86999999999999988</v>
      </c>
      <c r="DS26" s="38">
        <f t="shared" si="31"/>
        <v>0.86950000000000005</v>
      </c>
      <c r="DT26" s="32">
        <f t="shared" si="22"/>
        <v>869.5</v>
      </c>
      <c r="DU26" s="32">
        <f t="shared" si="23"/>
        <v>869.5048208727801</v>
      </c>
      <c r="DW26" s="38">
        <f t="shared" si="32"/>
        <v>0.98019999999999996</v>
      </c>
      <c r="DX26" s="42">
        <f t="shared" si="33"/>
        <v>0.98014999999999997</v>
      </c>
      <c r="DY26" s="38">
        <f t="shared" si="34"/>
        <v>0.98019999999999996</v>
      </c>
      <c r="DZ26" s="42">
        <f t="shared" si="35"/>
        <v>0.98016000000000003</v>
      </c>
      <c r="EA26" s="38">
        <f t="shared" si="36"/>
        <v>0.97970000000000002</v>
      </c>
      <c r="EB26" s="42">
        <f t="shared" si="37"/>
        <v>0.97972000000000004</v>
      </c>
    </row>
    <row r="27" spans="1:132" ht="11.45" customHeight="1" x14ac:dyDescent="0.2">
      <c r="A27" s="317" t="s">
        <v>562</v>
      </c>
      <c r="B27" s="317"/>
      <c r="C27" s="317"/>
      <c r="D27" s="317"/>
      <c r="E27" s="317"/>
      <c r="F27" s="317"/>
      <c r="G27" s="317"/>
      <c r="H27" s="317"/>
      <c r="I27" s="345" t="s">
        <v>544</v>
      </c>
      <c r="J27" s="345"/>
      <c r="K27" s="345"/>
      <c r="L27" s="345"/>
      <c r="M27" s="345"/>
      <c r="N27" s="345"/>
      <c r="O27" s="345"/>
      <c r="P27" s="313">
        <v>0.86950000000000005</v>
      </c>
      <c r="Q27" s="313"/>
      <c r="R27" s="313"/>
      <c r="S27" s="313"/>
      <c r="T27" s="313"/>
      <c r="U27" s="308">
        <v>3.85</v>
      </c>
      <c r="V27" s="308"/>
      <c r="W27" s="308"/>
      <c r="X27" s="308"/>
      <c r="Y27" s="308"/>
      <c r="Z27" s="308">
        <v>2.64</v>
      </c>
      <c r="AA27" s="308"/>
      <c r="AB27" s="308"/>
      <c r="AC27" s="309"/>
      <c r="AD27" s="308"/>
      <c r="AE27" s="308">
        <v>2.64</v>
      </c>
      <c r="AF27" s="308"/>
      <c r="AG27" s="308"/>
      <c r="AH27" s="309"/>
      <c r="AI27" s="308"/>
      <c r="AJ27" s="308">
        <v>22.92</v>
      </c>
      <c r="AK27" s="308"/>
      <c r="AL27" s="308"/>
      <c r="AM27" s="308"/>
      <c r="AN27" s="308"/>
      <c r="AO27" s="308">
        <v>0</v>
      </c>
      <c r="AP27" s="308"/>
      <c r="AQ27" s="308"/>
      <c r="AR27" s="308"/>
      <c r="AS27" s="308"/>
      <c r="AT27" s="308">
        <v>0</v>
      </c>
      <c r="AU27" s="308"/>
      <c r="AV27" s="308"/>
      <c r="AW27" s="308"/>
      <c r="AX27" s="308"/>
      <c r="AY27" s="312">
        <v>32</v>
      </c>
      <c r="AZ27" s="312"/>
      <c r="BA27" s="312"/>
      <c r="BB27" s="312"/>
      <c r="BC27" s="312"/>
      <c r="BD27" s="311">
        <f t="shared" si="15"/>
        <v>22.92</v>
      </c>
      <c r="BE27" s="311"/>
      <c r="BF27" s="311"/>
      <c r="BG27" s="311"/>
      <c r="BH27" s="311"/>
      <c r="BI27" s="310">
        <f t="shared" si="0"/>
        <v>0.98623000000000005</v>
      </c>
      <c r="BJ27" s="310"/>
      <c r="BK27" s="310"/>
      <c r="BL27" s="310"/>
      <c r="BM27" s="310"/>
      <c r="BN27" s="311">
        <f t="shared" si="16"/>
        <v>22.604391600000003</v>
      </c>
      <c r="BO27" s="311"/>
      <c r="BP27" s="311"/>
      <c r="BQ27" s="311"/>
      <c r="BR27" s="311"/>
      <c r="BS27" s="332">
        <f t="shared" si="1"/>
        <v>0.86839999999999995</v>
      </c>
      <c r="BT27" s="332"/>
      <c r="BU27" s="332"/>
      <c r="BV27" s="332"/>
      <c r="BW27" s="332"/>
      <c r="BX27" s="311">
        <f t="shared" si="2"/>
        <v>19.63</v>
      </c>
      <c r="BY27" s="311"/>
      <c r="BZ27" s="311"/>
      <c r="CA27" s="311"/>
      <c r="CB27" s="311"/>
      <c r="CC27" s="311">
        <f t="shared" si="3"/>
        <v>19.655000000000001</v>
      </c>
      <c r="CD27" s="311"/>
      <c r="CE27" s="311"/>
      <c r="CF27" s="311"/>
      <c r="CG27" s="311"/>
      <c r="CP27" s="87">
        <f t="shared" si="4"/>
        <v>733.44</v>
      </c>
      <c r="CR27" s="28">
        <f t="shared" si="5"/>
        <v>144.16244520000001</v>
      </c>
      <c r="CS27" s="29">
        <f t="shared" si="6"/>
        <v>22.92</v>
      </c>
      <c r="CU27" s="28">
        <f t="shared" si="7"/>
        <v>89.6</v>
      </c>
      <c r="CV27" s="31">
        <f t="shared" si="8"/>
        <v>89.5</v>
      </c>
      <c r="CW27" s="32">
        <f t="shared" si="24"/>
        <v>89.6</v>
      </c>
      <c r="CX27" s="32">
        <f t="shared" si="17"/>
        <v>89.61457505797874</v>
      </c>
      <c r="CY27" s="26"/>
      <c r="CZ27" s="28">
        <f t="shared" si="9"/>
        <v>32</v>
      </c>
      <c r="DA27" s="28">
        <f t="shared" si="10"/>
        <v>32</v>
      </c>
      <c r="DB27" s="34">
        <f t="shared" si="25"/>
        <v>32</v>
      </c>
      <c r="DC27" s="32">
        <f t="shared" si="18"/>
        <v>32.008097254432634</v>
      </c>
      <c r="DD27" s="35"/>
      <c r="DE27" s="28">
        <f t="shared" si="11"/>
        <v>31.157749806473078</v>
      </c>
      <c r="DF27" s="31">
        <f t="shared" si="12"/>
        <v>31</v>
      </c>
      <c r="DG27" s="32">
        <f t="shared" si="26"/>
        <v>31.2</v>
      </c>
      <c r="DH27" s="32">
        <f t="shared" si="19"/>
        <v>868.84304855562391</v>
      </c>
      <c r="DI27" s="32">
        <f t="shared" si="20"/>
        <v>868.84572735834206</v>
      </c>
      <c r="DK27" s="38">
        <f t="shared" si="13"/>
        <v>0.86992473563881123</v>
      </c>
      <c r="DL27" s="41">
        <f t="shared" si="27"/>
        <v>0.86999999999999988</v>
      </c>
      <c r="DM27" s="38">
        <f t="shared" si="28"/>
        <v>0.86990000000000001</v>
      </c>
      <c r="DN27" s="32">
        <f t="shared" si="21"/>
        <v>869.04401840000003</v>
      </c>
      <c r="DO27" s="32">
        <f t="shared" si="29"/>
        <v>869.04669701265391</v>
      </c>
      <c r="DQ27" s="38">
        <f t="shared" si="14"/>
        <v>0.86950000000000005</v>
      </c>
      <c r="DR27" s="29">
        <f t="shared" si="30"/>
        <v>0.86999999999999988</v>
      </c>
      <c r="DS27" s="38">
        <f t="shared" si="31"/>
        <v>0.86950000000000005</v>
      </c>
      <c r="DT27" s="32">
        <f t="shared" si="22"/>
        <v>869.5</v>
      </c>
      <c r="DU27" s="32">
        <f t="shared" si="23"/>
        <v>869.5048208727801</v>
      </c>
      <c r="DW27" s="38">
        <f t="shared" si="32"/>
        <v>0.98670000000000002</v>
      </c>
      <c r="DX27" s="42">
        <f t="shared" si="33"/>
        <v>0.98667000000000005</v>
      </c>
      <c r="DY27" s="38">
        <f t="shared" si="34"/>
        <v>0.98670000000000002</v>
      </c>
      <c r="DZ27" s="42">
        <f t="shared" si="35"/>
        <v>0.98667000000000005</v>
      </c>
      <c r="EA27" s="38">
        <f t="shared" si="36"/>
        <v>0.98619999999999997</v>
      </c>
      <c r="EB27" s="42">
        <f t="shared" si="37"/>
        <v>0.98623000000000005</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5"/>
        <v/>
      </c>
      <c r="BE28" s="311"/>
      <c r="BF28" s="311"/>
      <c r="BG28" s="311"/>
      <c r="BH28" s="311"/>
      <c r="BI28" s="310" t="str">
        <f t="shared" si="0"/>
        <v/>
      </c>
      <c r="BJ28" s="310"/>
      <c r="BK28" s="310"/>
      <c r="BL28" s="310"/>
      <c r="BM28" s="310"/>
      <c r="BN28" s="311" t="str">
        <f t="shared" si="16"/>
        <v/>
      </c>
      <c r="BO28" s="311"/>
      <c r="BP28" s="311"/>
      <c r="BQ28" s="311"/>
      <c r="BR28" s="311"/>
      <c r="BS28" s="332" t="str">
        <f t="shared" si="1"/>
        <v/>
      </c>
      <c r="BT28" s="332"/>
      <c r="BU28" s="332"/>
      <c r="BV28" s="332"/>
      <c r="BW28" s="332"/>
      <c r="BX28" s="311" t="str">
        <f t="shared" si="2"/>
        <v/>
      </c>
      <c r="BY28" s="311"/>
      <c r="BZ28" s="311"/>
      <c r="CA28" s="311"/>
      <c r="CB28" s="311"/>
      <c r="CC28" s="311" t="str">
        <f t="shared" si="3"/>
        <v/>
      </c>
      <c r="CD28" s="311"/>
      <c r="CE28" s="311"/>
      <c r="CF28" s="311"/>
      <c r="CG28" s="311"/>
      <c r="CN28" s="1" t="s">
        <v>216</v>
      </c>
      <c r="CP28" s="87">
        <f t="shared" si="4"/>
        <v>0</v>
      </c>
      <c r="CR28" s="28" t="e">
        <f t="shared" si="5"/>
        <v>#VALUE!</v>
      </c>
      <c r="CS28" s="29" t="str">
        <f t="shared" si="6"/>
        <v/>
      </c>
      <c r="CU28" s="28">
        <f t="shared" si="7"/>
        <v>32</v>
      </c>
      <c r="CV28" s="31">
        <f t="shared" si="8"/>
        <v>32</v>
      </c>
      <c r="CW28" s="32">
        <f t="shared" si="24"/>
        <v>32</v>
      </c>
      <c r="CX28" s="32">
        <f t="shared" si="17"/>
        <v>32</v>
      </c>
      <c r="CY28" s="26"/>
      <c r="CZ28" s="28">
        <f t="shared" si="9"/>
        <v>0</v>
      </c>
      <c r="DA28" s="28">
        <f t="shared" si="10"/>
        <v>0</v>
      </c>
      <c r="DB28" s="34">
        <f t="shared" si="25"/>
        <v>0</v>
      </c>
      <c r="DC28" s="32">
        <f t="shared" si="18"/>
        <v>0</v>
      </c>
      <c r="DD28" s="35"/>
      <c r="DE28" s="28" t="e">
        <f t="shared" si="11"/>
        <v>#DIV/0!</v>
      </c>
      <c r="DF28" s="31" t="e">
        <f t="shared" si="12"/>
        <v>#DIV/0!</v>
      </c>
      <c r="DG28" s="32" t="e">
        <f t="shared" si="26"/>
        <v>#DIV/0!</v>
      </c>
      <c r="DH28" s="32" t="e">
        <f t="shared" si="19"/>
        <v>#DIV/0!</v>
      </c>
      <c r="DI28" s="32" t="e">
        <f t="shared" si="20"/>
        <v>#DIV/0!</v>
      </c>
      <c r="DK28" s="38" t="e">
        <f t="shared" si="13"/>
        <v>#DIV/0!</v>
      </c>
      <c r="DL28" s="41" t="e">
        <f t="shared" si="27"/>
        <v>#DIV/0!</v>
      </c>
      <c r="DM28" s="38" t="e">
        <f t="shared" si="28"/>
        <v>#DIV/0!</v>
      </c>
      <c r="DN28" s="32" t="e">
        <f t="shared" si="21"/>
        <v>#DIV/0!</v>
      </c>
      <c r="DO28" s="32" t="e">
        <f t="shared" si="29"/>
        <v>#DIV/0!</v>
      </c>
      <c r="DQ28" s="38">
        <f t="shared" si="14"/>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5"/>
        <v/>
      </c>
      <c r="BE29" s="311"/>
      <c r="BF29" s="311"/>
      <c r="BG29" s="311"/>
      <c r="BH29" s="311"/>
      <c r="BI29" s="310" t="str">
        <f t="shared" si="0"/>
        <v/>
      </c>
      <c r="BJ29" s="310"/>
      <c r="BK29" s="310"/>
      <c r="BL29" s="310"/>
      <c r="BM29" s="310"/>
      <c r="BN29" s="311" t="str">
        <f t="shared" si="16"/>
        <v/>
      </c>
      <c r="BO29" s="311"/>
      <c r="BP29" s="311"/>
      <c r="BQ29" s="311"/>
      <c r="BR29" s="311"/>
      <c r="BS29" s="332" t="str">
        <f t="shared" si="1"/>
        <v/>
      </c>
      <c r="BT29" s="332"/>
      <c r="BU29" s="332"/>
      <c r="BV29" s="332"/>
      <c r="BW29" s="332"/>
      <c r="BX29" s="311" t="str">
        <f t="shared" si="2"/>
        <v/>
      </c>
      <c r="BY29" s="311"/>
      <c r="BZ29" s="311"/>
      <c r="CA29" s="311"/>
      <c r="CB29" s="311"/>
      <c r="CC29" s="311" t="str">
        <f t="shared" si="3"/>
        <v/>
      </c>
      <c r="CD29" s="311"/>
      <c r="CE29" s="311"/>
      <c r="CF29" s="311"/>
      <c r="CG29" s="311"/>
      <c r="CI29" s="323" t="s">
        <v>166</v>
      </c>
      <c r="CJ29" s="324"/>
      <c r="CK29" s="324"/>
      <c r="CL29" s="325"/>
      <c r="CN29" s="107" t="s">
        <v>198</v>
      </c>
      <c r="CP29" s="2">
        <f t="shared" si="4"/>
        <v>0</v>
      </c>
      <c r="CR29" s="45" t="e">
        <f t="shared" si="5"/>
        <v>#VALUE!</v>
      </c>
      <c r="CS29" s="46" t="str">
        <f t="shared" si="6"/>
        <v/>
      </c>
      <c r="CU29" s="45">
        <f t="shared" si="7"/>
        <v>32</v>
      </c>
      <c r="CV29" s="47">
        <f t="shared" si="8"/>
        <v>32</v>
      </c>
      <c r="CW29" s="48">
        <f>ROUND(CU29,1)</f>
        <v>32</v>
      </c>
      <c r="CX29" s="48">
        <f t="shared" si="17"/>
        <v>32</v>
      </c>
      <c r="CZ29" s="45">
        <f t="shared" si="9"/>
        <v>0</v>
      </c>
      <c r="DA29" s="45">
        <f t="shared" si="10"/>
        <v>0</v>
      </c>
      <c r="DB29" s="49">
        <f>ROUND(CZ29,1)</f>
        <v>0</v>
      </c>
      <c r="DC29" s="48">
        <f t="shared" si="18"/>
        <v>0</v>
      </c>
      <c r="DD29" s="35"/>
      <c r="DE29" s="45" t="e">
        <f t="shared" si="11"/>
        <v>#DIV/0!</v>
      </c>
      <c r="DF29" s="47" t="e">
        <f t="shared" si="12"/>
        <v>#DIV/0!</v>
      </c>
      <c r="DG29" s="48" t="e">
        <f>ROUND(DE29,1)</f>
        <v>#DIV/0!</v>
      </c>
      <c r="DH29" s="48" t="e">
        <f t="shared" si="19"/>
        <v>#DIV/0!</v>
      </c>
      <c r="DI29" s="48" t="e">
        <f t="shared" si="20"/>
        <v>#DIV/0!</v>
      </c>
      <c r="DK29" s="50" t="e">
        <f t="shared" si="13"/>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4"/>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f>IF(COUNT(AJ18:AN29)=0,"",ROUND(SUM(AJ18:AN29),3))</f>
        <v>179.77</v>
      </c>
      <c r="AK30" s="321"/>
      <c r="AL30" s="321"/>
      <c r="AM30" s="321"/>
      <c r="AN30" s="322"/>
      <c r="AO30" s="341" t="s">
        <v>214</v>
      </c>
      <c r="AP30" s="341"/>
      <c r="AQ30" s="341"/>
      <c r="AR30" s="341"/>
      <c r="AS30" s="341"/>
      <c r="AT30" s="320">
        <f>IF(COUNT(AT18:AX29)=0,"",ROUND(SUM(AT18:AX29),3))</f>
        <v>0</v>
      </c>
      <c r="AU30" s="321"/>
      <c r="AV30" s="321"/>
      <c r="AW30" s="321"/>
      <c r="AX30" s="322"/>
      <c r="AY30" s="341" t="s">
        <v>211</v>
      </c>
      <c r="AZ30" s="341"/>
      <c r="BA30" s="341"/>
      <c r="BB30" s="341"/>
      <c r="BC30" s="341"/>
      <c r="BD30" s="320">
        <f>IF(COUNT(BD18:BH29)=0,"",ROUND(SUM(BD18:BH29),3))</f>
        <v>179.77</v>
      </c>
      <c r="BE30" s="321"/>
      <c r="BF30" s="321"/>
      <c r="BG30" s="321"/>
      <c r="BH30" s="322"/>
      <c r="BI30" s="341" t="s">
        <v>210</v>
      </c>
      <c r="BJ30" s="341"/>
      <c r="BK30" s="341"/>
      <c r="BL30" s="341"/>
      <c r="BM30" s="341"/>
      <c r="BN30" s="320">
        <f>IF(COUNT(BN18:BR29)=0,"",ROUND(SUM(BN18:BR29),3))</f>
        <v>177.279</v>
      </c>
      <c r="BO30" s="321"/>
      <c r="BP30" s="321"/>
      <c r="BQ30" s="321"/>
      <c r="BR30" s="322"/>
      <c r="BS30" s="341" t="s">
        <v>209</v>
      </c>
      <c r="BT30" s="341"/>
      <c r="BU30" s="341"/>
      <c r="BV30" s="341"/>
      <c r="BW30" s="341"/>
      <c r="BX30" s="320">
        <f>IF(COUNT(BX18:CB29)=0,"",ROUND(SUM(BX18:CB29),3))</f>
        <v>153.95099999999999</v>
      </c>
      <c r="BY30" s="321"/>
      <c r="BZ30" s="321"/>
      <c r="CA30" s="321"/>
      <c r="CB30" s="322"/>
      <c r="CC30" s="320">
        <f>IF(COUNT(CC18:CG29)=0,"",ROUND(SUM(CC18:CG29),3))</f>
        <v>154.14400000000001</v>
      </c>
      <c r="CD30" s="321"/>
      <c r="CE30" s="321"/>
      <c r="CF30" s="321"/>
      <c r="CG30" s="322"/>
      <c r="CI30" s="326"/>
      <c r="CJ30" s="327"/>
      <c r="CK30" s="327"/>
      <c r="CL30" s="328"/>
      <c r="CN30" s="2" t="s">
        <v>226</v>
      </c>
      <c r="CP30" s="91"/>
      <c r="DW30" s="91"/>
      <c r="DX30" s="91"/>
    </row>
    <row r="31" spans="1:132" ht="11.45" customHeight="1" thickBot="1" x14ac:dyDescent="0.25">
      <c r="A31" s="363"/>
      <c r="B31" s="363"/>
      <c r="C31" s="363"/>
      <c r="D31" s="363"/>
      <c r="E31" s="363"/>
      <c r="F31" s="363"/>
      <c r="G31" s="363"/>
      <c r="H31" s="363"/>
      <c r="I31" s="363"/>
      <c r="J31" s="363"/>
      <c r="K31" s="363"/>
      <c r="L31" s="363"/>
      <c r="M31" s="363"/>
      <c r="N31" s="363"/>
      <c r="O31" s="363"/>
      <c r="P31" s="363"/>
      <c r="Q31" s="363"/>
      <c r="R31" s="363"/>
      <c r="S31" s="363"/>
      <c r="T31" s="363"/>
      <c r="U31" s="363"/>
      <c r="V31" s="363"/>
      <c r="W31" s="363"/>
      <c r="X31" s="363"/>
      <c r="Y31" s="363"/>
      <c r="Z31" s="363"/>
      <c r="AA31" s="363"/>
      <c r="AB31" s="363"/>
      <c r="AC31" s="363"/>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H31" s="363"/>
      <c r="BI31" s="363"/>
      <c r="BJ31" s="363"/>
      <c r="BK31" s="363"/>
      <c r="BL31" s="363"/>
      <c r="BM31" s="363"/>
      <c r="BN31" s="363"/>
      <c r="BO31" s="363"/>
      <c r="BP31" s="363"/>
      <c r="BQ31" s="363"/>
      <c r="BR31" s="363"/>
      <c r="BS31" s="363"/>
      <c r="BT31" s="363"/>
      <c r="BU31" s="363"/>
      <c r="BV31" s="363"/>
      <c r="BW31" s="363"/>
      <c r="BX31" s="363"/>
      <c r="BY31" s="363"/>
      <c r="BZ31" s="363"/>
      <c r="CA31" s="363"/>
      <c r="CB31" s="363"/>
      <c r="CC31" s="363"/>
      <c r="CD31" s="363"/>
      <c r="CE31" s="363"/>
      <c r="CF31" s="363"/>
      <c r="CG31" s="363"/>
      <c r="CI31" s="5"/>
      <c r="CJ31" s="113">
        <v>-110</v>
      </c>
      <c r="CK31" s="114">
        <v>-108.1</v>
      </c>
      <c r="CL31" s="115">
        <v>-108</v>
      </c>
      <c r="CP31" s="91"/>
      <c r="DW31" s="91"/>
      <c r="DX31" s="91"/>
    </row>
    <row r="32" spans="1:132" ht="11.45" customHeight="1" x14ac:dyDescent="0.2">
      <c r="A32" s="336" t="s">
        <v>28</v>
      </c>
      <c r="B32" s="336"/>
      <c r="C32" s="336"/>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336"/>
      <c r="AB32" s="336"/>
      <c r="AC32" s="336"/>
      <c r="AD32" s="336"/>
      <c r="AE32" s="336"/>
      <c r="AF32" s="336"/>
      <c r="AG32" s="336"/>
      <c r="AH32" s="336"/>
      <c r="AI32" s="336"/>
      <c r="AJ32" s="336"/>
      <c r="AK32" s="336"/>
      <c r="AL32" s="343" t="s">
        <v>2</v>
      </c>
      <c r="AM32" s="343"/>
      <c r="AN32" s="343"/>
      <c r="AO32" s="95" t="s">
        <v>0</v>
      </c>
      <c r="AP32" s="344">
        <f>'Time Log 1'!A30</f>
        <v>44720</v>
      </c>
      <c r="AQ32" s="344"/>
      <c r="AR32" s="344"/>
      <c r="AS32" s="344"/>
      <c r="AT32" s="344"/>
      <c r="AU32" s="344"/>
      <c r="AV32" s="344"/>
      <c r="AW32" s="344"/>
      <c r="AX32" s="343" t="s">
        <v>16</v>
      </c>
      <c r="AY32" s="343"/>
      <c r="AZ32" s="343"/>
      <c r="BA32" s="95" t="s">
        <v>0</v>
      </c>
      <c r="BB32" s="365">
        <f>'Time Log 1'!S30</f>
        <v>0.33333333333333331</v>
      </c>
      <c r="BC32" s="365"/>
      <c r="BD32" s="365"/>
      <c r="BE32" s="365"/>
      <c r="BF32" s="365"/>
      <c r="BG32" s="365"/>
      <c r="BH32" s="365"/>
      <c r="BI32" s="365"/>
      <c r="BJ32" s="343" t="s">
        <v>425</v>
      </c>
      <c r="BK32" s="343"/>
      <c r="BL32" s="343"/>
      <c r="BM32" s="343"/>
      <c r="BN32" s="343"/>
      <c r="BO32" s="343"/>
      <c r="BP32" s="343"/>
      <c r="BQ32" s="95" t="s">
        <v>0</v>
      </c>
      <c r="BR32" s="343" t="s">
        <v>430</v>
      </c>
      <c r="BS32" s="343"/>
      <c r="BT32" s="343"/>
      <c r="BU32" s="343"/>
      <c r="BV32" s="343"/>
      <c r="BW32" s="343"/>
      <c r="BX32" s="343"/>
      <c r="BY32" s="343"/>
      <c r="BZ32" s="343"/>
      <c r="CA32" s="343"/>
      <c r="CB32" s="343"/>
      <c r="CC32" s="343"/>
      <c r="CD32" s="343"/>
      <c r="CE32" s="343"/>
      <c r="CF32" s="343"/>
      <c r="CG32" s="343"/>
      <c r="CI32" s="116">
        <v>34</v>
      </c>
      <c r="CJ32" s="117">
        <v>-140</v>
      </c>
      <c r="CK32" s="53">
        <f>(CL32-CJ32)/(CL31-CJ31)*(CK31-CJ31)+CJ32</f>
        <v>-140</v>
      </c>
      <c r="CL32" s="118">
        <v>-140</v>
      </c>
      <c r="CP32" s="91"/>
      <c r="CR32" s="91"/>
      <c r="CS32" s="91"/>
      <c r="CY32" s="91"/>
      <c r="DW32" s="91"/>
      <c r="DX32" s="91"/>
    </row>
    <row r="33" spans="1:132" ht="11.45" customHeight="1" x14ac:dyDescent="0.2">
      <c r="A33" s="155"/>
      <c r="B33" s="155"/>
      <c r="C33" s="155"/>
      <c r="D33" s="155"/>
      <c r="E33" s="155"/>
      <c r="F33" s="155"/>
      <c r="G33" s="155" t="s">
        <v>196</v>
      </c>
      <c r="H33" s="155"/>
      <c r="I33" s="155"/>
      <c r="J33" s="155"/>
      <c r="K33" s="155"/>
      <c r="L33" s="155"/>
      <c r="M33" s="90" t="s">
        <v>0</v>
      </c>
      <c r="N33" s="340">
        <v>5.7</v>
      </c>
      <c r="O33" s="340"/>
      <c r="P33" s="340"/>
      <c r="Q33" s="340"/>
      <c r="R33" s="340"/>
      <c r="S33" s="340"/>
      <c r="T33" s="340" t="s">
        <v>192</v>
      </c>
      <c r="U33" s="340"/>
      <c r="V33" s="340"/>
      <c r="W33" s="340"/>
      <c r="X33" s="350"/>
      <c r="Y33" s="350"/>
      <c r="Z33" s="350"/>
      <c r="AA33" s="350"/>
      <c r="AB33" s="350"/>
      <c r="AC33" s="350"/>
      <c r="AD33" s="352" t="s">
        <v>427</v>
      </c>
      <c r="AE33" s="352"/>
      <c r="AF33" s="352"/>
      <c r="AG33" s="90" t="s">
        <v>0</v>
      </c>
      <c r="AH33" s="340">
        <f>IF(OR(N33="",N34=""),"",(N34-N33))</f>
        <v>1.5999999999999996</v>
      </c>
      <c r="AI33" s="340"/>
      <c r="AJ33" s="340"/>
      <c r="AK33" s="340"/>
      <c r="AL33" s="340"/>
      <c r="AM33" s="342" t="str">
        <f>T33</f>
        <v xml:space="preserve"> M</v>
      </c>
      <c r="AN33" s="342"/>
      <c r="AO33" s="342"/>
      <c r="AP33" s="342"/>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103" t="s">
        <v>0</v>
      </c>
      <c r="BN33" s="155" t="s">
        <v>93</v>
      </c>
      <c r="BO33" s="155"/>
      <c r="BP33" s="155"/>
      <c r="BQ33" s="155"/>
      <c r="BR33" s="155"/>
      <c r="BS33" s="155"/>
      <c r="BT33" s="155"/>
      <c r="BU33" s="155"/>
      <c r="BV33" s="155"/>
      <c r="BW33" s="155"/>
      <c r="BX33" s="155"/>
      <c r="BY33" s="155"/>
      <c r="BZ33" s="155"/>
      <c r="CA33" s="155"/>
      <c r="CB33" s="155"/>
      <c r="CC33" s="155"/>
      <c r="CD33" s="155"/>
      <c r="CE33" s="155"/>
      <c r="CF33" s="155"/>
      <c r="CG33" s="155"/>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162"/>
      <c r="B34" s="162"/>
      <c r="C34" s="162"/>
      <c r="D34" s="162"/>
      <c r="E34" s="162"/>
      <c r="F34" s="162"/>
      <c r="G34" s="162" t="s">
        <v>426</v>
      </c>
      <c r="H34" s="162"/>
      <c r="I34" s="162"/>
      <c r="J34" s="162"/>
      <c r="K34" s="162"/>
      <c r="L34" s="162"/>
      <c r="M34" s="90" t="s">
        <v>0</v>
      </c>
      <c r="N34" s="355">
        <v>7.3</v>
      </c>
      <c r="O34" s="355"/>
      <c r="P34" s="355"/>
      <c r="Q34" s="355"/>
      <c r="R34" s="355"/>
      <c r="S34" s="355"/>
      <c r="T34" s="358" t="str">
        <f>T33</f>
        <v xml:space="preserve"> M</v>
      </c>
      <c r="U34" s="358"/>
      <c r="V34" s="358"/>
      <c r="W34" s="358"/>
      <c r="X34" s="351"/>
      <c r="Y34" s="351"/>
      <c r="Z34" s="351"/>
      <c r="AA34" s="351"/>
      <c r="AB34" s="351"/>
      <c r="AC34" s="351"/>
      <c r="AD34" s="353" t="s">
        <v>428</v>
      </c>
      <c r="AE34" s="353"/>
      <c r="AF34" s="353"/>
      <c r="AG34" s="90" t="s">
        <v>0</v>
      </c>
      <c r="AH34" s="162">
        <v>0</v>
      </c>
      <c r="AI34" s="162"/>
      <c r="AJ34" s="162"/>
      <c r="AK34" s="162"/>
      <c r="AL34" s="162"/>
      <c r="AM34" s="162"/>
      <c r="AN34" s="162"/>
      <c r="AO34" s="162"/>
      <c r="AP34" s="16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103" t="s">
        <v>0</v>
      </c>
      <c r="BN34" s="162" t="s">
        <v>93</v>
      </c>
      <c r="BO34" s="162"/>
      <c r="BP34" s="162"/>
      <c r="BQ34" s="162"/>
      <c r="BR34" s="162"/>
      <c r="BS34" s="162"/>
      <c r="BT34" s="162"/>
      <c r="BU34" s="162"/>
      <c r="BV34" s="162"/>
      <c r="BW34" s="162"/>
      <c r="BX34" s="162"/>
      <c r="BY34" s="162"/>
      <c r="BZ34" s="162"/>
      <c r="CA34" s="162"/>
      <c r="CB34" s="162"/>
      <c r="CC34" s="162"/>
      <c r="CD34" s="162"/>
      <c r="CE34" s="162"/>
      <c r="CF34" s="162"/>
      <c r="CG34" s="16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IF(P17="","",P17)</f>
        <v>@ 15°C</v>
      </c>
      <c r="Q36" s="209"/>
      <c r="R36" s="209"/>
      <c r="S36" s="209"/>
      <c r="T36" s="334"/>
      <c r="U36" s="347" t="str">
        <f>U17</f>
        <v>METRES</v>
      </c>
      <c r="V36" s="348"/>
      <c r="W36" s="348"/>
      <c r="X36" s="348"/>
      <c r="Y36" s="349"/>
      <c r="Z36" s="347" t="s">
        <v>226</v>
      </c>
      <c r="AA36" s="348"/>
      <c r="AB36" s="348"/>
      <c r="AC36" s="354"/>
      <c r="AD36" s="349"/>
      <c r="AE36" s="209" t="str">
        <f>Z36</f>
        <v>INNAGE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8">IF(A18="","",A18)</f>
        <v>HFO STOR 1P</v>
      </c>
      <c r="B37" s="346"/>
      <c r="C37" s="346"/>
      <c r="D37" s="346"/>
      <c r="E37" s="346"/>
      <c r="F37" s="346"/>
      <c r="G37" s="346"/>
      <c r="H37" s="346"/>
      <c r="I37" s="318" t="str">
        <f t="shared" ref="I37:I48" si="39">IF(I18="","",I18)</f>
        <v>LSMGO</v>
      </c>
      <c r="J37" s="318"/>
      <c r="K37" s="318"/>
      <c r="L37" s="318"/>
      <c r="M37" s="318"/>
      <c r="N37" s="318"/>
      <c r="O37" s="318"/>
      <c r="P37" s="313">
        <v>0.83579999999999999</v>
      </c>
      <c r="Q37" s="313"/>
      <c r="R37" s="313"/>
      <c r="S37" s="313"/>
      <c r="T37" s="313"/>
      <c r="U37" s="308">
        <v>15.26</v>
      </c>
      <c r="V37" s="308"/>
      <c r="W37" s="308"/>
      <c r="X37" s="308"/>
      <c r="Y37" s="308"/>
      <c r="Z37" s="308">
        <v>4.74</v>
      </c>
      <c r="AA37" s="308"/>
      <c r="AB37" s="308"/>
      <c r="AC37" s="309"/>
      <c r="AD37" s="308"/>
      <c r="AE37" s="308">
        <v>4.74</v>
      </c>
      <c r="AF37" s="308"/>
      <c r="AG37" s="308"/>
      <c r="AH37" s="309"/>
      <c r="AI37" s="308"/>
      <c r="AJ37" s="308">
        <v>223.87</v>
      </c>
      <c r="AK37" s="308"/>
      <c r="AL37" s="308"/>
      <c r="AM37" s="308"/>
      <c r="AN37" s="308"/>
      <c r="AO37" s="308">
        <v>0</v>
      </c>
      <c r="AP37" s="308"/>
      <c r="AQ37" s="308"/>
      <c r="AR37" s="308"/>
      <c r="AS37" s="308"/>
      <c r="AT37" s="308">
        <v>0</v>
      </c>
      <c r="AU37" s="308"/>
      <c r="AV37" s="308"/>
      <c r="AW37" s="308"/>
      <c r="AX37" s="308"/>
      <c r="AY37" s="312">
        <v>20</v>
      </c>
      <c r="AZ37" s="312"/>
      <c r="BA37" s="312"/>
      <c r="BB37" s="312"/>
      <c r="BC37" s="312"/>
      <c r="BD37" s="311">
        <f>IF(OR(AJ37="",AT37=""),"",AJ37-AT37)</f>
        <v>223.87</v>
      </c>
      <c r="BE37" s="311"/>
      <c r="BF37" s="311"/>
      <c r="BG37" s="311"/>
      <c r="BH37" s="311"/>
      <c r="BI37" s="310">
        <f t="shared" ref="BI37:BI48" si="40">IF(OR(AY37="",P37=""),"",IF($CN$53=1,DW37,IF($CN$53=2,DY37,IF($CN$53=3,EA37,IF($CN$53=4,DX37,IF($CN$53=5,DZ37,IF($CN$53=6,EB37)))))))</f>
        <v>0.99575000000000002</v>
      </c>
      <c r="BJ37" s="310"/>
      <c r="BK37" s="310"/>
      <c r="BL37" s="310"/>
      <c r="BM37" s="310"/>
      <c r="BN37" s="311">
        <f t="shared" ref="BN37:BN48" si="41">IF(OR(BD37="",BI37=""),"",BD37*BI37)</f>
        <v>222.9185525</v>
      </c>
      <c r="BO37" s="311"/>
      <c r="BP37" s="311"/>
      <c r="BQ37" s="311"/>
      <c r="BR37" s="311"/>
      <c r="BS37" s="332">
        <f t="shared" ref="BS37:BS48" si="42">IF(OR(BD37="",P37="",BI37=""),"",ROUND((DS37-0.0011),4))</f>
        <v>0.8347</v>
      </c>
      <c r="BT37" s="332"/>
      <c r="BU37" s="332"/>
      <c r="BV37" s="332"/>
      <c r="BW37" s="332"/>
      <c r="BX37" s="311">
        <f t="shared" ref="BX37:BX48" si="43">IF(OR(BD37="",P37="",BI37=""),"",IF($AJ$17=$CN$34,ROUND(BN37*BS37,3),ROUND(CS37*BI37*BS37,3)))</f>
        <v>186.07</v>
      </c>
      <c r="BY37" s="311"/>
      <c r="BZ37" s="311"/>
      <c r="CA37" s="311"/>
      <c r="CB37" s="311"/>
      <c r="CC37" s="311">
        <f t="shared" ref="CC37:CC48" si="44">IF(OR(BD37="",P37="",BI37=""),"",IF($AJ$17=$CN$34,ROUND(BN37*DQ37,3),ROUND(CS37*BI37*DQ37,3)))</f>
        <v>186.315</v>
      </c>
      <c r="CD37" s="311"/>
      <c r="CE37" s="311"/>
      <c r="CF37" s="311"/>
      <c r="CG37" s="311"/>
      <c r="CH37" s="55"/>
      <c r="CP37" s="107">
        <f t="shared" ref="CP37:CP48" si="45">IF(OR(AY37="",BD37=""),0,AY37*BD37)</f>
        <v>4477.3999999999996</v>
      </c>
      <c r="CR37" s="28">
        <f t="shared" ref="CR37:CR48" si="46">IF($BD$17=$CN$35,BD37,(BD37*6.28981))</f>
        <v>1408.0997647000002</v>
      </c>
      <c r="CS37" s="29">
        <f t="shared" ref="CS37:CS48" si="47">IF($BD$17=$CN$34,BD37,(BD37/6.28981))</f>
        <v>223.87</v>
      </c>
      <c r="CU37" s="30">
        <f t="shared" ref="CU37:CU48" si="48">IF($AY$17=$CN$40,AY37,(AY37*1.8+32))</f>
        <v>68</v>
      </c>
      <c r="CV37" s="31">
        <f t="shared" ref="CV37:CV48" si="49">ROUND(CU37*2,0)/2</f>
        <v>68</v>
      </c>
      <c r="CW37" s="32">
        <f>ROUND(CU37,1)</f>
        <v>68</v>
      </c>
      <c r="CX37" s="33">
        <f>(1.8*((((CW37-32)/1.8)-((-0.148759+((-0.267408+((1.08076+((1.269056+((-4.089591+((-1.871251+((7.438081+(-3.536296*(((CW37-32)/1.8)/630)))*(((CW37-32)/1.8)/630)))*(((CW37-32)/1.8)/630)))*(((CW37-32)/1.8)/630)))*(((CW37-32)/1.8)/630)))*(((CW37-32)/1.8)/630)))*(((CW37-32)/1.8)/630)))*(((CW37-32)/1.8)/630)))))+32</f>
        <v>68.008921288339991</v>
      </c>
      <c r="CY37" s="26"/>
      <c r="CZ37" s="30">
        <f t="shared" ref="CZ37:CZ48" si="50">IF($AY$17=$CN$39,AY37,(AY37-32)/1.8)</f>
        <v>20</v>
      </c>
      <c r="DA37" s="28">
        <f t="shared" ref="DA37:DA48" si="51">ROUND(CZ37*4,0)/4</f>
        <v>20</v>
      </c>
      <c r="DB37" s="34">
        <f>ROUND(CZ37,1)</f>
        <v>20</v>
      </c>
      <c r="DC37" s="33">
        <f>DB37-((-0.148759+((-0.267408+((1.08076+((1.269056+((-4.089591+((-1.871251+((7.438081+(-3.536296*(DB37/630)))*(DB37/630)))*(DB37/630)))*(DB37/630)))*(DB37/630)))*(DB37/630)))*(DB37/630)))*(DB37/630))</f>
        <v>20.004956271299999</v>
      </c>
      <c r="DD37" s="35"/>
      <c r="DE37" s="30">
        <f t="shared" ref="DE37:DE48" si="52">IF($P$16=$CN$18,P37,(141.5/DK37)-131.5)</f>
        <v>37.716216148275123</v>
      </c>
      <c r="DF37" s="31">
        <f t="shared" ref="DF37:DF48" si="53">ROUND(DE37*2,0)/2</f>
        <v>37.5</v>
      </c>
      <c r="DG37" s="32">
        <f>ROUND(DE37,1)</f>
        <v>37.700000000000003</v>
      </c>
      <c r="DH37" s="33">
        <f>(141.5/(DG37+131.5))*999.016</f>
        <v>835.46550827423175</v>
      </c>
      <c r="DI37" s="33">
        <f>DH37*(1+((EXP(((0.01374979547/2)*(((103.872/DH37)+0.2701)*(1/DH37)))*(1+(0.8*((0.01374979547/2)*(((103.872/DH37)+0.2701)*(1/DH37))))))-1)/(1+(((0.01374979547/2)*(((103.872/DH37)+0.2701)*(1/DH37)))*(1+(1.6*((0.01374979547/2)*(((103.872/DH37)+0.2701)*(1/DH37)))))*(((2*103.872)+(0.2701+DH37))/(103.872+(0.2701*DH37)))))))</f>
        <v>835.46821991197794</v>
      </c>
      <c r="DK37" s="36">
        <f t="shared" ref="DK37:DK48" si="54">IF($P$16=$CN$19,P37,IF($P$16=$CN$18,141.5/(P37+131.5),DQ37*ROUND(EXP(-(186.9696/(((TRUNC(5*(DQ37*100)+0.5)/5)*0.01)*1000)^2+0.4862/(((TRUNC(5*(DQ37*100)+0.5)/5)*0.01)*1000))*(0.56)*(1+0.8*(186.9696/(((TRUNC(5*(DQ37*100)+0.5)/5)*0.01)*1000)^2+0.4862/(((TRUNC(5*(DQ37*100)+0.5)/5)*0.01)*1000))*0.56)),4)/0.999012))</f>
        <v>0.83620827377448925</v>
      </c>
      <c r="DL37" s="37">
        <f>ROUND(DK37*5,2)/5</f>
        <v>0.83599999999999997</v>
      </c>
      <c r="DM37" s="38">
        <f>ROUND(DK37,4)</f>
        <v>0.83620000000000005</v>
      </c>
      <c r="DN37" s="33">
        <f>DM37*999.016</f>
        <v>835.3771792</v>
      </c>
      <c r="DO37" s="33">
        <f>DN37*(1+((EXP(((0.01374979547/2)*(((103.872/DN37)+0.2701)*(1/DN37)))*(1+(0.8*((0.01374979547/2)*(((103.872/DN37)+0.2701)*(1/DN37))))))-1)/(1+(((0.01374979547/2)*(((103.872/DN37)+0.2701)*(1/DN37)))*(1+(1.6*((0.01374979547/2)*(((103.872/DN37)+0.2701)*(1/DN37)))))*(((2*103.872)+(0.2701+DN37))/(103.872+(0.2701*DN37)))))))</f>
        <v>835.37989092812052</v>
      </c>
      <c r="DQ37" s="36">
        <f t="shared" ref="DQ37:DQ48" si="55">IF($P$16=$CN$20,P37,DK37*0.999012*ROUND(EXP(-((103.872/((((TRUNC(5*(DK37*100)+0.5)/5)*0.01)*999.012)^2))+(0.2701/(((TRUNC(5*(DK37*100)+0.5)/5)*0.01)*999.012)))*(-1)*(1+(0.8*((103.872/((((TRUNC(5*(DK37*100)+0.5)/5)*0.01)*999.012)^2))+(0.2701/(((TRUNC(5*(DK37*100)+0.5)/5)*0.01)*999.012)))*(-1)))),4))</f>
        <v>0.83579999999999999</v>
      </c>
      <c r="DR37" s="39">
        <f>ROUND(DQ37*5,2)/5</f>
        <v>0.83599999999999997</v>
      </c>
      <c r="DS37" s="38">
        <f>ROUND(DQ37,4)</f>
        <v>0.83579999999999999</v>
      </c>
      <c r="DT37" s="33">
        <f>DS37*1000</f>
        <v>835.8</v>
      </c>
      <c r="DU37" s="33">
        <f>DT37*(1+((EXP(((0.01374979547/2)*(((186.9696/DT37)+0.4862)*(1/DT37)))*(1+(0.8*((0.01374979547/2)*(((186.9696/DT37)+0.4862)*(1/DT37))))))-1)/(1+(((0.01374979547/2)*(((186.9696/DT37)+0.4862)*(1/DT37)))*(1+(1.6*((0.01374979547/2)*(((186.9696/DT37)+0.4862)*(1/DT37)))))*(((2*186.9696)+(0.4862+DT37))/(186.9696+(0.4862*DT37)))))))</f>
        <v>835.80488047819847</v>
      </c>
      <c r="DW37" s="38">
        <f>ROUND(EXP(-((103.872/(((141.5/(DF37+131.5))*999.012)^2))+(0.2701/((141.5/(DF37+131.5))*999.012)))*(CV37-60)*(1+(0.8*((103.872/(((141.5/(DF37+131.5))*999.012)^2))+(0.2701/((141.5/(DF37+131.5))*999.012)))*(CV37-60)))),4)</f>
        <v>0.99619999999999997</v>
      </c>
      <c r="DX37" s="40">
        <f>ROUND(EXP(-(((103.872/DI37)+0.2701)*(1/DI37))*(CX37-60.0068749)*(1+(0.8*(((103.872/DI37)+0.2701)*(1/DI37))*((CX37-60.0068749)+0.01374979547)))),5)</f>
        <v>0.99621999999999999</v>
      </c>
      <c r="DY37" s="36">
        <f>ROUND(EXP(-((103.872/((DL37*999.012)^2))+(0.2701/(DL37*999.012)))*(CV37-60)*(1+(0.8*((103.872/((DL37*999.012)^2))+(0.2701/(DL37*999.012)))*(CV37-60)))),4)</f>
        <v>0.99619999999999997</v>
      </c>
      <c r="DZ37" s="40">
        <f>ROUND(EXP(-(((103.872/DO37)+0.2701)*(1/DO37))*(CX37-60.0068749)*(1+(0.8*(((103.872/DO37)+0.2701)*(1/DO37))*((CX37-60.0068749)+0.01374979547)))),5)</f>
        <v>0.99621999999999999</v>
      </c>
      <c r="EA37" s="36">
        <f>ROUND(EXP(-((186.9696/((DR37*1000)^2))+(0.4862/(DR37*1000)))*(DA37-15)*(1+(0.8*((186.9696/((DR37*1000)^2))+(0.4862/(DR37*1000)))*(DA37-15)))),4)</f>
        <v>0.99570000000000003</v>
      </c>
      <c r="EB37" s="40">
        <f>ROUND(EXP(-((((186.9696/DU37)+0.4862)*(1/DU37)))*(DC37-15.00367851)*(1+(0.8*((((186.9696/DU37)+0.4862)*(1/DU37)))*((DC37-15.00367851)+0.01374979547)))),5)</f>
        <v>0.99575000000000002</v>
      </c>
    </row>
    <row r="38" spans="1:132" ht="11.45" customHeight="1" x14ac:dyDescent="0.2">
      <c r="A38" s="346" t="str">
        <f t="shared" si="38"/>
        <v>HFO STOR 2S</v>
      </c>
      <c r="B38" s="346"/>
      <c r="C38" s="346"/>
      <c r="D38" s="346"/>
      <c r="E38" s="346"/>
      <c r="F38" s="346"/>
      <c r="G38" s="346"/>
      <c r="H38" s="346"/>
      <c r="I38" s="318" t="str">
        <f t="shared" si="39"/>
        <v>LSMGO</v>
      </c>
      <c r="J38" s="318"/>
      <c r="K38" s="318"/>
      <c r="L38" s="318"/>
      <c r="M38" s="318"/>
      <c r="N38" s="318"/>
      <c r="O38" s="318"/>
      <c r="P38" s="313">
        <v>0.83579999999999999</v>
      </c>
      <c r="Q38" s="313"/>
      <c r="R38" s="313"/>
      <c r="S38" s="313"/>
      <c r="T38" s="313"/>
      <c r="U38" s="308">
        <v>15.3</v>
      </c>
      <c r="V38" s="308"/>
      <c r="W38" s="308"/>
      <c r="X38" s="308"/>
      <c r="Y38" s="308"/>
      <c r="Z38" s="308">
        <v>7.02</v>
      </c>
      <c r="AA38" s="308"/>
      <c r="AB38" s="308"/>
      <c r="AC38" s="309"/>
      <c r="AD38" s="308"/>
      <c r="AE38" s="308">
        <v>7.02</v>
      </c>
      <c r="AF38" s="308"/>
      <c r="AG38" s="308"/>
      <c r="AH38" s="309"/>
      <c r="AI38" s="308"/>
      <c r="AJ38" s="308">
        <v>258.64999999999998</v>
      </c>
      <c r="AK38" s="308"/>
      <c r="AL38" s="308"/>
      <c r="AM38" s="308"/>
      <c r="AN38" s="308"/>
      <c r="AO38" s="308">
        <v>0</v>
      </c>
      <c r="AP38" s="308"/>
      <c r="AQ38" s="308"/>
      <c r="AR38" s="308"/>
      <c r="AS38" s="308"/>
      <c r="AT38" s="308">
        <v>0</v>
      </c>
      <c r="AU38" s="308"/>
      <c r="AV38" s="308"/>
      <c r="AW38" s="308"/>
      <c r="AX38" s="308"/>
      <c r="AY38" s="312">
        <v>21</v>
      </c>
      <c r="AZ38" s="312"/>
      <c r="BA38" s="312"/>
      <c r="BB38" s="312"/>
      <c r="BC38" s="312"/>
      <c r="BD38" s="311">
        <f t="shared" ref="BD38:BD48" si="56">IF(OR(AJ38="",AT38=""),"",AJ38-AT38)</f>
        <v>258.64999999999998</v>
      </c>
      <c r="BE38" s="311"/>
      <c r="BF38" s="311"/>
      <c r="BG38" s="311"/>
      <c r="BH38" s="311"/>
      <c r="BI38" s="310">
        <f t="shared" si="40"/>
        <v>0.99489000000000005</v>
      </c>
      <c r="BJ38" s="310"/>
      <c r="BK38" s="310"/>
      <c r="BL38" s="310"/>
      <c r="BM38" s="310"/>
      <c r="BN38" s="311">
        <f t="shared" si="41"/>
        <v>257.32829850000002</v>
      </c>
      <c r="BO38" s="311"/>
      <c r="BP38" s="311"/>
      <c r="BQ38" s="311"/>
      <c r="BR38" s="311"/>
      <c r="BS38" s="332">
        <f t="shared" si="42"/>
        <v>0.8347</v>
      </c>
      <c r="BT38" s="332"/>
      <c r="BU38" s="332"/>
      <c r="BV38" s="332"/>
      <c r="BW38" s="332"/>
      <c r="BX38" s="311">
        <f t="shared" si="43"/>
        <v>214.792</v>
      </c>
      <c r="BY38" s="311"/>
      <c r="BZ38" s="311"/>
      <c r="CA38" s="311"/>
      <c r="CB38" s="311"/>
      <c r="CC38" s="311">
        <f t="shared" si="44"/>
        <v>215.07499999999999</v>
      </c>
      <c r="CD38" s="311"/>
      <c r="CE38" s="311"/>
      <c r="CF38" s="311"/>
      <c r="CG38" s="311"/>
      <c r="CH38" s="55"/>
      <c r="CN38" s="1" t="s">
        <v>220</v>
      </c>
      <c r="CP38" s="87">
        <f t="shared" si="45"/>
        <v>5431.65</v>
      </c>
      <c r="CR38" s="28">
        <f t="shared" si="46"/>
        <v>1626.8593564999999</v>
      </c>
      <c r="CS38" s="29">
        <f t="shared" si="47"/>
        <v>258.64999999999998</v>
      </c>
      <c r="CU38" s="28">
        <f t="shared" si="48"/>
        <v>69.800000000000011</v>
      </c>
      <c r="CV38" s="31">
        <f t="shared" si="49"/>
        <v>70</v>
      </c>
      <c r="CW38" s="32">
        <f>ROUND(CU38,1)</f>
        <v>69.8</v>
      </c>
      <c r="CX38" s="32">
        <f t="shared" ref="CX38:CX48" si="57">(1.8*((((CW38-32)/1.8)-((-0.148759+((-0.267408+((1.08076+((1.269056+((-4.089591+((-1.871251+((7.438081+(-3.536296*(((CW38-32)/1.8)/630)))*(((CW38-32)/1.8)/630)))*(((CW38-32)/1.8)/630)))*(((CW38-32)/1.8)/630)))*(((CW38-32)/1.8)/630)))*(((CW38-32)/1.8)/630)))*(((CW38-32)/1.8)/630)))*(((CW38-32)/1.8)/630)))))+32</f>
        <v>69.809385792159446</v>
      </c>
      <c r="CY38" s="26"/>
      <c r="CZ38" s="28">
        <f t="shared" si="50"/>
        <v>21</v>
      </c>
      <c r="DA38" s="28">
        <f t="shared" si="51"/>
        <v>21</v>
      </c>
      <c r="DB38" s="34">
        <f>ROUND(CZ38,1)</f>
        <v>21</v>
      </c>
      <c r="DC38" s="32">
        <f t="shared" ref="DC38:DC48" si="58">DB38-((-0.148759+((-0.267408+((1.08076+((1.269056+((-4.089591+((-1.871251+((7.438081+(-3.536296*(DB38/630)))*(DB38/630)))*(DB38/630)))*(DB38/630)))*(DB38/630)))*(DB38/630)))*(DB38/630)))*(DB38/630))</f>
        <v>21.00521432897747</v>
      </c>
      <c r="DD38" s="35"/>
      <c r="DE38" s="28">
        <f t="shared" si="52"/>
        <v>37.716216148275123</v>
      </c>
      <c r="DF38" s="31">
        <f t="shared" si="53"/>
        <v>37.5</v>
      </c>
      <c r="DG38" s="32">
        <f>ROUND(DE38,1)</f>
        <v>37.700000000000003</v>
      </c>
      <c r="DH38" s="32">
        <f t="shared" ref="DH38:DH48" si="59">(141.5/(DG38+131.5))*999.016</f>
        <v>835.46550827423175</v>
      </c>
      <c r="DI38" s="32">
        <f t="shared" ref="DI38:DI48" si="60">DH38*(1+((EXP(((0.01374979547/2)*(((103.872/DH38)+0.2701)*(1/DH38)))*(1+(0.8*((0.01374979547/2)*(((103.872/DH38)+0.2701)*(1/DH38))))))-1)/(1+(((0.01374979547/2)*(((103.872/DH38)+0.2701)*(1/DH38)))*(1+(1.6*((0.01374979547/2)*(((103.872/DH38)+0.2701)*(1/DH38)))))*(((2*103.872)+(0.2701+DH38))/(103.872+(0.2701*DH38)))))))</f>
        <v>835.46821991197794</v>
      </c>
      <c r="DK38" s="38">
        <f t="shared" si="54"/>
        <v>0.83620827377448925</v>
      </c>
      <c r="DL38" s="41">
        <f>ROUND(DK38*5,2)/5</f>
        <v>0.83599999999999997</v>
      </c>
      <c r="DM38" s="38">
        <f>ROUND(DK38,4)</f>
        <v>0.83620000000000005</v>
      </c>
      <c r="DN38" s="32">
        <f t="shared" ref="DN38:DN48" si="61">DM38*999.016</f>
        <v>835.3771792</v>
      </c>
      <c r="DO38" s="32">
        <f>DN38*(1+((EXP(((0.01374979547/2)*(((103.872/DN38)+0.2701)*(1/DN38)))*(1+(0.8*((0.01374979547/2)*(((103.872/DN38)+0.2701)*(1/DN38))))))-1)/(1+(((0.01374979547/2)*(((103.872/DN38)+0.2701)*(1/DN38)))*(1+(1.6*((0.01374979547/2)*(((103.872/DN38)+0.2701)*(1/DN38)))))*(((2*103.872)+(0.2701+DN38))/(103.872+(0.2701*DN38)))))))</f>
        <v>835.37989092812052</v>
      </c>
      <c r="DQ38" s="38">
        <f t="shared" si="55"/>
        <v>0.83579999999999999</v>
      </c>
      <c r="DR38" s="29">
        <f>ROUND(DQ38*5,2)/5</f>
        <v>0.83599999999999997</v>
      </c>
      <c r="DS38" s="38">
        <f>ROUND(DQ38,4)</f>
        <v>0.83579999999999999</v>
      </c>
      <c r="DT38" s="32">
        <f t="shared" ref="DT38:DT48" si="62">DS38*1000</f>
        <v>835.8</v>
      </c>
      <c r="DU38" s="32">
        <f t="shared" ref="DU38:DU48" si="63">DT38*(1+((EXP(((0.01374979547/2)*(((186.9696/DT38)+0.4862)*(1/DT38)))*(1+(0.8*((0.01374979547/2)*(((186.9696/DT38)+0.4862)*(1/DT38))))))-1)/(1+(((0.01374979547/2)*(((186.9696/DT38)+0.4862)*(1/DT38)))*(1+(1.6*((0.01374979547/2)*(((186.9696/DT38)+0.4862)*(1/DT38)))))*(((2*186.9696)+(0.4862+DT38))/(186.9696+(0.4862*DT38)))))))</f>
        <v>835.80488047819847</v>
      </c>
      <c r="DW38" s="38">
        <f>ROUND(EXP(-((103.872/(((141.5/(DF38+131.5))*999.012)^2))+(0.2701/((141.5/(DF38+131.5))*999.012)))*(CV38-60)*(1+(0.8*((103.872/(((141.5/(DF38+131.5))*999.012)^2))+(0.2701/((141.5/(DF38+131.5))*999.012)))*(CV38-60)))),4)</f>
        <v>0.99529999999999996</v>
      </c>
      <c r="DX38" s="42">
        <f>ROUND(EXP(-(((103.872/DI38)+0.2701)*(1/DI38))*(CX38-60.0068749)*(1+(0.8*(((103.872/DI38)+0.2701)*(1/DI38))*((CX38-60.0068749)+0.01374979547)))),5)</f>
        <v>0.99536999999999998</v>
      </c>
      <c r="DY38" s="38">
        <f>ROUND(EXP(-((103.872/((DL38*999.012)^2))+(0.2701/(DL38*999.012)))*(CV38-60)*(1+(0.8*((103.872/((DL38*999.012)^2))+(0.2701/(DL38*999.012)))*(CV38-60)))),4)</f>
        <v>0.99529999999999996</v>
      </c>
      <c r="DZ38" s="42">
        <f>ROUND(EXP(-(((103.872/DO38)+0.2701)*(1/DO38))*(CX38-60.0068749)*(1+(0.8*(((103.872/DO38)+0.2701)*(1/DO38))*((CX38-60.0068749)+0.01374979547)))),5)</f>
        <v>0.99536999999999998</v>
      </c>
      <c r="EA38" s="38">
        <f>ROUND(EXP(-((186.9696/((DR38*1000)^2))+(0.4862/(DR38*1000)))*(DA38-15)*(1+(0.8*((186.9696/((DR38*1000)^2))+(0.4862/(DR38*1000)))*(DA38-15)))),4)</f>
        <v>0.99490000000000001</v>
      </c>
      <c r="EB38" s="42">
        <f>ROUND(EXP(-((((186.9696/DU38)+0.4862)*(1/DU38)))*(DC38-15.00367851)*(1+(0.8*((((186.9696/DU38)+0.4862)*(1/DU38)))*((DC38-15.00367851)+0.01374979547)))),5)</f>
        <v>0.99489000000000005</v>
      </c>
    </row>
    <row r="39" spans="1:132" ht="11.45" customHeight="1" x14ac:dyDescent="0.2">
      <c r="A39" s="319" t="str">
        <f t="shared" si="38"/>
        <v>SETTLING 1P</v>
      </c>
      <c r="B39" s="319"/>
      <c r="C39" s="319"/>
      <c r="D39" s="319"/>
      <c r="E39" s="319"/>
      <c r="F39" s="319"/>
      <c r="G39" s="319"/>
      <c r="H39" s="319"/>
      <c r="I39" s="318" t="str">
        <f t="shared" si="39"/>
        <v>LSMGO</v>
      </c>
      <c r="J39" s="318"/>
      <c r="K39" s="318"/>
      <c r="L39" s="318"/>
      <c r="M39" s="318"/>
      <c r="N39" s="318"/>
      <c r="O39" s="318"/>
      <c r="P39" s="313">
        <v>0.86950000000000005</v>
      </c>
      <c r="Q39" s="313"/>
      <c r="R39" s="313"/>
      <c r="S39" s="313"/>
      <c r="T39" s="313"/>
      <c r="U39" s="308">
        <v>14.69</v>
      </c>
      <c r="V39" s="308"/>
      <c r="W39" s="308"/>
      <c r="X39" s="308"/>
      <c r="Y39" s="308"/>
      <c r="Z39" s="308">
        <v>9.02</v>
      </c>
      <c r="AA39" s="308"/>
      <c r="AB39" s="308"/>
      <c r="AC39" s="309"/>
      <c r="AD39" s="308"/>
      <c r="AE39" s="308">
        <v>9.02</v>
      </c>
      <c r="AF39" s="308"/>
      <c r="AG39" s="308"/>
      <c r="AH39" s="309"/>
      <c r="AI39" s="308"/>
      <c r="AJ39" s="308">
        <v>53.63</v>
      </c>
      <c r="AK39" s="308"/>
      <c r="AL39" s="308"/>
      <c r="AM39" s="308"/>
      <c r="AN39" s="308"/>
      <c r="AO39" s="308">
        <v>0</v>
      </c>
      <c r="AP39" s="308"/>
      <c r="AQ39" s="308"/>
      <c r="AR39" s="308"/>
      <c r="AS39" s="308"/>
      <c r="AT39" s="308">
        <v>0</v>
      </c>
      <c r="AU39" s="308"/>
      <c r="AV39" s="308"/>
      <c r="AW39" s="308"/>
      <c r="AX39" s="308"/>
      <c r="AY39" s="312">
        <v>30</v>
      </c>
      <c r="AZ39" s="312"/>
      <c r="BA39" s="312"/>
      <c r="BB39" s="312"/>
      <c r="BC39" s="312"/>
      <c r="BD39" s="311">
        <f t="shared" si="56"/>
        <v>53.63</v>
      </c>
      <c r="BE39" s="311"/>
      <c r="BF39" s="311"/>
      <c r="BG39" s="311"/>
      <c r="BH39" s="311"/>
      <c r="BI39" s="310">
        <f t="shared" si="40"/>
        <v>0.98785999999999996</v>
      </c>
      <c r="BJ39" s="310"/>
      <c r="BK39" s="310"/>
      <c r="BL39" s="310"/>
      <c r="BM39" s="310"/>
      <c r="BN39" s="311">
        <f t="shared" si="41"/>
        <v>52.978931799999998</v>
      </c>
      <c r="BO39" s="311"/>
      <c r="BP39" s="311"/>
      <c r="BQ39" s="311"/>
      <c r="BR39" s="311"/>
      <c r="BS39" s="332">
        <f t="shared" si="42"/>
        <v>0.86839999999999995</v>
      </c>
      <c r="BT39" s="332"/>
      <c r="BU39" s="332"/>
      <c r="BV39" s="332"/>
      <c r="BW39" s="332"/>
      <c r="BX39" s="311">
        <f t="shared" si="43"/>
        <v>46.006999999999998</v>
      </c>
      <c r="BY39" s="311"/>
      <c r="BZ39" s="311"/>
      <c r="CA39" s="311"/>
      <c r="CB39" s="311"/>
      <c r="CC39" s="311">
        <f t="shared" si="44"/>
        <v>46.064999999999998</v>
      </c>
      <c r="CD39" s="311"/>
      <c r="CE39" s="311"/>
      <c r="CF39" s="311"/>
      <c r="CG39" s="311"/>
      <c r="CH39" s="55"/>
      <c r="CI39" s="323" t="s">
        <v>176</v>
      </c>
      <c r="CJ39" s="324"/>
      <c r="CK39" s="324"/>
      <c r="CL39" s="325"/>
      <c r="CN39" s="107" t="s">
        <v>56</v>
      </c>
      <c r="CP39" s="87">
        <f t="shared" si="45"/>
        <v>1608.9</v>
      </c>
      <c r="CR39" s="28">
        <f t="shared" si="46"/>
        <v>337.32251030000003</v>
      </c>
      <c r="CS39" s="29">
        <f t="shared" si="47"/>
        <v>53.63</v>
      </c>
      <c r="CU39" s="28">
        <f t="shared" si="48"/>
        <v>86</v>
      </c>
      <c r="CV39" s="31">
        <f>ROUND(CU39*2,0)/2</f>
        <v>86</v>
      </c>
      <c r="CW39" s="32">
        <f t="shared" ref="CW39:CW47" si="64">ROUND(CU39,1)</f>
        <v>86</v>
      </c>
      <c r="CX39" s="32">
        <f t="shared" si="57"/>
        <v>86.013622261202741</v>
      </c>
      <c r="CY39" s="26"/>
      <c r="CZ39" s="28">
        <f t="shared" si="50"/>
        <v>30</v>
      </c>
      <c r="DA39" s="28">
        <f t="shared" si="51"/>
        <v>30</v>
      </c>
      <c r="DB39" s="34">
        <f t="shared" ref="DB39:DB47" si="65">ROUND(CZ39,1)</f>
        <v>30</v>
      </c>
      <c r="DC39" s="32">
        <f t="shared" si="58"/>
        <v>30.007567922890409</v>
      </c>
      <c r="DD39" s="35"/>
      <c r="DE39" s="28">
        <f t="shared" si="52"/>
        <v>31.157749806473078</v>
      </c>
      <c r="DF39" s="31">
        <f t="shared" si="53"/>
        <v>31</v>
      </c>
      <c r="DG39" s="32">
        <f t="shared" ref="DG39:DG47" si="66">ROUND(DE39,1)</f>
        <v>31.2</v>
      </c>
      <c r="DH39" s="32">
        <f t="shared" si="59"/>
        <v>868.84304855562391</v>
      </c>
      <c r="DI39" s="32">
        <f t="shared" si="60"/>
        <v>868.84572735834206</v>
      </c>
      <c r="DK39" s="38">
        <f t="shared" si="54"/>
        <v>0.86992473563881123</v>
      </c>
      <c r="DL39" s="41">
        <f t="shared" ref="DL39:DL47" si="67">ROUND(DK39*5,2)/5</f>
        <v>0.86999999999999988</v>
      </c>
      <c r="DM39" s="38">
        <f t="shared" ref="DM39:DM47" si="68">ROUND(DK39,4)</f>
        <v>0.86990000000000001</v>
      </c>
      <c r="DN39" s="32">
        <f t="shared" si="61"/>
        <v>869.04401840000003</v>
      </c>
      <c r="DO39" s="32">
        <f t="shared" ref="DO39:DO47" si="69">DN39*(1+((EXP(((0.01374979547/2)*(((103.872/DN39)+0.2701)*(1/DN39)))*(1+(0.8*((0.01374979547/2)*(((103.872/DN39)+0.2701)*(1/DN39))))))-1)/(1+(((0.01374979547/2)*(((103.872/DN39)+0.2701)*(1/DN39)))*(1+(1.6*((0.01374979547/2)*(((103.872/DN39)+0.2701)*(1/DN39)))))*(((2*103.872)+(0.2701+DN39))/(103.872+(0.2701*DN39)))))))</f>
        <v>869.04669701265391</v>
      </c>
      <c r="DQ39" s="38">
        <f t="shared" si="55"/>
        <v>0.86950000000000005</v>
      </c>
      <c r="DR39" s="29">
        <f t="shared" ref="DR39:DR47" si="70">ROUND(DQ39*5,2)/5</f>
        <v>0.86999999999999988</v>
      </c>
      <c r="DS39" s="38">
        <f t="shared" ref="DS39:DS47" si="71">ROUND(DQ39,4)</f>
        <v>0.86950000000000005</v>
      </c>
      <c r="DT39" s="32">
        <f t="shared" si="62"/>
        <v>869.5</v>
      </c>
      <c r="DU39" s="32">
        <f t="shared" si="63"/>
        <v>869.5048208727801</v>
      </c>
      <c r="DW39" s="38">
        <f t="shared" ref="DW39:DW47" si="72">ROUND(EXP(-((103.872/(((141.5/(DF39+131.5))*999.012)^2))+(0.2701/((141.5/(DF39+131.5))*999.012)))*(CV39-60)*(1+(0.8*((103.872/(((141.5/(DF39+131.5))*999.012)^2))+(0.2701/((141.5/(DF39+131.5))*999.012)))*(CV39-60)))),4)</f>
        <v>0.98829999999999996</v>
      </c>
      <c r="DX39" s="42">
        <f t="shared" ref="DX39:DX47" si="73">ROUND(EXP(-(((103.872/DI39)+0.2701)*(1/DI39))*(CX39-60.0068749)*(1+(0.8*(((103.872/DI39)+0.2701)*(1/DI39))*((CX39-60.0068749)+0.01374979547)))),5)</f>
        <v>0.98829999999999996</v>
      </c>
      <c r="DY39" s="38">
        <f t="shared" ref="DY39:DY47" si="74">ROUND(EXP(-((103.872/((DL39*999.012)^2))+(0.2701/(DL39*999.012)))*(CV39-60)*(1+(0.8*((103.872/((DL39*999.012)^2))+(0.2701/(DL39*999.012)))*(CV39-60)))),4)</f>
        <v>0.98829999999999996</v>
      </c>
      <c r="DZ39" s="42">
        <f t="shared" ref="DZ39:DZ47" si="75">ROUND(EXP(-(((103.872/DO39)+0.2701)*(1/DO39))*(CX39-60.0068749)*(1+(0.8*(((103.872/DO39)+0.2701)*(1/DO39))*((CX39-60.0068749)+0.01374979547)))),5)</f>
        <v>0.98829999999999996</v>
      </c>
      <c r="EA39" s="38">
        <f t="shared" ref="EA39:EA47" si="76">ROUND(EXP(-((186.9696/((DR39*1000)^2))+(0.4862/(DR39*1000)))*(DA39-15)*(1+(0.8*((186.9696/((DR39*1000)^2))+(0.4862/(DR39*1000)))*(DA39-15)))),4)</f>
        <v>0.9879</v>
      </c>
      <c r="EB39" s="42">
        <f t="shared" ref="EB39:EB47" si="77">ROUND(EXP(-((((186.9696/DU39)+0.4862)*(1/DU39)))*(DC39-15.00367851)*(1+(0.8*((((186.9696/DU39)+0.4862)*(1/DU39)))*((DC39-15.00367851)+0.01374979547)))),5)</f>
        <v>0.98785999999999996</v>
      </c>
    </row>
    <row r="40" spans="1:132" ht="11.45" customHeight="1" x14ac:dyDescent="0.2">
      <c r="A40" s="346" t="str">
        <f t="shared" si="38"/>
        <v>SETTLING 2P</v>
      </c>
      <c r="B40" s="346"/>
      <c r="C40" s="346"/>
      <c r="D40" s="346"/>
      <c r="E40" s="346"/>
      <c r="F40" s="346"/>
      <c r="G40" s="346"/>
      <c r="H40" s="346"/>
      <c r="I40" s="318" t="str">
        <f t="shared" si="39"/>
        <v>LSMGO</v>
      </c>
      <c r="J40" s="318"/>
      <c r="K40" s="318"/>
      <c r="L40" s="318"/>
      <c r="M40" s="318"/>
      <c r="N40" s="318"/>
      <c r="O40" s="318"/>
      <c r="P40" s="313">
        <v>0.86950000000000005</v>
      </c>
      <c r="Q40" s="313"/>
      <c r="R40" s="313"/>
      <c r="S40" s="313"/>
      <c r="T40" s="313"/>
      <c r="U40" s="308">
        <v>14.7</v>
      </c>
      <c r="V40" s="308"/>
      <c r="W40" s="308"/>
      <c r="X40" s="308"/>
      <c r="Y40" s="308"/>
      <c r="Z40" s="308">
        <v>10.119999999999999</v>
      </c>
      <c r="AA40" s="308"/>
      <c r="AB40" s="308"/>
      <c r="AC40" s="309"/>
      <c r="AD40" s="308"/>
      <c r="AE40" s="308">
        <v>10.119999999999999</v>
      </c>
      <c r="AF40" s="308"/>
      <c r="AG40" s="308"/>
      <c r="AH40" s="309"/>
      <c r="AI40" s="308"/>
      <c r="AJ40" s="308">
        <v>41.1</v>
      </c>
      <c r="AK40" s="308"/>
      <c r="AL40" s="308"/>
      <c r="AM40" s="308"/>
      <c r="AN40" s="308"/>
      <c r="AO40" s="308">
        <v>0</v>
      </c>
      <c r="AP40" s="308"/>
      <c r="AQ40" s="308"/>
      <c r="AR40" s="308"/>
      <c r="AS40" s="308"/>
      <c r="AT40" s="308">
        <v>0</v>
      </c>
      <c r="AU40" s="308"/>
      <c r="AV40" s="308"/>
      <c r="AW40" s="308"/>
      <c r="AX40" s="308"/>
      <c r="AY40" s="312">
        <v>28</v>
      </c>
      <c r="AZ40" s="312"/>
      <c r="BA40" s="312"/>
      <c r="BB40" s="312"/>
      <c r="BC40" s="312"/>
      <c r="BD40" s="311">
        <f t="shared" si="56"/>
        <v>41.1</v>
      </c>
      <c r="BE40" s="311"/>
      <c r="BF40" s="311"/>
      <c r="BG40" s="311"/>
      <c r="BH40" s="311"/>
      <c r="BI40" s="310">
        <f t="shared" si="40"/>
        <v>0.98948000000000003</v>
      </c>
      <c r="BJ40" s="310"/>
      <c r="BK40" s="310"/>
      <c r="BL40" s="310"/>
      <c r="BM40" s="310"/>
      <c r="BN40" s="311">
        <f t="shared" si="41"/>
        <v>40.667628000000001</v>
      </c>
      <c r="BO40" s="311"/>
      <c r="BP40" s="311"/>
      <c r="BQ40" s="311"/>
      <c r="BR40" s="311"/>
      <c r="BS40" s="332">
        <f t="shared" si="42"/>
        <v>0.86839999999999995</v>
      </c>
      <c r="BT40" s="332"/>
      <c r="BU40" s="332"/>
      <c r="BV40" s="332"/>
      <c r="BW40" s="332"/>
      <c r="BX40" s="311">
        <f t="shared" si="43"/>
        <v>35.316000000000003</v>
      </c>
      <c r="BY40" s="311"/>
      <c r="BZ40" s="311"/>
      <c r="CA40" s="311"/>
      <c r="CB40" s="311"/>
      <c r="CC40" s="311">
        <f t="shared" si="44"/>
        <v>35.360999999999997</v>
      </c>
      <c r="CD40" s="311"/>
      <c r="CE40" s="311"/>
      <c r="CF40" s="311"/>
      <c r="CG40" s="311"/>
      <c r="CH40" s="55"/>
      <c r="CI40" s="326"/>
      <c r="CJ40" s="327"/>
      <c r="CK40" s="327"/>
      <c r="CL40" s="328"/>
      <c r="CN40" s="2" t="s">
        <v>57</v>
      </c>
      <c r="CP40" s="87">
        <f t="shared" si="45"/>
        <v>1150.8</v>
      </c>
      <c r="CR40" s="28">
        <f t="shared" si="46"/>
        <v>258.511191</v>
      </c>
      <c r="CS40" s="29">
        <f t="shared" si="47"/>
        <v>41.1</v>
      </c>
      <c r="CU40" s="28">
        <f t="shared" si="48"/>
        <v>82.4</v>
      </c>
      <c r="CV40" s="31">
        <f t="shared" si="49"/>
        <v>82.5</v>
      </c>
      <c r="CW40" s="32">
        <f>ROUND(CU40,1)</f>
        <v>82.4</v>
      </c>
      <c r="CX40" s="32">
        <f>(1.8*((((CW40-32)/1.8)-((-0.148759+((-0.267408+((1.08076+((1.269056+((-4.089591+((-1.871251+((7.438081+(-3.536296*(((CW40-32)/1.8)/630)))*(((CW40-32)/1.8)/630)))*(((CW40-32)/1.8)/630)))*(((CW40-32)/1.8)/630)))*(((CW40-32)/1.8)/630)))*(((CW40-32)/1.8)/630)))*(((CW40-32)/1.8)/630)))*(((CW40-32)/1.8)/630)))))+32</f>
        <v>82.412673102275406</v>
      </c>
      <c r="CY40" s="26"/>
      <c r="CZ40" s="28">
        <f t="shared" si="50"/>
        <v>28</v>
      </c>
      <c r="DA40" s="28">
        <f t="shared" si="51"/>
        <v>28</v>
      </c>
      <c r="DB40" s="34">
        <f t="shared" si="65"/>
        <v>28</v>
      </c>
      <c r="DC40" s="32">
        <f t="shared" si="58"/>
        <v>28.007040612375221</v>
      </c>
      <c r="DD40" s="35"/>
      <c r="DE40" s="28">
        <f t="shared" si="52"/>
        <v>31.157749806473078</v>
      </c>
      <c r="DF40" s="31">
        <f t="shared" si="53"/>
        <v>31</v>
      </c>
      <c r="DG40" s="32">
        <f t="shared" si="66"/>
        <v>31.2</v>
      </c>
      <c r="DH40" s="32">
        <f t="shared" si="59"/>
        <v>868.84304855562391</v>
      </c>
      <c r="DI40" s="32">
        <f t="shared" si="60"/>
        <v>868.84572735834206</v>
      </c>
      <c r="DK40" s="38">
        <f t="shared" si="54"/>
        <v>0.86992473563881123</v>
      </c>
      <c r="DL40" s="41">
        <f t="shared" si="67"/>
        <v>0.86999999999999988</v>
      </c>
      <c r="DM40" s="38">
        <f t="shared" si="68"/>
        <v>0.86990000000000001</v>
      </c>
      <c r="DN40" s="32">
        <f t="shared" si="61"/>
        <v>869.04401840000003</v>
      </c>
      <c r="DO40" s="32">
        <f t="shared" si="69"/>
        <v>869.04669701265391</v>
      </c>
      <c r="DQ40" s="38">
        <f t="shared" si="55"/>
        <v>0.86950000000000005</v>
      </c>
      <c r="DR40" s="29">
        <f t="shared" si="70"/>
        <v>0.86999999999999988</v>
      </c>
      <c r="DS40" s="38">
        <f t="shared" si="71"/>
        <v>0.86950000000000005</v>
      </c>
      <c r="DT40" s="32">
        <f t="shared" si="62"/>
        <v>869.5</v>
      </c>
      <c r="DU40" s="32">
        <f t="shared" si="63"/>
        <v>869.5048208727801</v>
      </c>
      <c r="DW40" s="38">
        <f t="shared" si="72"/>
        <v>0.9899</v>
      </c>
      <c r="DX40" s="42">
        <f t="shared" si="73"/>
        <v>0.98992000000000002</v>
      </c>
      <c r="DY40" s="38">
        <f t="shared" si="74"/>
        <v>0.9899</v>
      </c>
      <c r="DZ40" s="42">
        <f t="shared" si="75"/>
        <v>0.98992999999999998</v>
      </c>
      <c r="EA40" s="38">
        <f t="shared" si="76"/>
        <v>0.98950000000000005</v>
      </c>
      <c r="EB40" s="42">
        <f t="shared" si="77"/>
        <v>0.98948000000000003</v>
      </c>
    </row>
    <row r="41" spans="1:132" ht="11.45" customHeight="1" x14ac:dyDescent="0.2">
      <c r="A41" s="346" t="str">
        <f t="shared" si="38"/>
        <v>HFO DAY TK</v>
      </c>
      <c r="B41" s="346"/>
      <c r="C41" s="346"/>
      <c r="D41" s="346"/>
      <c r="E41" s="346"/>
      <c r="F41" s="346"/>
      <c r="G41" s="346"/>
      <c r="H41" s="346"/>
      <c r="I41" s="318" t="str">
        <f t="shared" si="39"/>
        <v>LSMGO</v>
      </c>
      <c r="J41" s="318"/>
      <c r="K41" s="318"/>
      <c r="L41" s="318"/>
      <c r="M41" s="318"/>
      <c r="N41" s="318"/>
      <c r="O41" s="318"/>
      <c r="P41" s="313">
        <v>0.86950000000000005</v>
      </c>
      <c r="Q41" s="313"/>
      <c r="R41" s="313"/>
      <c r="S41" s="313"/>
      <c r="T41" s="313"/>
      <c r="U41" s="308">
        <v>10.75</v>
      </c>
      <c r="V41" s="308"/>
      <c r="W41" s="308"/>
      <c r="X41" s="308"/>
      <c r="Y41" s="308"/>
      <c r="Z41" s="308">
        <v>7.91</v>
      </c>
      <c r="AA41" s="308"/>
      <c r="AB41" s="308"/>
      <c r="AC41" s="309"/>
      <c r="AD41" s="308"/>
      <c r="AE41" s="308">
        <v>7.91</v>
      </c>
      <c r="AF41" s="308"/>
      <c r="AG41" s="308"/>
      <c r="AH41" s="309"/>
      <c r="AI41" s="308"/>
      <c r="AJ41" s="308">
        <v>32.56</v>
      </c>
      <c r="AK41" s="308"/>
      <c r="AL41" s="308"/>
      <c r="AM41" s="308"/>
      <c r="AN41" s="308"/>
      <c r="AO41" s="308">
        <v>0</v>
      </c>
      <c r="AP41" s="308"/>
      <c r="AQ41" s="308"/>
      <c r="AR41" s="308"/>
      <c r="AS41" s="308"/>
      <c r="AT41" s="308">
        <v>0</v>
      </c>
      <c r="AU41" s="308"/>
      <c r="AV41" s="308"/>
      <c r="AW41" s="308"/>
      <c r="AX41" s="308"/>
      <c r="AY41" s="312">
        <v>34</v>
      </c>
      <c r="AZ41" s="312"/>
      <c r="BA41" s="312"/>
      <c r="BB41" s="312"/>
      <c r="BC41" s="312"/>
      <c r="BD41" s="311">
        <f>IF(OR(AJ41="",AT41=""),"",AJ41-AT41)</f>
        <v>32.56</v>
      </c>
      <c r="BE41" s="311"/>
      <c r="BF41" s="311"/>
      <c r="BG41" s="311"/>
      <c r="BH41" s="311"/>
      <c r="BI41" s="310">
        <f t="shared" si="40"/>
        <v>0.98460000000000003</v>
      </c>
      <c r="BJ41" s="310"/>
      <c r="BK41" s="310"/>
      <c r="BL41" s="310"/>
      <c r="BM41" s="310"/>
      <c r="BN41" s="311">
        <f>IF(OR(BD41="",BI41=""),"",BD41*BI41)</f>
        <v>32.058576000000002</v>
      </c>
      <c r="BO41" s="311"/>
      <c r="BP41" s="311"/>
      <c r="BQ41" s="311"/>
      <c r="BR41" s="311"/>
      <c r="BS41" s="332">
        <f t="shared" si="42"/>
        <v>0.86839999999999995</v>
      </c>
      <c r="BT41" s="332"/>
      <c r="BU41" s="332"/>
      <c r="BV41" s="332"/>
      <c r="BW41" s="332"/>
      <c r="BX41" s="311">
        <f t="shared" si="43"/>
        <v>27.84</v>
      </c>
      <c r="BY41" s="311"/>
      <c r="BZ41" s="311"/>
      <c r="CA41" s="311"/>
      <c r="CB41" s="311"/>
      <c r="CC41" s="311">
        <f t="shared" si="44"/>
        <v>27.875</v>
      </c>
      <c r="CD41" s="311"/>
      <c r="CE41" s="311"/>
      <c r="CF41" s="311"/>
      <c r="CG41" s="311"/>
      <c r="CH41" s="55"/>
      <c r="CI41" s="108" t="s">
        <v>170</v>
      </c>
      <c r="CJ41" s="109"/>
      <c r="CK41" s="43">
        <f>AVERAGE(AY37:BC48)</f>
        <v>28.4</v>
      </c>
      <c r="CL41" s="21" t="s">
        <v>174</v>
      </c>
      <c r="CP41" s="87">
        <f t="shared" si="45"/>
        <v>1107.04</v>
      </c>
      <c r="CR41" s="28">
        <f t="shared" si="46"/>
        <v>204.79621360000002</v>
      </c>
      <c r="CS41" s="29">
        <f t="shared" si="47"/>
        <v>32.56</v>
      </c>
      <c r="CU41" s="28">
        <f t="shared" si="48"/>
        <v>93.2</v>
      </c>
      <c r="CV41" s="31">
        <f t="shared" si="49"/>
        <v>93</v>
      </c>
      <c r="CW41" s="32">
        <f>ROUND(CU41,1)</f>
        <v>93.2</v>
      </c>
      <c r="CX41" s="32">
        <f t="shared" si="57"/>
        <v>93.215531068139612</v>
      </c>
      <c r="CY41" s="26"/>
      <c r="CZ41" s="28">
        <f t="shared" si="50"/>
        <v>34</v>
      </c>
      <c r="DA41" s="28">
        <f t="shared" si="51"/>
        <v>34</v>
      </c>
      <c r="DB41" s="34">
        <f>ROUND(CZ41,1)</f>
        <v>34</v>
      </c>
      <c r="DC41" s="32">
        <f t="shared" si="58"/>
        <v>34.008628371188671</v>
      </c>
      <c r="DD41" s="35"/>
      <c r="DE41" s="28">
        <f t="shared" si="52"/>
        <v>31.157749806473078</v>
      </c>
      <c r="DF41" s="31">
        <f>ROUND(DE41*2,0)/2</f>
        <v>31</v>
      </c>
      <c r="DG41" s="32">
        <f>ROUND(DE41,1)</f>
        <v>31.2</v>
      </c>
      <c r="DH41" s="32">
        <f t="shared" si="59"/>
        <v>868.84304855562391</v>
      </c>
      <c r="DI41" s="32">
        <f t="shared" si="60"/>
        <v>868.84572735834206</v>
      </c>
      <c r="DK41" s="38">
        <f t="shared" si="54"/>
        <v>0.86992473563881123</v>
      </c>
      <c r="DL41" s="41">
        <f t="shared" si="67"/>
        <v>0.86999999999999988</v>
      </c>
      <c r="DM41" s="38">
        <f>ROUND(DK41,4)</f>
        <v>0.86990000000000001</v>
      </c>
      <c r="DN41" s="32">
        <f t="shared" si="61"/>
        <v>869.04401840000003</v>
      </c>
      <c r="DO41" s="32">
        <f t="shared" si="69"/>
        <v>869.04669701265391</v>
      </c>
      <c r="DQ41" s="38">
        <f t="shared" si="55"/>
        <v>0.86950000000000005</v>
      </c>
      <c r="DR41" s="29">
        <f t="shared" si="70"/>
        <v>0.86999999999999988</v>
      </c>
      <c r="DS41" s="38">
        <f>ROUND(DQ41,4)</f>
        <v>0.86950000000000005</v>
      </c>
      <c r="DT41" s="32">
        <f t="shared" si="62"/>
        <v>869.5</v>
      </c>
      <c r="DU41" s="32">
        <f t="shared" si="63"/>
        <v>869.5048208727801</v>
      </c>
      <c r="DW41" s="38">
        <f>ROUND(EXP(-((103.872/(((141.5/(DF41+131.5))*999.012)^2))+(0.2701/((141.5/(DF41+131.5))*999.012)))*(CV41-60)*(1+(0.8*((103.872/(((141.5/(DF41+131.5))*999.012)^2))+(0.2701/((141.5/(DF41+131.5))*999.012)))*(CV41-60)))),4)</f>
        <v>0.98519999999999996</v>
      </c>
      <c r="DX41" s="42">
        <f>ROUND(EXP(-(((103.872/DI41)+0.2701)*(1/DI41))*(CX41-60.0068749)*(1+(0.8*(((103.872/DI41)+0.2701)*(1/DI41))*((CX41-60.0068749)+0.01374979547)))),5)</f>
        <v>0.98504000000000003</v>
      </c>
      <c r="DY41" s="38">
        <f>ROUND(EXP(-((103.872/((DL41*999.012)^2))+(0.2701/(DL41*999.012)))*(CV41-60)*(1+(0.8*((103.872/((DL41*999.012)^2))+(0.2701/(DL41*999.012)))*(CV41-60)))),4)</f>
        <v>0.98509999999999998</v>
      </c>
      <c r="DZ41" s="42">
        <f>ROUND(EXP(-(((103.872/DO41)+0.2701)*(1/DO41))*(CX41-60.0068749)*(1+(0.8*(((103.872/DO41)+0.2701)*(1/DO41))*((CX41-60.0068749)+0.01374979547)))),5)</f>
        <v>0.98504999999999998</v>
      </c>
      <c r="EA41" s="38">
        <f>ROUND(EXP(-((186.9696/((DR41*1000)^2))+(0.4862/(DR41*1000)))*(DA41-15)*(1+(0.8*((186.9696/((DR41*1000)^2))+(0.4862/(DR41*1000)))*(DA41-15)))),4)</f>
        <v>0.98460000000000003</v>
      </c>
      <c r="EB41" s="42">
        <f>ROUND(EXP(-((((186.9696/DU41)+0.4862)*(1/DU41)))*(DC41-15.00367851)*(1+(0.8*((((186.9696/DU41)+0.4862)*(1/DU41)))*((DC41-15.00367851)+0.01374979547)))),5)</f>
        <v>0.98460000000000003</v>
      </c>
    </row>
    <row r="42" spans="1:132" ht="11.45" customHeight="1" x14ac:dyDescent="0.2">
      <c r="A42" s="346" t="str">
        <f t="shared" si="38"/>
        <v>OVERFLOW</v>
      </c>
      <c r="B42" s="346"/>
      <c r="C42" s="346"/>
      <c r="D42" s="346"/>
      <c r="E42" s="346"/>
      <c r="F42" s="346"/>
      <c r="G42" s="346"/>
      <c r="H42" s="346"/>
      <c r="I42" s="318" t="str">
        <f t="shared" si="39"/>
        <v>LSMGO</v>
      </c>
      <c r="J42" s="318"/>
      <c r="K42" s="318"/>
      <c r="L42" s="318"/>
      <c r="M42" s="318"/>
      <c r="N42" s="318"/>
      <c r="O42" s="318"/>
      <c r="P42" s="313">
        <v>0.86950000000000005</v>
      </c>
      <c r="Q42" s="313"/>
      <c r="R42" s="313"/>
      <c r="S42" s="313"/>
      <c r="T42" s="313"/>
      <c r="U42" s="308">
        <v>3.76</v>
      </c>
      <c r="V42" s="308"/>
      <c r="W42" s="308"/>
      <c r="X42" s="308"/>
      <c r="Y42" s="308"/>
      <c r="Z42" s="308">
        <v>0</v>
      </c>
      <c r="AA42" s="308"/>
      <c r="AB42" s="308"/>
      <c r="AC42" s="309"/>
      <c r="AD42" s="308"/>
      <c r="AE42" s="308">
        <v>0</v>
      </c>
      <c r="AF42" s="308"/>
      <c r="AG42" s="308"/>
      <c r="AH42" s="309"/>
      <c r="AI42" s="308"/>
      <c r="AJ42" s="308">
        <v>0</v>
      </c>
      <c r="AK42" s="308"/>
      <c r="AL42" s="308"/>
      <c r="AM42" s="308"/>
      <c r="AN42" s="308"/>
      <c r="AO42" s="308">
        <v>0</v>
      </c>
      <c r="AP42" s="308"/>
      <c r="AQ42" s="308"/>
      <c r="AR42" s="308"/>
      <c r="AS42" s="308"/>
      <c r="AT42" s="308">
        <v>0</v>
      </c>
      <c r="AU42" s="308"/>
      <c r="AV42" s="308"/>
      <c r="AW42" s="308"/>
      <c r="AX42" s="308"/>
      <c r="AY42" s="312">
        <v>15</v>
      </c>
      <c r="AZ42" s="312"/>
      <c r="BA42" s="312"/>
      <c r="BB42" s="312"/>
      <c r="BC42" s="312"/>
      <c r="BD42" s="311">
        <f>IF(OR(AJ42="",AT42=""),"",AJ42-AT42)</f>
        <v>0</v>
      </c>
      <c r="BE42" s="311"/>
      <c r="BF42" s="311"/>
      <c r="BG42" s="311"/>
      <c r="BH42" s="311"/>
      <c r="BI42" s="310">
        <f t="shared" si="40"/>
        <v>1</v>
      </c>
      <c r="BJ42" s="310"/>
      <c r="BK42" s="310"/>
      <c r="BL42" s="310"/>
      <c r="BM42" s="310"/>
      <c r="BN42" s="311">
        <f>IF(OR(BD42="",BI42=""),"",BD42*BI42)</f>
        <v>0</v>
      </c>
      <c r="BO42" s="311"/>
      <c r="BP42" s="311"/>
      <c r="BQ42" s="311"/>
      <c r="BR42" s="311"/>
      <c r="BS42" s="332">
        <f t="shared" si="42"/>
        <v>0.86839999999999995</v>
      </c>
      <c r="BT42" s="332"/>
      <c r="BU42" s="332"/>
      <c r="BV42" s="332"/>
      <c r="BW42" s="332"/>
      <c r="BX42" s="311">
        <f t="shared" si="43"/>
        <v>0</v>
      </c>
      <c r="BY42" s="311"/>
      <c r="BZ42" s="311"/>
      <c r="CA42" s="311"/>
      <c r="CB42" s="311"/>
      <c r="CC42" s="311">
        <f t="shared" si="44"/>
        <v>0</v>
      </c>
      <c r="CD42" s="311"/>
      <c r="CE42" s="311"/>
      <c r="CF42" s="311"/>
      <c r="CG42" s="311"/>
      <c r="CH42" s="55"/>
      <c r="CI42" s="9" t="s">
        <v>171</v>
      </c>
      <c r="CJ42" s="10"/>
      <c r="CK42" s="44">
        <f>SUM(CP37:CP48)/BD49</f>
        <v>23.671293146459835</v>
      </c>
      <c r="CL42" s="11" t="s">
        <v>174</v>
      </c>
      <c r="CP42" s="87">
        <f t="shared" si="45"/>
        <v>0</v>
      </c>
      <c r="CR42" s="28">
        <f t="shared" si="46"/>
        <v>0</v>
      </c>
      <c r="CS42" s="29">
        <f t="shared" si="47"/>
        <v>0</v>
      </c>
      <c r="CU42" s="28">
        <f t="shared" si="48"/>
        <v>59</v>
      </c>
      <c r="CV42" s="31">
        <f t="shared" si="49"/>
        <v>59</v>
      </c>
      <c r="CW42" s="32">
        <f>ROUND(CU42,1)</f>
        <v>59</v>
      </c>
      <c r="CX42" s="32">
        <f t="shared" si="57"/>
        <v>59.006621316269118</v>
      </c>
      <c r="CY42" s="26"/>
      <c r="CZ42" s="28">
        <f t="shared" si="50"/>
        <v>15</v>
      </c>
      <c r="DA42" s="28">
        <f t="shared" si="51"/>
        <v>15</v>
      </c>
      <c r="DB42" s="34">
        <f>ROUND(CZ42,1)</f>
        <v>15</v>
      </c>
      <c r="DC42" s="32">
        <f t="shared" si="58"/>
        <v>15.003678509038402</v>
      </c>
      <c r="DD42" s="35"/>
      <c r="DE42" s="28">
        <f t="shared" si="52"/>
        <v>31.157749806473078</v>
      </c>
      <c r="DF42" s="31">
        <f t="shared" si="53"/>
        <v>31</v>
      </c>
      <c r="DG42" s="32">
        <f>ROUND(DE42,1)</f>
        <v>31.2</v>
      </c>
      <c r="DH42" s="32">
        <f t="shared" si="59"/>
        <v>868.84304855562391</v>
      </c>
      <c r="DI42" s="32">
        <f t="shared" si="60"/>
        <v>868.84572735834206</v>
      </c>
      <c r="DK42" s="38">
        <f t="shared" si="54"/>
        <v>0.86992473563881123</v>
      </c>
      <c r="DL42" s="41">
        <f t="shared" si="67"/>
        <v>0.86999999999999988</v>
      </c>
      <c r="DM42" s="38">
        <f>ROUND(DK42,4)</f>
        <v>0.86990000000000001</v>
      </c>
      <c r="DN42" s="32">
        <f t="shared" si="61"/>
        <v>869.04401840000003</v>
      </c>
      <c r="DO42" s="32">
        <f t="shared" si="69"/>
        <v>869.04669701265391</v>
      </c>
      <c r="DQ42" s="38">
        <f t="shared" si="55"/>
        <v>0.86950000000000005</v>
      </c>
      <c r="DR42" s="29">
        <f t="shared" si="70"/>
        <v>0.86999999999999988</v>
      </c>
      <c r="DS42" s="38">
        <f>ROUND(DQ42,4)</f>
        <v>0.86950000000000005</v>
      </c>
      <c r="DT42" s="32">
        <f t="shared" si="62"/>
        <v>869.5</v>
      </c>
      <c r="DU42" s="32">
        <f t="shared" si="63"/>
        <v>869.5048208727801</v>
      </c>
      <c r="DW42" s="38">
        <f>ROUND(EXP(-((103.872/(((141.5/(DF42+131.5))*999.012)^2))+(0.2701/((141.5/(DF42+131.5))*999.012)))*(CV42-60)*(1+(0.8*((103.872/(((141.5/(DF42+131.5))*999.012)^2))+(0.2701/((141.5/(DF42+131.5))*999.012)))*(CV42-60)))),4)</f>
        <v>1.0004</v>
      </c>
      <c r="DX42" s="42">
        <f>ROUND(EXP(-(((103.872/DI42)+0.2701)*(1/DI42))*(CX42-60.0068749)*(1+(0.8*(((103.872/DI42)+0.2701)*(1/DI42))*((CX42-60.0068749)+0.01374979547)))),5)</f>
        <v>1.0004500000000001</v>
      </c>
      <c r="DY42" s="38">
        <f>ROUND(EXP(-((103.872/((DL42*999.012)^2))+(0.2701/(DL42*999.012)))*(CV42-60)*(1+(0.8*((103.872/((DL42*999.012)^2))+(0.2701/(DL42*999.012)))*(CV42-60)))),4)</f>
        <v>1.0004</v>
      </c>
      <c r="DZ42" s="42">
        <f>ROUND(EXP(-(((103.872/DO42)+0.2701)*(1/DO42))*(CX42-60.0068749)*(1+(0.8*(((103.872/DO42)+0.2701)*(1/DO42))*((CX42-60.0068749)+0.01374979547)))),5)</f>
        <v>1.0004500000000001</v>
      </c>
      <c r="EA42" s="38">
        <f>ROUND(EXP(-((186.9696/((DR42*1000)^2))+(0.4862/(DR42*1000)))*(DA42-15)*(1+(0.8*((186.9696/((DR42*1000)^2))+(0.4862/(DR42*1000)))*(DA42-15)))),4)</f>
        <v>1</v>
      </c>
      <c r="EB42" s="42">
        <f>ROUND(EXP(-((((186.9696/DU42)+0.4862)*(1/DU42)))*(DC42-15.00367851)*(1+(0.8*((((186.9696/DU42)+0.4862)*(1/DU42)))*((DC42-15.00367851)+0.01374979547)))),5)</f>
        <v>1</v>
      </c>
    </row>
    <row r="43" spans="1:132" ht="11.45" customHeight="1" x14ac:dyDescent="0.2">
      <c r="A43" s="346" t="str">
        <f t="shared" si="38"/>
        <v>MDO STOR 1P</v>
      </c>
      <c r="B43" s="346"/>
      <c r="C43" s="346"/>
      <c r="D43" s="346"/>
      <c r="E43" s="346"/>
      <c r="F43" s="346"/>
      <c r="G43" s="346"/>
      <c r="H43" s="346"/>
      <c r="I43" s="318" t="str">
        <f t="shared" si="39"/>
        <v>LSMGO</v>
      </c>
      <c r="J43" s="318"/>
      <c r="K43" s="318"/>
      <c r="L43" s="318"/>
      <c r="M43" s="318"/>
      <c r="N43" s="318"/>
      <c r="O43" s="318"/>
      <c r="P43" s="313">
        <v>0.86950000000000005</v>
      </c>
      <c r="Q43" s="313"/>
      <c r="R43" s="313"/>
      <c r="S43" s="313"/>
      <c r="T43" s="313"/>
      <c r="U43" s="308">
        <v>13.26</v>
      </c>
      <c r="V43" s="308"/>
      <c r="W43" s="308"/>
      <c r="X43" s="308"/>
      <c r="Y43" s="308"/>
      <c r="Z43" s="308">
        <v>0</v>
      </c>
      <c r="AA43" s="308"/>
      <c r="AB43" s="308"/>
      <c r="AC43" s="309"/>
      <c r="AD43" s="308"/>
      <c r="AE43" s="308">
        <v>0</v>
      </c>
      <c r="AF43" s="308"/>
      <c r="AG43" s="308"/>
      <c r="AH43" s="309"/>
      <c r="AI43" s="308"/>
      <c r="AJ43" s="308">
        <v>0</v>
      </c>
      <c r="AK43" s="308"/>
      <c r="AL43" s="308"/>
      <c r="AM43" s="308"/>
      <c r="AN43" s="308"/>
      <c r="AO43" s="308">
        <v>0</v>
      </c>
      <c r="AP43" s="308"/>
      <c r="AQ43" s="308"/>
      <c r="AR43" s="308"/>
      <c r="AS43" s="308"/>
      <c r="AT43" s="308">
        <v>0</v>
      </c>
      <c r="AU43" s="308"/>
      <c r="AV43" s="308"/>
      <c r="AW43" s="308"/>
      <c r="AX43" s="308"/>
      <c r="AY43" s="312">
        <v>24</v>
      </c>
      <c r="AZ43" s="312"/>
      <c r="BA43" s="312"/>
      <c r="BB43" s="312"/>
      <c r="BC43" s="312"/>
      <c r="BD43" s="311">
        <f t="shared" si="56"/>
        <v>0</v>
      </c>
      <c r="BE43" s="311"/>
      <c r="BF43" s="311"/>
      <c r="BG43" s="311"/>
      <c r="BH43" s="311"/>
      <c r="BI43" s="310">
        <f t="shared" si="40"/>
        <v>0.99272000000000005</v>
      </c>
      <c r="BJ43" s="310"/>
      <c r="BK43" s="310"/>
      <c r="BL43" s="310"/>
      <c r="BM43" s="310"/>
      <c r="BN43" s="311">
        <f t="shared" si="41"/>
        <v>0</v>
      </c>
      <c r="BO43" s="311"/>
      <c r="BP43" s="311"/>
      <c r="BQ43" s="311"/>
      <c r="BR43" s="311"/>
      <c r="BS43" s="332">
        <f t="shared" si="42"/>
        <v>0.86839999999999995</v>
      </c>
      <c r="BT43" s="332"/>
      <c r="BU43" s="332"/>
      <c r="BV43" s="332"/>
      <c r="BW43" s="332"/>
      <c r="BX43" s="311">
        <f t="shared" si="43"/>
        <v>0</v>
      </c>
      <c r="BY43" s="311"/>
      <c r="BZ43" s="311"/>
      <c r="CA43" s="311"/>
      <c r="CB43" s="311"/>
      <c r="CC43" s="311">
        <f t="shared" si="44"/>
        <v>0</v>
      </c>
      <c r="CD43" s="311"/>
      <c r="CE43" s="311"/>
      <c r="CF43" s="311"/>
      <c r="CG43" s="311"/>
      <c r="CH43" s="55"/>
      <c r="CN43" s="1" t="s">
        <v>219</v>
      </c>
      <c r="CP43" s="87">
        <f t="shared" si="45"/>
        <v>0</v>
      </c>
      <c r="CR43" s="28">
        <f t="shared" si="46"/>
        <v>0</v>
      </c>
      <c r="CS43" s="29">
        <f t="shared" si="47"/>
        <v>0</v>
      </c>
      <c r="CU43" s="28">
        <f t="shared" si="48"/>
        <v>75.2</v>
      </c>
      <c r="CV43" s="31">
        <f t="shared" si="49"/>
        <v>75</v>
      </c>
      <c r="CW43" s="32">
        <f t="shared" si="64"/>
        <v>75.2</v>
      </c>
      <c r="CX43" s="32">
        <f t="shared" si="57"/>
        <v>75.210787389850594</v>
      </c>
      <c r="CY43" s="26"/>
      <c r="CZ43" s="28">
        <f t="shared" si="50"/>
        <v>24</v>
      </c>
      <c r="DA43" s="28">
        <f t="shared" si="51"/>
        <v>24</v>
      </c>
      <c r="DB43" s="34">
        <f t="shared" si="65"/>
        <v>24</v>
      </c>
      <c r="DC43" s="32">
        <f t="shared" si="58"/>
        <v>24.005992994361435</v>
      </c>
      <c r="DD43" s="35"/>
      <c r="DE43" s="28">
        <f t="shared" si="52"/>
        <v>31.157749806473078</v>
      </c>
      <c r="DF43" s="31">
        <f>ROUND(DE43*2,0)/2</f>
        <v>31</v>
      </c>
      <c r="DG43" s="32">
        <f t="shared" si="66"/>
        <v>31.2</v>
      </c>
      <c r="DH43" s="32">
        <f t="shared" si="59"/>
        <v>868.84304855562391</v>
      </c>
      <c r="DI43" s="32">
        <f t="shared" si="60"/>
        <v>868.84572735834206</v>
      </c>
      <c r="DK43" s="38">
        <f t="shared" si="54"/>
        <v>0.86992473563881123</v>
      </c>
      <c r="DL43" s="41">
        <f t="shared" si="67"/>
        <v>0.86999999999999988</v>
      </c>
      <c r="DM43" s="38">
        <f t="shared" si="68"/>
        <v>0.86990000000000001</v>
      </c>
      <c r="DN43" s="32">
        <f t="shared" si="61"/>
        <v>869.04401840000003</v>
      </c>
      <c r="DO43" s="32">
        <f t="shared" si="69"/>
        <v>869.04669701265391</v>
      </c>
      <c r="DQ43" s="38">
        <f t="shared" si="55"/>
        <v>0.86950000000000005</v>
      </c>
      <c r="DR43" s="29">
        <f t="shared" si="70"/>
        <v>0.86999999999999988</v>
      </c>
      <c r="DS43" s="38">
        <f t="shared" si="71"/>
        <v>0.86950000000000005</v>
      </c>
      <c r="DT43" s="32">
        <f t="shared" si="62"/>
        <v>869.5</v>
      </c>
      <c r="DU43" s="32">
        <f t="shared" si="63"/>
        <v>869.5048208727801</v>
      </c>
      <c r="DW43" s="38">
        <f t="shared" si="72"/>
        <v>0.99329999999999996</v>
      </c>
      <c r="DX43" s="42">
        <f t="shared" si="73"/>
        <v>0.99317</v>
      </c>
      <c r="DY43" s="38">
        <f t="shared" si="74"/>
        <v>0.99329999999999996</v>
      </c>
      <c r="DZ43" s="42">
        <f t="shared" si="75"/>
        <v>0.99317</v>
      </c>
      <c r="EA43" s="38">
        <f t="shared" si="76"/>
        <v>0.99270000000000003</v>
      </c>
      <c r="EB43" s="42">
        <f t="shared" si="77"/>
        <v>0.99272000000000005</v>
      </c>
    </row>
    <row r="44" spans="1:132" ht="11.45" customHeight="1" x14ac:dyDescent="0.2">
      <c r="A44" s="346" t="str">
        <f t="shared" si="38"/>
        <v>MDO STOR 2S</v>
      </c>
      <c r="B44" s="346"/>
      <c r="C44" s="346"/>
      <c r="D44" s="346"/>
      <c r="E44" s="346"/>
      <c r="F44" s="346"/>
      <c r="G44" s="346"/>
      <c r="H44" s="346"/>
      <c r="I44" s="318" t="str">
        <f t="shared" si="39"/>
        <v>LSMGO</v>
      </c>
      <c r="J44" s="318"/>
      <c r="K44" s="318"/>
      <c r="L44" s="318"/>
      <c r="M44" s="318"/>
      <c r="N44" s="318"/>
      <c r="O44" s="318"/>
      <c r="P44" s="313">
        <v>0.86950000000000005</v>
      </c>
      <c r="Q44" s="313"/>
      <c r="R44" s="313"/>
      <c r="S44" s="313"/>
      <c r="T44" s="313"/>
      <c r="U44" s="308">
        <v>9.18</v>
      </c>
      <c r="V44" s="308"/>
      <c r="W44" s="308"/>
      <c r="X44" s="308"/>
      <c r="Y44" s="308"/>
      <c r="Z44" s="308">
        <v>2.31</v>
      </c>
      <c r="AA44" s="308"/>
      <c r="AB44" s="308"/>
      <c r="AC44" s="309"/>
      <c r="AD44" s="308"/>
      <c r="AE44" s="308">
        <v>2.31</v>
      </c>
      <c r="AF44" s="308"/>
      <c r="AG44" s="308"/>
      <c r="AH44" s="309"/>
      <c r="AI44" s="308"/>
      <c r="AJ44" s="308">
        <v>13.48</v>
      </c>
      <c r="AK44" s="308"/>
      <c r="AL44" s="308"/>
      <c r="AM44" s="308"/>
      <c r="AN44" s="308"/>
      <c r="AO44" s="308">
        <v>0</v>
      </c>
      <c r="AP44" s="308"/>
      <c r="AQ44" s="308"/>
      <c r="AR44" s="308"/>
      <c r="AS44" s="308"/>
      <c r="AT44" s="308">
        <v>0</v>
      </c>
      <c r="AU44" s="308"/>
      <c r="AV44" s="308"/>
      <c r="AW44" s="308"/>
      <c r="AX44" s="308"/>
      <c r="AY44" s="312">
        <v>40</v>
      </c>
      <c r="AZ44" s="312"/>
      <c r="BA44" s="312"/>
      <c r="BB44" s="312"/>
      <c r="BC44" s="312"/>
      <c r="BD44" s="311">
        <f t="shared" si="56"/>
        <v>13.48</v>
      </c>
      <c r="BE44" s="311"/>
      <c r="BF44" s="311"/>
      <c r="BG44" s="311"/>
      <c r="BH44" s="311"/>
      <c r="BI44" s="310">
        <f t="shared" si="40"/>
        <v>0.97972000000000004</v>
      </c>
      <c r="BJ44" s="310"/>
      <c r="BK44" s="310"/>
      <c r="BL44" s="310"/>
      <c r="BM44" s="310"/>
      <c r="BN44" s="311">
        <f t="shared" si="41"/>
        <v>13.206625600000001</v>
      </c>
      <c r="BO44" s="311"/>
      <c r="BP44" s="311"/>
      <c r="BQ44" s="311"/>
      <c r="BR44" s="311"/>
      <c r="BS44" s="332">
        <f t="shared" si="42"/>
        <v>0.86839999999999995</v>
      </c>
      <c r="BT44" s="332"/>
      <c r="BU44" s="332"/>
      <c r="BV44" s="332"/>
      <c r="BW44" s="332"/>
      <c r="BX44" s="311">
        <f t="shared" si="43"/>
        <v>11.468999999999999</v>
      </c>
      <c r="BY44" s="311"/>
      <c r="BZ44" s="311"/>
      <c r="CA44" s="311"/>
      <c r="CB44" s="311"/>
      <c r="CC44" s="311">
        <f t="shared" si="44"/>
        <v>11.483000000000001</v>
      </c>
      <c r="CD44" s="311"/>
      <c r="CE44" s="311"/>
      <c r="CF44" s="311"/>
      <c r="CG44" s="311"/>
      <c r="CH44" s="55"/>
      <c r="CI44" s="323" t="s">
        <v>511</v>
      </c>
      <c r="CJ44" s="324"/>
      <c r="CK44" s="324"/>
      <c r="CL44" s="325"/>
      <c r="CN44" s="107" t="s">
        <v>199</v>
      </c>
      <c r="CP44" s="87">
        <f t="shared" si="45"/>
        <v>539.20000000000005</v>
      </c>
      <c r="CR44" s="28">
        <f t="shared" si="46"/>
        <v>84.786638800000006</v>
      </c>
      <c r="CS44" s="29">
        <f t="shared" si="47"/>
        <v>13.48</v>
      </c>
      <c r="CU44" s="28">
        <f t="shared" si="48"/>
        <v>104</v>
      </c>
      <c r="CV44" s="31">
        <f t="shared" si="49"/>
        <v>104</v>
      </c>
      <c r="CW44" s="32">
        <f t="shared" si="64"/>
        <v>104</v>
      </c>
      <c r="CX44" s="32">
        <f t="shared" si="57"/>
        <v>104.01841412354122</v>
      </c>
      <c r="CY44" s="26"/>
      <c r="CZ44" s="28">
        <f t="shared" si="50"/>
        <v>40</v>
      </c>
      <c r="DA44" s="28">
        <f t="shared" si="51"/>
        <v>40</v>
      </c>
      <c r="DB44" s="34">
        <f t="shared" si="65"/>
        <v>40</v>
      </c>
      <c r="DC44" s="32">
        <f t="shared" si="58"/>
        <v>40.010230068634009</v>
      </c>
      <c r="DD44" s="35"/>
      <c r="DE44" s="28">
        <f t="shared" si="52"/>
        <v>31.157749806473078</v>
      </c>
      <c r="DF44" s="31">
        <f t="shared" si="53"/>
        <v>31</v>
      </c>
      <c r="DG44" s="32">
        <f t="shared" si="66"/>
        <v>31.2</v>
      </c>
      <c r="DH44" s="32">
        <f t="shared" si="59"/>
        <v>868.84304855562391</v>
      </c>
      <c r="DI44" s="32">
        <f t="shared" si="60"/>
        <v>868.84572735834206</v>
      </c>
      <c r="DK44" s="38">
        <f t="shared" si="54"/>
        <v>0.86992473563881123</v>
      </c>
      <c r="DL44" s="41">
        <f t="shared" si="67"/>
        <v>0.86999999999999988</v>
      </c>
      <c r="DM44" s="38">
        <f t="shared" si="68"/>
        <v>0.86990000000000001</v>
      </c>
      <c r="DN44" s="32">
        <f t="shared" si="61"/>
        <v>869.04401840000003</v>
      </c>
      <c r="DO44" s="32">
        <f t="shared" si="69"/>
        <v>869.04669701265391</v>
      </c>
      <c r="DQ44" s="38">
        <f t="shared" si="55"/>
        <v>0.86950000000000005</v>
      </c>
      <c r="DR44" s="29">
        <f t="shared" si="70"/>
        <v>0.86999999999999988</v>
      </c>
      <c r="DS44" s="38">
        <f t="shared" si="71"/>
        <v>0.86950000000000005</v>
      </c>
      <c r="DT44" s="32">
        <f t="shared" si="62"/>
        <v>869.5</v>
      </c>
      <c r="DU44" s="32">
        <f t="shared" si="63"/>
        <v>869.5048208727801</v>
      </c>
      <c r="DW44" s="38">
        <f t="shared" si="72"/>
        <v>0.98019999999999996</v>
      </c>
      <c r="DX44" s="42">
        <f t="shared" si="73"/>
        <v>0.98014999999999997</v>
      </c>
      <c r="DY44" s="38">
        <f t="shared" si="74"/>
        <v>0.98019999999999996</v>
      </c>
      <c r="DZ44" s="42">
        <f t="shared" si="75"/>
        <v>0.98016000000000003</v>
      </c>
      <c r="EA44" s="38">
        <f t="shared" si="76"/>
        <v>0.97970000000000002</v>
      </c>
      <c r="EB44" s="42">
        <f t="shared" si="77"/>
        <v>0.97972000000000004</v>
      </c>
    </row>
    <row r="45" spans="1:132" ht="11.45" customHeight="1" x14ac:dyDescent="0.2">
      <c r="A45" s="346" t="str">
        <f t="shared" si="38"/>
        <v>MDO DAY 1</v>
      </c>
      <c r="B45" s="346"/>
      <c r="C45" s="346"/>
      <c r="D45" s="346"/>
      <c r="E45" s="346"/>
      <c r="F45" s="346"/>
      <c r="G45" s="346"/>
      <c r="H45" s="346"/>
      <c r="I45" s="318" t="str">
        <f t="shared" si="39"/>
        <v>LSMGO</v>
      </c>
      <c r="J45" s="318"/>
      <c r="K45" s="318"/>
      <c r="L45" s="318"/>
      <c r="M45" s="318"/>
      <c r="N45" s="318"/>
      <c r="O45" s="318"/>
      <c r="P45" s="313">
        <v>0.86950000000000005</v>
      </c>
      <c r="Q45" s="313"/>
      <c r="R45" s="313"/>
      <c r="S45" s="313"/>
      <c r="T45" s="313"/>
      <c r="U45" s="308">
        <v>3.85</v>
      </c>
      <c r="V45" s="308"/>
      <c r="W45" s="308"/>
      <c r="X45" s="308"/>
      <c r="Y45" s="308"/>
      <c r="Z45" s="308">
        <v>2.7</v>
      </c>
      <c r="AA45" s="308"/>
      <c r="AB45" s="308"/>
      <c r="AC45" s="309"/>
      <c r="AD45" s="308"/>
      <c r="AE45" s="308">
        <v>2.7</v>
      </c>
      <c r="AF45" s="308"/>
      <c r="AG45" s="308"/>
      <c r="AH45" s="309"/>
      <c r="AI45" s="308"/>
      <c r="AJ45" s="308">
        <v>15.2</v>
      </c>
      <c r="AK45" s="308"/>
      <c r="AL45" s="308"/>
      <c r="AM45" s="308"/>
      <c r="AN45" s="308"/>
      <c r="AO45" s="308">
        <v>0</v>
      </c>
      <c r="AP45" s="308"/>
      <c r="AQ45" s="308"/>
      <c r="AR45" s="308"/>
      <c r="AS45" s="308"/>
      <c r="AT45" s="308">
        <v>0</v>
      </c>
      <c r="AU45" s="308"/>
      <c r="AV45" s="308"/>
      <c r="AW45" s="308"/>
      <c r="AX45" s="308"/>
      <c r="AY45" s="312">
        <v>40</v>
      </c>
      <c r="AZ45" s="312"/>
      <c r="BA45" s="312"/>
      <c r="BB45" s="312"/>
      <c r="BC45" s="312"/>
      <c r="BD45" s="311">
        <f t="shared" si="56"/>
        <v>15.2</v>
      </c>
      <c r="BE45" s="311"/>
      <c r="BF45" s="311"/>
      <c r="BG45" s="311"/>
      <c r="BH45" s="311"/>
      <c r="BI45" s="310">
        <f t="shared" si="40"/>
        <v>0.97972000000000004</v>
      </c>
      <c r="BJ45" s="310"/>
      <c r="BK45" s="310"/>
      <c r="BL45" s="310"/>
      <c r="BM45" s="310"/>
      <c r="BN45" s="311">
        <f>IF(OR(BD45="",BI45=""),"",BD45*BI45)</f>
        <v>14.891743999999999</v>
      </c>
      <c r="BO45" s="311"/>
      <c r="BP45" s="311"/>
      <c r="BQ45" s="311"/>
      <c r="BR45" s="311"/>
      <c r="BS45" s="332">
        <f t="shared" si="42"/>
        <v>0.86839999999999995</v>
      </c>
      <c r="BT45" s="332"/>
      <c r="BU45" s="332"/>
      <c r="BV45" s="332"/>
      <c r="BW45" s="332"/>
      <c r="BX45" s="311">
        <f t="shared" si="43"/>
        <v>12.932</v>
      </c>
      <c r="BY45" s="311"/>
      <c r="BZ45" s="311"/>
      <c r="CA45" s="311"/>
      <c r="CB45" s="311"/>
      <c r="CC45" s="311">
        <f t="shared" si="44"/>
        <v>12.948</v>
      </c>
      <c r="CD45" s="311"/>
      <c r="CE45" s="311"/>
      <c r="CF45" s="311"/>
      <c r="CG45" s="311"/>
      <c r="CH45" s="55"/>
      <c r="CI45" s="326"/>
      <c r="CJ45" s="327"/>
      <c r="CK45" s="327"/>
      <c r="CL45" s="328"/>
      <c r="CN45" s="87" t="s">
        <v>200</v>
      </c>
      <c r="CP45" s="87">
        <f t="shared" si="45"/>
        <v>608</v>
      </c>
      <c r="CR45" s="28">
        <f t="shared" si="46"/>
        <v>95.605111999999991</v>
      </c>
      <c r="CS45" s="29">
        <f t="shared" si="47"/>
        <v>15.2</v>
      </c>
      <c r="CU45" s="28">
        <f t="shared" si="48"/>
        <v>104</v>
      </c>
      <c r="CV45" s="31">
        <f t="shared" si="49"/>
        <v>104</v>
      </c>
      <c r="CW45" s="32">
        <f t="shared" si="64"/>
        <v>104</v>
      </c>
      <c r="CX45" s="32">
        <f t="shared" si="57"/>
        <v>104.01841412354122</v>
      </c>
      <c r="CY45" s="26"/>
      <c r="CZ45" s="28">
        <f t="shared" si="50"/>
        <v>40</v>
      </c>
      <c r="DA45" s="28">
        <f t="shared" si="51"/>
        <v>40</v>
      </c>
      <c r="DB45" s="34">
        <f t="shared" si="65"/>
        <v>40</v>
      </c>
      <c r="DC45" s="32">
        <f t="shared" si="58"/>
        <v>40.010230068634009</v>
      </c>
      <c r="DD45" s="35"/>
      <c r="DE45" s="28">
        <f t="shared" si="52"/>
        <v>31.157749806473078</v>
      </c>
      <c r="DF45" s="31">
        <f t="shared" si="53"/>
        <v>31</v>
      </c>
      <c r="DG45" s="32">
        <f t="shared" si="66"/>
        <v>31.2</v>
      </c>
      <c r="DH45" s="32">
        <f t="shared" si="59"/>
        <v>868.84304855562391</v>
      </c>
      <c r="DI45" s="32">
        <f>DH45*(1+((EXP(((0.01374979547/2)*(((103.872/DH45)+0.2701)*(1/DH45)))*(1+(0.8*((0.01374979547/2)*(((103.872/DH45)+0.2701)*(1/DH45))))))-1)/(1+(((0.01374979547/2)*(((103.872/DH45)+0.2701)*(1/DH45)))*(1+(1.6*((0.01374979547/2)*(((103.872/DH45)+0.2701)*(1/DH45)))))*(((2*103.872)+(0.2701+DH45))/(103.872+(0.2701*DH45)))))))</f>
        <v>868.84572735834206</v>
      </c>
      <c r="DK45" s="38">
        <f t="shared" si="54"/>
        <v>0.86992473563881123</v>
      </c>
      <c r="DL45" s="41">
        <f t="shared" si="67"/>
        <v>0.86999999999999988</v>
      </c>
      <c r="DM45" s="38">
        <f t="shared" si="68"/>
        <v>0.86990000000000001</v>
      </c>
      <c r="DN45" s="32">
        <f t="shared" si="61"/>
        <v>869.04401840000003</v>
      </c>
      <c r="DO45" s="32">
        <f t="shared" si="69"/>
        <v>869.04669701265391</v>
      </c>
      <c r="DQ45" s="38">
        <f t="shared" si="55"/>
        <v>0.86950000000000005</v>
      </c>
      <c r="DR45" s="29">
        <f t="shared" si="70"/>
        <v>0.86999999999999988</v>
      </c>
      <c r="DS45" s="38">
        <f t="shared" si="71"/>
        <v>0.86950000000000005</v>
      </c>
      <c r="DT45" s="32">
        <f t="shared" si="62"/>
        <v>869.5</v>
      </c>
      <c r="DU45" s="32">
        <f t="shared" si="63"/>
        <v>869.5048208727801</v>
      </c>
      <c r="DW45" s="38">
        <f t="shared" si="72"/>
        <v>0.98019999999999996</v>
      </c>
      <c r="DX45" s="42">
        <f t="shared" si="73"/>
        <v>0.98014999999999997</v>
      </c>
      <c r="DY45" s="38">
        <f t="shared" si="74"/>
        <v>0.98019999999999996</v>
      </c>
      <c r="DZ45" s="42">
        <f t="shared" si="75"/>
        <v>0.98016000000000003</v>
      </c>
      <c r="EA45" s="38">
        <f t="shared" si="76"/>
        <v>0.97970000000000002</v>
      </c>
      <c r="EB45" s="42">
        <f t="shared" si="77"/>
        <v>0.97972000000000004</v>
      </c>
    </row>
    <row r="46" spans="1:132" ht="11.45" customHeight="1" x14ac:dyDescent="0.2">
      <c r="A46" s="346" t="str">
        <f t="shared" si="38"/>
        <v>MDO DAY 2</v>
      </c>
      <c r="B46" s="346"/>
      <c r="C46" s="346"/>
      <c r="D46" s="346"/>
      <c r="E46" s="346"/>
      <c r="F46" s="346"/>
      <c r="G46" s="346"/>
      <c r="H46" s="346"/>
      <c r="I46" s="318" t="str">
        <f t="shared" si="39"/>
        <v>LSMGO</v>
      </c>
      <c r="J46" s="318"/>
      <c r="K46" s="318"/>
      <c r="L46" s="318"/>
      <c r="M46" s="318"/>
      <c r="N46" s="318"/>
      <c r="O46" s="318"/>
      <c r="P46" s="313">
        <v>0.86950000000000005</v>
      </c>
      <c r="Q46" s="313"/>
      <c r="R46" s="313"/>
      <c r="S46" s="313"/>
      <c r="T46" s="313"/>
      <c r="U46" s="308">
        <v>3.85</v>
      </c>
      <c r="V46" s="308"/>
      <c r="W46" s="308"/>
      <c r="X46" s="308"/>
      <c r="Y46" s="308"/>
      <c r="Z46" s="308">
        <v>2.64</v>
      </c>
      <c r="AA46" s="308"/>
      <c r="AB46" s="308"/>
      <c r="AC46" s="309"/>
      <c r="AD46" s="308"/>
      <c r="AE46" s="308">
        <v>2.64</v>
      </c>
      <c r="AF46" s="308"/>
      <c r="AG46" s="308"/>
      <c r="AH46" s="309"/>
      <c r="AI46" s="308"/>
      <c r="AJ46" s="308">
        <v>22.92</v>
      </c>
      <c r="AK46" s="308"/>
      <c r="AL46" s="308"/>
      <c r="AM46" s="308"/>
      <c r="AN46" s="308"/>
      <c r="AO46" s="308">
        <v>0</v>
      </c>
      <c r="AP46" s="308"/>
      <c r="AQ46" s="308"/>
      <c r="AR46" s="308"/>
      <c r="AS46" s="308"/>
      <c r="AT46" s="308">
        <v>0</v>
      </c>
      <c r="AU46" s="308"/>
      <c r="AV46" s="308"/>
      <c r="AW46" s="308"/>
      <c r="AX46" s="308"/>
      <c r="AY46" s="312">
        <v>32</v>
      </c>
      <c r="AZ46" s="312"/>
      <c r="BA46" s="312"/>
      <c r="BB46" s="312"/>
      <c r="BC46" s="312"/>
      <c r="BD46" s="311">
        <f t="shared" si="56"/>
        <v>22.92</v>
      </c>
      <c r="BE46" s="311"/>
      <c r="BF46" s="311"/>
      <c r="BG46" s="311"/>
      <c r="BH46" s="311"/>
      <c r="BI46" s="310">
        <f t="shared" si="40"/>
        <v>0.98623000000000005</v>
      </c>
      <c r="BJ46" s="310"/>
      <c r="BK46" s="310"/>
      <c r="BL46" s="310"/>
      <c r="BM46" s="310"/>
      <c r="BN46" s="311">
        <f t="shared" si="41"/>
        <v>22.604391600000003</v>
      </c>
      <c r="BO46" s="311"/>
      <c r="BP46" s="311"/>
      <c r="BQ46" s="311"/>
      <c r="BR46" s="311"/>
      <c r="BS46" s="332">
        <f t="shared" si="42"/>
        <v>0.86839999999999995</v>
      </c>
      <c r="BT46" s="332"/>
      <c r="BU46" s="332"/>
      <c r="BV46" s="332"/>
      <c r="BW46" s="332"/>
      <c r="BX46" s="311">
        <f t="shared" si="43"/>
        <v>19.63</v>
      </c>
      <c r="BY46" s="311"/>
      <c r="BZ46" s="311"/>
      <c r="CA46" s="311"/>
      <c r="CB46" s="311"/>
      <c r="CC46" s="311">
        <f t="shared" si="44"/>
        <v>19.655000000000001</v>
      </c>
      <c r="CD46" s="311"/>
      <c r="CE46" s="311"/>
      <c r="CF46" s="311"/>
      <c r="CG46" s="311"/>
      <c r="CH46" s="55"/>
      <c r="CI46" s="108" t="s">
        <v>506</v>
      </c>
      <c r="CJ46" s="109"/>
      <c r="CK46" s="139"/>
      <c r="CL46" s="21" t="s">
        <v>453</v>
      </c>
      <c r="CN46" s="87" t="s">
        <v>201</v>
      </c>
      <c r="CP46" s="87">
        <f t="shared" si="45"/>
        <v>733.44</v>
      </c>
      <c r="CR46" s="28">
        <f t="shared" si="46"/>
        <v>144.16244520000001</v>
      </c>
      <c r="CS46" s="29">
        <f t="shared" si="47"/>
        <v>22.92</v>
      </c>
      <c r="CU46" s="28">
        <f t="shared" si="48"/>
        <v>89.6</v>
      </c>
      <c r="CV46" s="31">
        <f t="shared" si="49"/>
        <v>89.5</v>
      </c>
      <c r="CW46" s="32">
        <f t="shared" si="64"/>
        <v>89.6</v>
      </c>
      <c r="CX46" s="32">
        <f t="shared" si="57"/>
        <v>89.61457505797874</v>
      </c>
      <c r="CY46" s="26"/>
      <c r="CZ46" s="28">
        <f t="shared" si="50"/>
        <v>32</v>
      </c>
      <c r="DA46" s="28">
        <f t="shared" si="51"/>
        <v>32</v>
      </c>
      <c r="DB46" s="34">
        <f t="shared" si="65"/>
        <v>32</v>
      </c>
      <c r="DC46" s="32">
        <f t="shared" si="58"/>
        <v>32.008097254432634</v>
      </c>
      <c r="DD46" s="35"/>
      <c r="DE46" s="28">
        <f t="shared" si="52"/>
        <v>31.157749806473078</v>
      </c>
      <c r="DF46" s="31">
        <f t="shared" si="53"/>
        <v>31</v>
      </c>
      <c r="DG46" s="32">
        <f t="shared" si="66"/>
        <v>31.2</v>
      </c>
      <c r="DH46" s="32">
        <f t="shared" si="59"/>
        <v>868.84304855562391</v>
      </c>
      <c r="DI46" s="32">
        <f t="shared" si="60"/>
        <v>868.84572735834206</v>
      </c>
      <c r="DK46" s="38">
        <f t="shared" si="54"/>
        <v>0.86992473563881123</v>
      </c>
      <c r="DL46" s="41">
        <f t="shared" si="67"/>
        <v>0.86999999999999988</v>
      </c>
      <c r="DM46" s="38">
        <f t="shared" si="68"/>
        <v>0.86990000000000001</v>
      </c>
      <c r="DN46" s="32">
        <f t="shared" si="61"/>
        <v>869.04401840000003</v>
      </c>
      <c r="DO46" s="32">
        <f t="shared" si="69"/>
        <v>869.04669701265391</v>
      </c>
      <c r="DQ46" s="38">
        <f t="shared" si="55"/>
        <v>0.86950000000000005</v>
      </c>
      <c r="DR46" s="29">
        <f t="shared" si="70"/>
        <v>0.86999999999999988</v>
      </c>
      <c r="DS46" s="38">
        <f t="shared" si="71"/>
        <v>0.86950000000000005</v>
      </c>
      <c r="DT46" s="32">
        <f t="shared" si="62"/>
        <v>869.5</v>
      </c>
      <c r="DU46" s="32">
        <f t="shared" si="63"/>
        <v>869.5048208727801</v>
      </c>
      <c r="DW46" s="38">
        <f t="shared" si="72"/>
        <v>0.98670000000000002</v>
      </c>
      <c r="DX46" s="42">
        <f t="shared" si="73"/>
        <v>0.98667000000000005</v>
      </c>
      <c r="DY46" s="38">
        <f t="shared" si="74"/>
        <v>0.98670000000000002</v>
      </c>
      <c r="DZ46" s="42">
        <f t="shared" si="75"/>
        <v>0.98667000000000005</v>
      </c>
      <c r="EA46" s="38">
        <f t="shared" si="76"/>
        <v>0.98619999999999997</v>
      </c>
      <c r="EB46" s="42">
        <f t="shared" si="77"/>
        <v>0.98623000000000005</v>
      </c>
    </row>
    <row r="47" spans="1:132" ht="11.45" customHeight="1" x14ac:dyDescent="0.2">
      <c r="A47" s="346" t="str">
        <f t="shared" si="38"/>
        <v/>
      </c>
      <c r="B47" s="346"/>
      <c r="C47" s="346"/>
      <c r="D47" s="346"/>
      <c r="E47" s="346"/>
      <c r="F47" s="346"/>
      <c r="G47" s="346"/>
      <c r="H47" s="346"/>
      <c r="I47" s="318" t="str">
        <f t="shared" si="39"/>
        <v/>
      </c>
      <c r="J47" s="318"/>
      <c r="K47" s="318"/>
      <c r="L47" s="318"/>
      <c r="M47" s="318"/>
      <c r="N47" s="318"/>
      <c r="O47" s="318"/>
      <c r="P47" s="313"/>
      <c r="Q47" s="313"/>
      <c r="R47" s="313"/>
      <c r="S47" s="313"/>
      <c r="T47" s="313"/>
      <c r="U47" s="308" t="str">
        <f t="shared" ref="U47:U48" si="78">IF(U28="","",U28)</f>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6"/>
        <v/>
      </c>
      <c r="BE47" s="311"/>
      <c r="BF47" s="311"/>
      <c r="BG47" s="311"/>
      <c r="BH47" s="311"/>
      <c r="BI47" s="310" t="str">
        <f t="shared" si="40"/>
        <v/>
      </c>
      <c r="BJ47" s="310"/>
      <c r="BK47" s="310"/>
      <c r="BL47" s="310"/>
      <c r="BM47" s="310"/>
      <c r="BN47" s="311" t="str">
        <f t="shared" si="41"/>
        <v/>
      </c>
      <c r="BO47" s="311"/>
      <c r="BP47" s="311"/>
      <c r="BQ47" s="311"/>
      <c r="BR47" s="311"/>
      <c r="BS47" s="332" t="str">
        <f t="shared" si="42"/>
        <v/>
      </c>
      <c r="BT47" s="332"/>
      <c r="BU47" s="332"/>
      <c r="BV47" s="332"/>
      <c r="BW47" s="332"/>
      <c r="BX47" s="311" t="str">
        <f t="shared" si="43"/>
        <v/>
      </c>
      <c r="BY47" s="311"/>
      <c r="BZ47" s="311"/>
      <c r="CA47" s="311"/>
      <c r="CB47" s="311"/>
      <c r="CC47" s="311" t="str">
        <f t="shared" si="44"/>
        <v/>
      </c>
      <c r="CD47" s="311"/>
      <c r="CE47" s="311"/>
      <c r="CF47" s="311"/>
      <c r="CG47" s="311"/>
      <c r="CH47" s="55"/>
      <c r="CI47" s="5" t="s">
        <v>507</v>
      </c>
      <c r="CK47" s="22"/>
      <c r="CL47" s="7" t="s">
        <v>453</v>
      </c>
      <c r="CN47" s="87" t="s">
        <v>202</v>
      </c>
      <c r="CP47" s="87">
        <f t="shared" si="45"/>
        <v>0</v>
      </c>
      <c r="CR47" s="28" t="e">
        <f t="shared" si="46"/>
        <v>#VALUE!</v>
      </c>
      <c r="CS47" s="29" t="str">
        <f t="shared" si="47"/>
        <v/>
      </c>
      <c r="CU47" s="28">
        <f t="shared" si="48"/>
        <v>32</v>
      </c>
      <c r="CV47" s="31">
        <f t="shared" si="49"/>
        <v>32</v>
      </c>
      <c r="CW47" s="32">
        <f t="shared" si="64"/>
        <v>32</v>
      </c>
      <c r="CX47" s="32">
        <f t="shared" si="57"/>
        <v>32</v>
      </c>
      <c r="CY47" s="26"/>
      <c r="CZ47" s="28">
        <f t="shared" si="50"/>
        <v>0</v>
      </c>
      <c r="DA47" s="28">
        <f t="shared" si="51"/>
        <v>0</v>
      </c>
      <c r="DB47" s="34">
        <f t="shared" si="65"/>
        <v>0</v>
      </c>
      <c r="DC47" s="32">
        <f t="shared" si="58"/>
        <v>0</v>
      </c>
      <c r="DD47" s="35"/>
      <c r="DE47" s="28" t="e">
        <f t="shared" si="52"/>
        <v>#DIV/0!</v>
      </c>
      <c r="DF47" s="31" t="e">
        <f t="shared" si="53"/>
        <v>#DIV/0!</v>
      </c>
      <c r="DG47" s="32" t="e">
        <f t="shared" si="66"/>
        <v>#DIV/0!</v>
      </c>
      <c r="DH47" s="32" t="e">
        <f t="shared" si="59"/>
        <v>#DIV/0!</v>
      </c>
      <c r="DI47" s="32" t="e">
        <f t="shared" si="60"/>
        <v>#DIV/0!</v>
      </c>
      <c r="DK47" s="38" t="e">
        <f t="shared" si="54"/>
        <v>#DIV/0!</v>
      </c>
      <c r="DL47" s="41" t="e">
        <f t="shared" si="67"/>
        <v>#DIV/0!</v>
      </c>
      <c r="DM47" s="38" t="e">
        <f t="shared" si="68"/>
        <v>#DIV/0!</v>
      </c>
      <c r="DN47" s="32" t="e">
        <f t="shared" si="61"/>
        <v>#DIV/0!</v>
      </c>
      <c r="DO47" s="32" t="e">
        <f t="shared" si="69"/>
        <v>#DIV/0!</v>
      </c>
      <c r="DQ47" s="38">
        <f t="shared" si="55"/>
        <v>0</v>
      </c>
      <c r="DR47" s="29">
        <f t="shared" si="70"/>
        <v>0</v>
      </c>
      <c r="DS47" s="38">
        <f t="shared" si="71"/>
        <v>0</v>
      </c>
      <c r="DT47" s="32">
        <f t="shared" si="62"/>
        <v>0</v>
      </c>
      <c r="DU47" s="32" t="e">
        <f t="shared" si="63"/>
        <v>#DIV/0!</v>
      </c>
      <c r="DW47" s="38" t="e">
        <f t="shared" si="72"/>
        <v>#DIV/0!</v>
      </c>
      <c r="DX47" s="42" t="e">
        <f t="shared" si="73"/>
        <v>#DIV/0!</v>
      </c>
      <c r="DY47" s="38" t="e">
        <f t="shared" si="74"/>
        <v>#DIV/0!</v>
      </c>
      <c r="DZ47" s="42" t="e">
        <f t="shared" si="75"/>
        <v>#DIV/0!</v>
      </c>
      <c r="EA47" s="38" t="e">
        <f t="shared" si="76"/>
        <v>#DIV/0!</v>
      </c>
      <c r="EB47" s="42" t="e">
        <f t="shared" si="77"/>
        <v>#DIV/0!</v>
      </c>
    </row>
    <row r="48" spans="1:132" ht="11.45" customHeight="1" x14ac:dyDescent="0.2">
      <c r="A48" s="346" t="str">
        <f t="shared" si="38"/>
        <v/>
      </c>
      <c r="B48" s="346"/>
      <c r="C48" s="346"/>
      <c r="D48" s="346"/>
      <c r="E48" s="346"/>
      <c r="F48" s="346"/>
      <c r="G48" s="346"/>
      <c r="H48" s="346"/>
      <c r="I48" s="318" t="str">
        <f t="shared" si="39"/>
        <v/>
      </c>
      <c r="J48" s="318"/>
      <c r="K48" s="318"/>
      <c r="L48" s="318"/>
      <c r="M48" s="318"/>
      <c r="N48" s="318"/>
      <c r="O48" s="318"/>
      <c r="P48" s="313"/>
      <c r="Q48" s="313"/>
      <c r="R48" s="313"/>
      <c r="S48" s="313"/>
      <c r="T48" s="313"/>
      <c r="U48" s="308" t="str">
        <f t="shared" si="78"/>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6"/>
        <v/>
      </c>
      <c r="BE48" s="311"/>
      <c r="BF48" s="311"/>
      <c r="BG48" s="311"/>
      <c r="BH48" s="311"/>
      <c r="BI48" s="310" t="str">
        <f t="shared" si="40"/>
        <v/>
      </c>
      <c r="BJ48" s="310"/>
      <c r="BK48" s="310"/>
      <c r="BL48" s="310"/>
      <c r="BM48" s="310"/>
      <c r="BN48" s="311" t="str">
        <f t="shared" si="41"/>
        <v/>
      </c>
      <c r="BO48" s="311"/>
      <c r="BP48" s="311"/>
      <c r="BQ48" s="311"/>
      <c r="BR48" s="311"/>
      <c r="BS48" s="332" t="str">
        <f t="shared" si="42"/>
        <v/>
      </c>
      <c r="BT48" s="332"/>
      <c r="BU48" s="332"/>
      <c r="BV48" s="332"/>
      <c r="BW48" s="332"/>
      <c r="BX48" s="311" t="str">
        <f t="shared" si="43"/>
        <v/>
      </c>
      <c r="BY48" s="311"/>
      <c r="BZ48" s="311"/>
      <c r="CA48" s="311"/>
      <c r="CB48" s="311"/>
      <c r="CC48" s="311" t="str">
        <f t="shared" si="44"/>
        <v/>
      </c>
      <c r="CD48" s="311"/>
      <c r="CE48" s="311"/>
      <c r="CF48" s="311"/>
      <c r="CG48" s="311"/>
      <c r="CH48" s="55"/>
      <c r="CI48" s="5" t="s">
        <v>508</v>
      </c>
      <c r="CK48" s="35"/>
      <c r="CL48" s="7" t="s">
        <v>512</v>
      </c>
      <c r="CN48" s="87" t="s">
        <v>203</v>
      </c>
      <c r="CP48" s="2">
        <f t="shared" si="45"/>
        <v>0</v>
      </c>
      <c r="CR48" s="45" t="e">
        <f t="shared" si="46"/>
        <v>#VALUE!</v>
      </c>
      <c r="CS48" s="46" t="str">
        <f t="shared" si="47"/>
        <v/>
      </c>
      <c r="CU48" s="45">
        <f t="shared" si="48"/>
        <v>32</v>
      </c>
      <c r="CV48" s="47">
        <f t="shared" si="49"/>
        <v>32</v>
      </c>
      <c r="CW48" s="48">
        <f>ROUND(CU48,1)</f>
        <v>32</v>
      </c>
      <c r="CX48" s="48">
        <f t="shared" si="57"/>
        <v>32</v>
      </c>
      <c r="CZ48" s="45">
        <f t="shared" si="50"/>
        <v>0</v>
      </c>
      <c r="DA48" s="45">
        <f t="shared" si="51"/>
        <v>0</v>
      </c>
      <c r="DB48" s="49">
        <f>ROUND(CZ48,1)</f>
        <v>0</v>
      </c>
      <c r="DC48" s="48">
        <f t="shared" si="58"/>
        <v>0</v>
      </c>
      <c r="DD48" s="35"/>
      <c r="DE48" s="45" t="e">
        <f t="shared" si="52"/>
        <v>#DIV/0!</v>
      </c>
      <c r="DF48" s="47" t="e">
        <f t="shared" si="53"/>
        <v>#DIV/0!</v>
      </c>
      <c r="DG48" s="48" t="e">
        <f>ROUND(DE48,1)</f>
        <v>#DIV/0!</v>
      </c>
      <c r="DH48" s="48" t="e">
        <f t="shared" si="59"/>
        <v>#DIV/0!</v>
      </c>
      <c r="DI48" s="48" t="e">
        <f t="shared" si="60"/>
        <v>#DIV/0!</v>
      </c>
      <c r="DK48" s="50" t="e">
        <f t="shared" si="54"/>
        <v>#DIV/0!</v>
      </c>
      <c r="DL48" s="51" t="e">
        <f>ROUND(DK48*5,2)/5</f>
        <v>#DIV/0!</v>
      </c>
      <c r="DM48" s="50" t="e">
        <f>ROUND(DK48,4)</f>
        <v>#DIV/0!</v>
      </c>
      <c r="DN48" s="48" t="e">
        <f t="shared" si="61"/>
        <v>#DIV/0!</v>
      </c>
      <c r="DO48" s="48" t="e">
        <f>DN48*(1+((EXP(((0.01374979547/2)*(((103.872/DN48)+0.2701)*(1/DN48)))*(1+(0.8*((0.01374979547/2)*(((103.872/DN48)+0.2701)*(1/DN48))))))-1)/(1+(((0.01374979547/2)*(((103.872/DN48)+0.2701)*(1/DN48)))*(1+(1.6*((0.01374979547/2)*(((103.872/DN48)+0.2701)*(1/DN48)))))*(((2*103.872)+(0.2701+DN48))/(103.872+(0.2701*DN48)))))))</f>
        <v>#DIV/0!</v>
      </c>
      <c r="DQ48" s="50">
        <f t="shared" si="55"/>
        <v>0</v>
      </c>
      <c r="DR48" s="46">
        <f>ROUND(DQ48*5,2)/5</f>
        <v>0</v>
      </c>
      <c r="DS48" s="50">
        <f>ROUND(DQ48,4)</f>
        <v>0</v>
      </c>
      <c r="DT48" s="48">
        <f t="shared" si="62"/>
        <v>0</v>
      </c>
      <c r="DU48" s="48" t="e">
        <f t="shared" si="63"/>
        <v>#DIV/0!</v>
      </c>
      <c r="DW48" s="50" t="e">
        <f>ROUND(EXP(-((103.872/(((141.5/(DF48+131.5))*999.012)^2))+(0.2701/((141.5/(DF48+131.5))*999.012)))*(CV48-60)*(1+(0.8*((103.872/(((141.5/(DF48+131.5))*999.012)^2))+(0.2701/((141.5/(DF48+131.5))*999.012)))*(CV48-60)))),4)</f>
        <v>#DIV/0!</v>
      </c>
      <c r="DX48" s="52" t="e">
        <f>ROUND(EXP(-(((103.872/DI48)+0.2701)*(1/DI48))*(CX48-60.0068749)*(1+(0.8*(((103.872/DI48)+0.2701)*(1/DI48))*((CX48-60.0068749)+0.01374979547)))),5)</f>
        <v>#DIV/0!</v>
      </c>
      <c r="DY48" s="50" t="e">
        <f>ROUND(EXP(-((103.872/((DL48*999.012)^2))+(0.2701/(DL48*999.012)))*(CV48-60)*(1+(0.8*((103.872/((DL48*999.012)^2))+(0.2701/(DL48*999.012)))*(CV48-60)))),4)</f>
        <v>#DIV/0!</v>
      </c>
      <c r="DZ48" s="52" t="e">
        <f>ROUND(EXP(-(((103.872/DO48)+0.2701)*(1/DO48))*(CX48-60.0068749)*(1+(0.8*(((103.872/DO48)+0.2701)*(1/DO48))*((CX48-60.0068749)+0.01374979547)))),5)</f>
        <v>#DIV/0!</v>
      </c>
      <c r="EA48" s="50" t="e">
        <f>ROUND(EXP(-((186.9696/((DR48*1000)^2))+(0.4862/(DR48*1000)))*(DA48-15)*(1+(0.8*((186.9696/((DR48*1000)^2))+(0.4862/(DR48*1000)))*(DA48-15)))),4)</f>
        <v>#DIV/0!</v>
      </c>
      <c r="EB48" s="52" t="e">
        <f>ROUND(EXP(-((((186.9696/DU48)+0.4862)*(1/DU48)))*(DC48-15.00367851)*(1+(0.8*((((186.9696/DU48)+0.4862)*(1/DU48)))*((DC48-15.00367851)+0.01374979547)))),5)</f>
        <v>#DIV/0!</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f>IF(COUNT(AJ37:AN48)=0,"",ROUND(SUM(AJ37:AN48),3))</f>
        <v>661.41</v>
      </c>
      <c r="AK49" s="321"/>
      <c r="AL49" s="321"/>
      <c r="AM49" s="321"/>
      <c r="AN49" s="322"/>
      <c r="AO49" s="341" t="s">
        <v>214</v>
      </c>
      <c r="AP49" s="341"/>
      <c r="AQ49" s="341"/>
      <c r="AR49" s="341"/>
      <c r="AS49" s="341"/>
      <c r="AT49" s="320">
        <f>IF(COUNT(AT37:AX48)=0,"",ROUND(SUM(AT37:AX48),3))</f>
        <v>0</v>
      </c>
      <c r="AU49" s="321"/>
      <c r="AV49" s="321"/>
      <c r="AW49" s="321"/>
      <c r="AX49" s="322"/>
      <c r="AY49" s="341" t="s">
        <v>211</v>
      </c>
      <c r="AZ49" s="341"/>
      <c r="BA49" s="341"/>
      <c r="BB49" s="341"/>
      <c r="BC49" s="341"/>
      <c r="BD49" s="320">
        <f>IF(COUNT(BD37:BH48)=0,"",ROUND(SUM(BD37:BH48),3))</f>
        <v>661.41</v>
      </c>
      <c r="BE49" s="321"/>
      <c r="BF49" s="321"/>
      <c r="BG49" s="321"/>
      <c r="BH49" s="322"/>
      <c r="BI49" s="341" t="s">
        <v>210</v>
      </c>
      <c r="BJ49" s="341"/>
      <c r="BK49" s="341"/>
      <c r="BL49" s="341"/>
      <c r="BM49" s="341"/>
      <c r="BN49" s="320">
        <f>IF(COUNT(BN37:BR48)=0,"",ROUND(SUM(BN37:BR48),3))</f>
        <v>656.65499999999997</v>
      </c>
      <c r="BO49" s="321"/>
      <c r="BP49" s="321"/>
      <c r="BQ49" s="321"/>
      <c r="BR49" s="322"/>
      <c r="BS49" s="341" t="s">
        <v>209</v>
      </c>
      <c r="BT49" s="341"/>
      <c r="BU49" s="341"/>
      <c r="BV49" s="341"/>
      <c r="BW49" s="341"/>
      <c r="BX49" s="320">
        <f>IF(COUNT(BX37:CB48)=0,"",ROUND(SUM(BX37:CB48),3))</f>
        <v>554.05600000000004</v>
      </c>
      <c r="BY49" s="321"/>
      <c r="BZ49" s="321"/>
      <c r="CA49" s="321"/>
      <c r="CB49" s="322"/>
      <c r="CC49" s="320">
        <f>IF(COUNT(CC37:CG48)=0,"",ROUND(SUM(CC37:CG48),3))</f>
        <v>554.77700000000004</v>
      </c>
      <c r="CD49" s="321"/>
      <c r="CE49" s="321"/>
      <c r="CF49" s="321"/>
      <c r="CG49" s="322"/>
      <c r="CI49" s="5" t="s">
        <v>509</v>
      </c>
      <c r="CK49" s="91"/>
      <c r="CL49" s="7" t="s">
        <v>512</v>
      </c>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c r="CI50" s="137" t="s">
        <v>510</v>
      </c>
      <c r="CJ50" s="138"/>
      <c r="CK50" s="140" t="str">
        <f>IF(OR(CK46="",CK47="",CK48="",CK49=""),"",((CK46*CK48)+((CK47-CK46)*CK49))/CK47)</f>
        <v/>
      </c>
      <c r="CL50" s="11" t="s">
        <v>512</v>
      </c>
    </row>
    <row r="51" spans="1:131" ht="11.45" hidden="1" customHeight="1" x14ac:dyDescent="0.2">
      <c r="A51" s="389" t="s">
        <v>437</v>
      </c>
      <c r="B51" s="389"/>
      <c r="C51" s="389"/>
      <c r="D51" s="389"/>
      <c r="E51" s="389"/>
      <c r="F51" s="389"/>
      <c r="G51" s="389"/>
      <c r="H51" s="389"/>
      <c r="I51" s="389"/>
      <c r="J51" s="389"/>
      <c r="K51" s="389"/>
      <c r="L51" s="389"/>
      <c r="M51" s="389"/>
      <c r="N51" s="389"/>
      <c r="O51" s="389"/>
      <c r="P51" s="389"/>
      <c r="Q51" s="389"/>
      <c r="R51" s="389"/>
      <c r="S51" s="389"/>
      <c r="T51" s="389"/>
      <c r="U51" s="389"/>
      <c r="V51" s="389" t="s">
        <v>438</v>
      </c>
      <c r="W51" s="389"/>
      <c r="X51" s="389"/>
      <c r="Y51" s="389"/>
      <c r="Z51" s="389"/>
      <c r="AA51" s="389"/>
      <c r="AB51" s="389"/>
      <c r="AC51" s="389"/>
      <c r="AD51" s="389"/>
      <c r="AE51" s="389"/>
      <c r="AF51" s="389"/>
      <c r="AG51" s="389"/>
      <c r="AH51" s="389"/>
      <c r="AI51" s="389"/>
      <c r="AJ51" s="389"/>
      <c r="AK51" s="389"/>
      <c r="AL51" s="389"/>
      <c r="AM51" s="389"/>
      <c r="AN51" s="389"/>
      <c r="AO51" s="389"/>
      <c r="AP51" s="389"/>
      <c r="AQ51" s="389" t="s">
        <v>439</v>
      </c>
      <c r="AR51" s="389"/>
      <c r="AS51" s="389"/>
      <c r="AT51" s="389"/>
      <c r="AU51" s="389"/>
      <c r="AV51" s="389"/>
      <c r="AW51" s="389"/>
      <c r="AX51" s="389"/>
      <c r="AY51" s="389"/>
      <c r="AZ51" s="389"/>
      <c r="BA51" s="389"/>
      <c r="BB51" s="389"/>
      <c r="BC51" s="389"/>
      <c r="BD51" s="389"/>
      <c r="BE51" s="389"/>
      <c r="BF51" s="389"/>
      <c r="BG51" s="389"/>
      <c r="BH51" s="389"/>
      <c r="BI51" s="389"/>
      <c r="BJ51" s="389"/>
      <c r="BK51" s="389"/>
      <c r="BL51" s="389" t="s">
        <v>440</v>
      </c>
      <c r="BM51" s="389"/>
      <c r="BN51" s="389"/>
      <c r="BO51" s="389"/>
      <c r="BP51" s="389"/>
      <c r="BQ51" s="389"/>
      <c r="BR51" s="389"/>
      <c r="BS51" s="389"/>
      <c r="BT51" s="389"/>
      <c r="BU51" s="389"/>
      <c r="BV51" s="389"/>
      <c r="BW51" s="389"/>
      <c r="BX51" s="389"/>
      <c r="BY51" s="389"/>
      <c r="BZ51" s="389"/>
      <c r="CA51" s="389"/>
      <c r="CB51" s="389"/>
      <c r="CC51" s="389"/>
      <c r="CD51" s="389"/>
      <c r="CE51" s="389"/>
      <c r="CF51" s="389"/>
      <c r="CG51" s="389"/>
    </row>
    <row r="52" spans="1:131" ht="11.45" hidden="1" customHeight="1" x14ac:dyDescent="0.2">
      <c r="A52" s="332">
        <f>IF('Bunker Certificate 1'!U25="","",'Bunker Certificate 1'!U25)</f>
        <v>0.83579999999999999</v>
      </c>
      <c r="B52" s="332"/>
      <c r="C52" s="332"/>
      <c r="D52" s="332"/>
      <c r="E52" s="332"/>
      <c r="F52" s="332"/>
      <c r="G52" s="332"/>
      <c r="H52" s="332"/>
      <c r="I52" s="332"/>
      <c r="J52" s="332"/>
      <c r="K52" s="332"/>
      <c r="L52" s="332"/>
      <c r="M52" s="332"/>
      <c r="N52" s="332"/>
      <c r="O52" s="332"/>
      <c r="P52" s="332"/>
      <c r="Q52" s="332"/>
      <c r="R52" s="332"/>
      <c r="S52" s="332"/>
      <c r="T52" s="332"/>
      <c r="U52" s="332"/>
      <c r="V52" s="311">
        <f>IF(OR(AQ52="",BL52=""),"",BL52/AQ52)</f>
        <v>479.33988259254824</v>
      </c>
      <c r="W52" s="311"/>
      <c r="X52" s="311"/>
      <c r="Y52" s="311"/>
      <c r="Z52" s="311"/>
      <c r="AA52" s="311"/>
      <c r="AB52" s="311"/>
      <c r="AC52" s="311"/>
      <c r="AD52" s="311"/>
      <c r="AE52" s="311"/>
      <c r="AF52" s="311"/>
      <c r="AG52" s="311"/>
      <c r="AH52" s="311"/>
      <c r="AI52" s="311"/>
      <c r="AJ52" s="311"/>
      <c r="AK52" s="311"/>
      <c r="AL52" s="311"/>
      <c r="AM52" s="311"/>
      <c r="AN52" s="311"/>
      <c r="AO52" s="311"/>
      <c r="AP52" s="311"/>
      <c r="AQ52" s="332">
        <f>IF(A52="","",A52-0.0011)</f>
        <v>0.8347</v>
      </c>
      <c r="AR52" s="332"/>
      <c r="AS52" s="332"/>
      <c r="AT52" s="332"/>
      <c r="AU52" s="332"/>
      <c r="AV52" s="332"/>
      <c r="AW52" s="332"/>
      <c r="AX52" s="332"/>
      <c r="AY52" s="332"/>
      <c r="AZ52" s="332"/>
      <c r="BA52" s="332"/>
      <c r="BB52" s="332"/>
      <c r="BC52" s="332"/>
      <c r="BD52" s="332"/>
      <c r="BE52" s="332"/>
      <c r="BF52" s="332"/>
      <c r="BG52" s="332"/>
      <c r="BH52" s="332"/>
      <c r="BI52" s="332"/>
      <c r="BJ52" s="332"/>
      <c r="BK52" s="332"/>
      <c r="BL52" s="311">
        <f>IF(BR11="","",BR11)</f>
        <v>400.10500000000002</v>
      </c>
      <c r="BM52" s="311"/>
      <c r="BN52" s="311"/>
      <c r="BO52" s="311"/>
      <c r="BP52" s="311"/>
      <c r="BQ52" s="311"/>
      <c r="BR52" s="311"/>
      <c r="BS52" s="311"/>
      <c r="BT52" s="311"/>
      <c r="BU52" s="311"/>
      <c r="BV52" s="311"/>
      <c r="BW52" s="311"/>
      <c r="BX52" s="311"/>
      <c r="BY52" s="311"/>
      <c r="BZ52" s="311"/>
      <c r="CA52" s="311"/>
      <c r="CB52" s="311"/>
      <c r="CC52" s="311"/>
      <c r="CD52" s="311"/>
      <c r="CE52" s="311"/>
      <c r="CF52" s="311"/>
      <c r="CG52" s="311"/>
      <c r="CN52" s="1" t="s">
        <v>222</v>
      </c>
    </row>
    <row r="53" spans="1:131" ht="11.45" hidden="1" customHeight="1" x14ac:dyDescent="0.2">
      <c r="A53" s="159" t="s">
        <v>441</v>
      </c>
      <c r="B53" s="159"/>
      <c r="C53" s="159"/>
      <c r="D53" s="159"/>
      <c r="E53" s="90" t="s">
        <v>0</v>
      </c>
      <c r="F53" s="198"/>
      <c r="G53" s="198"/>
      <c r="H53" s="198"/>
      <c r="I53" s="198"/>
      <c r="J53" s="198"/>
      <c r="K53" s="198"/>
      <c r="L53" s="198"/>
      <c r="M53" s="198"/>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N53" s="100">
        <f>IF(BI17=CN44,1,IF(BI17=CN45,2,IF(BI17=CN46,3,IF(BI17=CN47,4,IF(BI17=CN48,5,6)))))</f>
        <v>6</v>
      </c>
    </row>
    <row r="54" spans="1:131" ht="11.45" customHeight="1" x14ac:dyDescent="0.2">
      <c r="A54" s="154"/>
      <c r="B54" s="154"/>
      <c r="C54" s="215" t="str">
        <f>IF('Data Entry'!N29="","",'Data Entry'!N29)&amp;IF(OR('Data Entry'!N29="",'Data Entry'!N30=""),""," / Licence No")&amp; IF('Data Entry'!N30="","",'Data Entry'!N30)</f>
        <v>MEHMET EROĞLU</v>
      </c>
      <c r="D54" s="215"/>
      <c r="E54" s="215"/>
      <c r="F54" s="215"/>
      <c r="G54" s="215"/>
      <c r="H54" s="215"/>
      <c r="I54" s="215"/>
      <c r="J54" s="215"/>
      <c r="K54" s="215"/>
      <c r="L54" s="215"/>
      <c r="M54" s="215"/>
      <c r="N54" s="215"/>
      <c r="O54" s="215"/>
      <c r="P54" s="215"/>
      <c r="Q54" s="154"/>
      <c r="R54" s="154"/>
      <c r="S54" s="154"/>
      <c r="T54" s="154"/>
      <c r="U54" s="154"/>
      <c r="V54" s="154"/>
      <c r="W54" s="154"/>
      <c r="X54" s="154"/>
      <c r="Y54" s="154"/>
      <c r="Z54" s="154"/>
      <c r="AA54" s="154"/>
      <c r="AB54" s="154"/>
      <c r="AC54" s="154"/>
      <c r="AD54" s="154"/>
      <c r="AE54" s="154"/>
      <c r="AF54" s="154"/>
      <c r="AG54" s="154"/>
      <c r="AH54" s="154"/>
      <c r="AI54" s="154"/>
      <c r="AJ54" s="154"/>
      <c r="AK54" s="215" t="str">
        <f>IF('Data Entry'!N13="","",'Data Entry'!N13)</f>
        <v/>
      </c>
      <c r="AL54" s="215"/>
      <c r="AM54" s="215"/>
      <c r="AN54" s="215"/>
      <c r="AO54" s="215"/>
      <c r="AP54" s="215"/>
      <c r="AQ54" s="215"/>
      <c r="AR54" s="215"/>
      <c r="AS54" s="215"/>
      <c r="AT54" s="215"/>
      <c r="AU54" s="215"/>
      <c r="AV54" s="215"/>
      <c r="AW54" s="215"/>
      <c r="AX54" s="215"/>
      <c r="AY54" s="154"/>
      <c r="AZ54" s="154"/>
      <c r="BA54" s="154"/>
      <c r="BB54" s="154"/>
      <c r="BC54" s="154"/>
      <c r="BD54" s="154"/>
      <c r="BE54" s="154"/>
      <c r="BF54" s="154"/>
      <c r="BG54" s="154"/>
      <c r="BH54" s="154"/>
      <c r="BI54" s="154"/>
      <c r="BJ54" s="154"/>
      <c r="BK54" s="154"/>
      <c r="BL54" s="154"/>
      <c r="BM54" s="154"/>
      <c r="BN54" s="154"/>
      <c r="BO54" s="154"/>
      <c r="BP54" s="154"/>
      <c r="BQ54" s="154"/>
      <c r="BR54" s="215" t="str">
        <f>IF('Data Entry'!N9="","",'Data Entry'!N9)</f>
        <v/>
      </c>
      <c r="BS54" s="215"/>
      <c r="BT54" s="215"/>
      <c r="BU54" s="215"/>
      <c r="BV54" s="215"/>
      <c r="BW54" s="215"/>
      <c r="BX54" s="215"/>
      <c r="BY54" s="215"/>
      <c r="BZ54" s="215"/>
      <c r="CA54" s="215"/>
      <c r="CB54" s="215"/>
      <c r="CC54" s="215"/>
      <c r="CD54" s="215"/>
      <c r="CE54" s="215"/>
      <c r="CF54" s="375"/>
      <c r="CG54" s="375"/>
      <c r="CN54" s="91"/>
    </row>
    <row r="55" spans="1:131" ht="11.45" customHeight="1" x14ac:dyDescent="0.2">
      <c r="A55" s="154"/>
      <c r="B55" s="154"/>
      <c r="C55" s="215"/>
      <c r="D55" s="215"/>
      <c r="E55" s="215"/>
      <c r="F55" s="215"/>
      <c r="G55" s="215"/>
      <c r="H55" s="215"/>
      <c r="I55" s="215"/>
      <c r="J55" s="215"/>
      <c r="K55" s="215"/>
      <c r="L55" s="215"/>
      <c r="M55" s="215"/>
      <c r="N55" s="215"/>
      <c r="O55" s="215"/>
      <c r="P55" s="215"/>
      <c r="Q55" s="154"/>
      <c r="R55" s="154"/>
      <c r="S55" s="154"/>
      <c r="T55" s="154"/>
      <c r="U55" s="154"/>
      <c r="V55" s="154"/>
      <c r="W55" s="154"/>
      <c r="X55" s="154"/>
      <c r="Y55" s="154"/>
      <c r="Z55" s="154"/>
      <c r="AA55" s="154"/>
      <c r="AB55" s="154"/>
      <c r="AC55" s="154"/>
      <c r="AD55" s="154"/>
      <c r="AE55" s="154"/>
      <c r="AF55" s="154"/>
      <c r="AG55" s="154"/>
      <c r="AH55" s="154"/>
      <c r="AI55" s="154"/>
      <c r="AJ55" s="154"/>
      <c r="AK55" s="215"/>
      <c r="AL55" s="215"/>
      <c r="AM55" s="215"/>
      <c r="AN55" s="215"/>
      <c r="AO55" s="215"/>
      <c r="AP55" s="215"/>
      <c r="AQ55" s="215"/>
      <c r="AR55" s="215"/>
      <c r="AS55" s="215"/>
      <c r="AT55" s="215"/>
      <c r="AU55" s="215"/>
      <c r="AV55" s="215"/>
      <c r="AW55" s="215"/>
      <c r="AX55" s="215"/>
      <c r="AY55" s="154"/>
      <c r="AZ55" s="154"/>
      <c r="BA55" s="154"/>
      <c r="BB55" s="154"/>
      <c r="BC55" s="154"/>
      <c r="BD55" s="154"/>
      <c r="BE55" s="154"/>
      <c r="BF55" s="154"/>
      <c r="BG55" s="154"/>
      <c r="BH55" s="154"/>
      <c r="BI55" s="154"/>
      <c r="BJ55" s="154"/>
      <c r="BK55" s="154"/>
      <c r="BL55" s="154"/>
      <c r="BM55" s="154"/>
      <c r="BN55" s="154"/>
      <c r="BO55" s="154"/>
      <c r="BP55" s="154"/>
      <c r="BQ55" s="154"/>
      <c r="BR55" s="215"/>
      <c r="BS55" s="215"/>
      <c r="BT55" s="215"/>
      <c r="BU55" s="215"/>
      <c r="BV55" s="215"/>
      <c r="BW55" s="215"/>
      <c r="BX55" s="215"/>
      <c r="BY55" s="215"/>
      <c r="BZ55" s="215"/>
      <c r="CA55" s="215"/>
      <c r="CB55" s="215"/>
      <c r="CC55" s="215"/>
      <c r="CD55" s="215"/>
      <c r="CE55" s="215"/>
      <c r="CF55" s="375"/>
      <c r="CG55" s="375"/>
    </row>
    <row r="56" spans="1:131" ht="11.45" customHeight="1" x14ac:dyDescent="0.2">
      <c r="A56" s="154"/>
      <c r="B56" s="154"/>
      <c r="C56" s="216"/>
      <c r="D56" s="216"/>
      <c r="E56" s="216"/>
      <c r="F56" s="216"/>
      <c r="G56" s="216"/>
      <c r="H56" s="216"/>
      <c r="I56" s="216"/>
      <c r="J56" s="216"/>
      <c r="K56" s="216"/>
      <c r="L56" s="216"/>
      <c r="M56" s="216"/>
      <c r="N56" s="216"/>
      <c r="O56" s="216"/>
      <c r="P56" s="216"/>
      <c r="Q56" s="154"/>
      <c r="R56" s="154"/>
      <c r="S56" s="154"/>
      <c r="T56" s="154"/>
      <c r="U56" s="154"/>
      <c r="V56" s="154"/>
      <c r="W56" s="154"/>
      <c r="X56" s="154"/>
      <c r="Y56" s="154"/>
      <c r="Z56" s="154"/>
      <c r="AA56" s="154"/>
      <c r="AB56" s="154"/>
      <c r="AC56" s="154"/>
      <c r="AD56" s="154"/>
      <c r="AE56" s="154"/>
      <c r="AF56" s="154"/>
      <c r="AG56" s="154"/>
      <c r="AH56" s="154"/>
      <c r="AI56" s="154"/>
      <c r="AJ56" s="154"/>
      <c r="AK56" s="216"/>
      <c r="AL56" s="216"/>
      <c r="AM56" s="216"/>
      <c r="AN56" s="216"/>
      <c r="AO56" s="216"/>
      <c r="AP56" s="216"/>
      <c r="AQ56" s="216"/>
      <c r="AR56" s="216"/>
      <c r="AS56" s="216"/>
      <c r="AT56" s="216"/>
      <c r="AU56" s="216"/>
      <c r="AV56" s="216"/>
      <c r="AW56" s="216"/>
      <c r="AX56" s="216"/>
      <c r="AY56" s="154"/>
      <c r="AZ56" s="154"/>
      <c r="BA56" s="154"/>
      <c r="BB56" s="154"/>
      <c r="BC56" s="154"/>
      <c r="BD56" s="154"/>
      <c r="BE56" s="154"/>
      <c r="BF56" s="154"/>
      <c r="BG56" s="154"/>
      <c r="BH56" s="154"/>
      <c r="BI56" s="154"/>
      <c r="BJ56" s="154"/>
      <c r="BK56" s="154"/>
      <c r="BL56" s="154"/>
      <c r="BM56" s="154"/>
      <c r="BN56" s="154"/>
      <c r="BO56" s="154"/>
      <c r="BP56" s="154"/>
      <c r="BQ56" s="154"/>
      <c r="BR56" s="216"/>
      <c r="BS56" s="216"/>
      <c r="BT56" s="216"/>
      <c r="BU56" s="216"/>
      <c r="BV56" s="216"/>
      <c r="BW56" s="216"/>
      <c r="BX56" s="216"/>
      <c r="BY56" s="216"/>
      <c r="BZ56" s="216"/>
      <c r="CA56" s="216"/>
      <c r="CB56" s="216"/>
      <c r="CC56" s="216"/>
      <c r="CD56" s="216"/>
      <c r="CE56" s="216"/>
      <c r="CF56" s="375"/>
      <c r="CG56" s="375"/>
      <c r="CN56" s="1" t="s">
        <v>425</v>
      </c>
    </row>
    <row r="57" spans="1:131" ht="11.45" customHeight="1" x14ac:dyDescent="0.2">
      <c r="A57" s="154"/>
      <c r="B57" s="154"/>
      <c r="C57" s="211" t="s">
        <v>184</v>
      </c>
      <c r="D57" s="211"/>
      <c r="E57" s="211"/>
      <c r="F57" s="211"/>
      <c r="G57" s="211"/>
      <c r="H57" s="211"/>
      <c r="I57" s="211"/>
      <c r="J57" s="211"/>
      <c r="K57" s="211"/>
      <c r="L57" s="211"/>
      <c r="M57" s="211"/>
      <c r="N57" s="211"/>
      <c r="O57" s="211"/>
      <c r="P57" s="211"/>
      <c r="Q57" s="154"/>
      <c r="R57" s="154"/>
      <c r="S57" s="154"/>
      <c r="T57" s="154"/>
      <c r="U57" s="154"/>
      <c r="V57" s="154"/>
      <c r="W57" s="154"/>
      <c r="X57" s="154"/>
      <c r="Y57" s="154"/>
      <c r="Z57" s="154"/>
      <c r="AA57" s="154"/>
      <c r="AB57" s="154"/>
      <c r="AC57" s="154"/>
      <c r="AD57" s="154"/>
      <c r="AE57" s="154"/>
      <c r="AF57" s="154"/>
      <c r="AG57" s="154"/>
      <c r="AH57" s="154"/>
      <c r="AI57" s="154"/>
      <c r="AJ57" s="154"/>
      <c r="AK57" s="218" t="s">
        <v>51</v>
      </c>
      <c r="AL57" s="218"/>
      <c r="AM57" s="218"/>
      <c r="AN57" s="218"/>
      <c r="AO57" s="218"/>
      <c r="AP57" s="218"/>
      <c r="AQ57" s="218"/>
      <c r="AR57" s="218"/>
      <c r="AS57" s="218"/>
      <c r="AT57" s="218"/>
      <c r="AU57" s="218"/>
      <c r="AV57" s="218"/>
      <c r="AW57" s="218"/>
      <c r="AX57" s="218"/>
      <c r="AY57" s="154"/>
      <c r="AZ57" s="154"/>
      <c r="BA57" s="154"/>
      <c r="BB57" s="154"/>
      <c r="BC57" s="154"/>
      <c r="BD57" s="154"/>
      <c r="BE57" s="154"/>
      <c r="BF57" s="154"/>
      <c r="BG57" s="154"/>
      <c r="BH57" s="154"/>
      <c r="BI57" s="154"/>
      <c r="BJ57" s="154"/>
      <c r="BK57" s="154"/>
      <c r="BL57" s="154"/>
      <c r="BM57" s="154"/>
      <c r="BN57" s="154"/>
      <c r="BO57" s="154"/>
      <c r="BP57" s="154"/>
      <c r="BQ57" s="154"/>
      <c r="BR57" s="218" t="s">
        <v>17</v>
      </c>
      <c r="BS57" s="218"/>
      <c r="BT57" s="218"/>
      <c r="BU57" s="218"/>
      <c r="BV57" s="218"/>
      <c r="BW57" s="218"/>
      <c r="BX57" s="218"/>
      <c r="BY57" s="218"/>
      <c r="BZ57" s="218"/>
      <c r="CA57" s="218"/>
      <c r="CB57" s="218"/>
      <c r="CC57" s="218"/>
      <c r="CD57" s="218"/>
      <c r="CE57" s="218"/>
      <c r="CF57" s="375"/>
      <c r="CG57" s="375"/>
      <c r="CM57" s="91"/>
      <c r="CN57" s="107" t="s">
        <v>429</v>
      </c>
      <c r="CO57" s="91"/>
      <c r="CP57" s="91"/>
      <c r="CQ57" s="91"/>
    </row>
    <row r="58" spans="1:131" ht="11.45" hidden="1" customHeight="1" x14ac:dyDescent="0.2">
      <c r="A58" s="390" t="s">
        <v>442</v>
      </c>
      <c r="B58" s="390"/>
      <c r="C58" s="390"/>
      <c r="D58" s="390"/>
      <c r="E58" s="390" t="s">
        <v>0</v>
      </c>
      <c r="F58" s="374" t="s">
        <v>443</v>
      </c>
      <c r="G58" s="374"/>
      <c r="H58" s="374"/>
      <c r="I58" s="374"/>
      <c r="J58" s="374"/>
      <c r="K58" s="374"/>
      <c r="L58" s="374"/>
      <c r="M58" s="374"/>
      <c r="N58" s="374"/>
      <c r="O58" s="374"/>
      <c r="P58" s="374"/>
      <c r="Q58" s="374"/>
      <c r="R58" s="374"/>
      <c r="S58" s="374"/>
      <c r="T58" s="374"/>
      <c r="U58" s="374"/>
      <c r="V58" s="374"/>
      <c r="W58" s="374"/>
      <c r="X58" s="374"/>
      <c r="Y58" s="374"/>
      <c r="Z58" s="374" t="s">
        <v>438</v>
      </c>
      <c r="AA58" s="374"/>
      <c r="AB58" s="374"/>
      <c r="AC58" s="374"/>
      <c r="AD58" s="374"/>
      <c r="AE58" s="374"/>
      <c r="AF58" s="374"/>
      <c r="AG58" s="374"/>
      <c r="AH58" s="374"/>
      <c r="AI58" s="374"/>
      <c r="AJ58" s="374"/>
      <c r="AK58" s="374"/>
      <c r="AL58" s="374"/>
      <c r="AM58" s="374"/>
      <c r="AN58" s="374"/>
      <c r="AO58" s="374"/>
      <c r="AP58" s="374"/>
      <c r="AQ58" s="374"/>
      <c r="AR58" s="374"/>
      <c r="AS58" s="374"/>
      <c r="AT58" s="374" t="s">
        <v>439</v>
      </c>
      <c r="AU58" s="374"/>
      <c r="AV58" s="374"/>
      <c r="AW58" s="374"/>
      <c r="AX58" s="374"/>
      <c r="AY58" s="374"/>
      <c r="AZ58" s="374"/>
      <c r="BA58" s="374"/>
      <c r="BB58" s="374"/>
      <c r="BC58" s="374"/>
      <c r="BD58" s="374"/>
      <c r="BE58" s="374"/>
      <c r="BF58" s="374"/>
      <c r="BG58" s="374"/>
      <c r="BH58" s="374"/>
      <c r="BI58" s="374"/>
      <c r="BJ58" s="374"/>
      <c r="BK58" s="374"/>
      <c r="BL58" s="374"/>
      <c r="BM58" s="374"/>
      <c r="BN58" s="374" t="s">
        <v>440</v>
      </c>
      <c r="BO58" s="374"/>
      <c r="BP58" s="374"/>
      <c r="BQ58" s="374"/>
      <c r="BR58" s="374"/>
      <c r="BS58" s="374"/>
      <c r="BT58" s="374"/>
      <c r="BU58" s="374"/>
      <c r="BV58" s="374"/>
      <c r="BW58" s="374"/>
      <c r="BX58" s="374"/>
      <c r="BY58" s="374"/>
      <c r="BZ58" s="374"/>
      <c r="CA58" s="374"/>
      <c r="CB58" s="374"/>
      <c r="CC58" s="374"/>
      <c r="CD58" s="374"/>
      <c r="CE58" s="374"/>
      <c r="CF58" s="374"/>
      <c r="CG58" s="374"/>
      <c r="CN58" s="87" t="s">
        <v>430</v>
      </c>
    </row>
    <row r="59" spans="1:131" ht="11.45" hidden="1" customHeight="1" x14ac:dyDescent="0.2">
      <c r="A59" s="390"/>
      <c r="B59" s="390"/>
      <c r="C59" s="390"/>
      <c r="D59" s="390"/>
      <c r="E59" s="390"/>
      <c r="F59" s="313"/>
      <c r="G59" s="313"/>
      <c r="H59" s="313"/>
      <c r="I59" s="313"/>
      <c r="J59" s="313"/>
      <c r="K59" s="313"/>
      <c r="L59" s="313"/>
      <c r="M59" s="313"/>
      <c r="N59" s="313"/>
      <c r="O59" s="313"/>
      <c r="P59" s="313"/>
      <c r="Q59" s="313"/>
      <c r="R59" s="313"/>
      <c r="S59" s="313"/>
      <c r="T59" s="313"/>
      <c r="U59" s="313"/>
      <c r="V59" s="313"/>
      <c r="W59" s="313"/>
      <c r="X59" s="313"/>
      <c r="Y59" s="313"/>
      <c r="Z59" s="308">
        <f>IF(V52="","",V52)</f>
        <v>479.33988259254824</v>
      </c>
      <c r="AA59" s="308"/>
      <c r="AB59" s="308"/>
      <c r="AC59" s="308"/>
      <c r="AD59" s="308"/>
      <c r="AE59" s="308"/>
      <c r="AF59" s="308"/>
      <c r="AG59" s="308"/>
      <c r="AH59" s="308"/>
      <c r="AI59" s="308"/>
      <c r="AJ59" s="308"/>
      <c r="AK59" s="308"/>
      <c r="AL59" s="308"/>
      <c r="AM59" s="308"/>
      <c r="AN59" s="308"/>
      <c r="AO59" s="308"/>
      <c r="AP59" s="308"/>
      <c r="AQ59" s="308"/>
      <c r="AR59" s="308"/>
      <c r="AS59" s="308"/>
      <c r="AT59" s="313" t="str">
        <f>IF(F59="","",F59-0.0011)</f>
        <v/>
      </c>
      <c r="AU59" s="313"/>
      <c r="AV59" s="313"/>
      <c r="AW59" s="313"/>
      <c r="AX59" s="313"/>
      <c r="AY59" s="313"/>
      <c r="AZ59" s="313"/>
      <c r="BA59" s="313"/>
      <c r="BB59" s="313"/>
      <c r="BC59" s="313"/>
      <c r="BD59" s="313"/>
      <c r="BE59" s="313"/>
      <c r="BF59" s="313"/>
      <c r="BG59" s="313"/>
      <c r="BH59" s="313"/>
      <c r="BI59" s="313"/>
      <c r="BJ59" s="313"/>
      <c r="BK59" s="313"/>
      <c r="BL59" s="313"/>
      <c r="BM59" s="313"/>
      <c r="BN59" s="308" t="str">
        <f>IF(OR(Z59="",AT59=""),"",Z59*AT59)</f>
        <v/>
      </c>
      <c r="BO59" s="308"/>
      <c r="BP59" s="308"/>
      <c r="BQ59" s="308"/>
      <c r="BR59" s="308"/>
      <c r="BS59" s="308"/>
      <c r="BT59" s="308"/>
      <c r="BU59" s="308"/>
      <c r="BV59" s="308"/>
      <c r="BW59" s="308"/>
      <c r="BX59" s="308"/>
      <c r="BY59" s="308"/>
      <c r="BZ59" s="308"/>
      <c r="CA59" s="308"/>
      <c r="CB59" s="308"/>
      <c r="CC59" s="308"/>
      <c r="CD59" s="308"/>
      <c r="CE59" s="308"/>
      <c r="CF59" s="308"/>
      <c r="CG59" s="308"/>
      <c r="CN59" s="87" t="s">
        <v>444</v>
      </c>
      <c r="DW59" s="91"/>
      <c r="DX59" s="91"/>
      <c r="DZ59" s="91"/>
      <c r="EA59" s="91"/>
    </row>
    <row r="60" spans="1:131" ht="11.45" customHeight="1" x14ac:dyDescent="0.2">
      <c r="A60" s="148" t="s">
        <v>156</v>
      </c>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9" t="str">
        <f>'Data Entry'!AK9</f>
        <v>LTS-CUS-F-01 rev 2.0</v>
      </c>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c r="BS60" s="149"/>
      <c r="BT60" s="149"/>
      <c r="BU60" s="149"/>
      <c r="BV60" s="149"/>
      <c r="BW60" s="149"/>
      <c r="BX60" s="149"/>
      <c r="BY60" s="149"/>
      <c r="BZ60" s="149"/>
      <c r="CA60" s="149"/>
      <c r="CB60" s="149"/>
      <c r="CC60" s="149"/>
      <c r="CD60" s="149"/>
      <c r="CE60" s="149"/>
      <c r="CF60" s="149"/>
      <c r="CG60" s="149"/>
      <c r="CN60" s="2" t="s">
        <v>431</v>
      </c>
      <c r="DW60" s="35"/>
      <c r="DX60" s="56"/>
      <c r="DZ60" s="35"/>
      <c r="EA60" s="56"/>
    </row>
    <row r="61" spans="1:131" ht="11.45" customHeight="1" x14ac:dyDescent="0.2">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N61" s="91"/>
      <c r="DW61" s="35"/>
      <c r="DX61" s="56"/>
      <c r="DZ61" s="35"/>
      <c r="EA61" s="56"/>
    </row>
    <row r="62" spans="1:131" ht="11.45" customHeight="1" x14ac:dyDescent="0.2">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DW62" s="35"/>
      <c r="DX62" s="56"/>
      <c r="DZ62" s="35"/>
      <c r="EA62" s="56"/>
    </row>
    <row r="63" spans="1:131" ht="11.45" customHeight="1" x14ac:dyDescent="0.2">
      <c r="CB63" s="90"/>
      <c r="CC63" s="90"/>
      <c r="CD63" s="90"/>
      <c r="CE63" s="90"/>
      <c r="CF63" s="90"/>
      <c r="CG63" s="90"/>
      <c r="CN63" s="1" t="s">
        <v>428</v>
      </c>
      <c r="DW63" s="35"/>
      <c r="DX63" s="56"/>
      <c r="DZ63" s="35"/>
      <c r="EA63" s="56"/>
    </row>
    <row r="64" spans="1:131" ht="11.45" customHeight="1" x14ac:dyDescent="0.2">
      <c r="CN64" s="107" t="s">
        <v>432</v>
      </c>
      <c r="DW64" s="35"/>
      <c r="DX64" s="56"/>
      <c r="DZ64" s="35"/>
      <c r="EA64" s="56"/>
    </row>
    <row r="65" spans="92:131" ht="11.45" customHeight="1" x14ac:dyDescent="0.2">
      <c r="CN65" s="2" t="s">
        <v>433</v>
      </c>
      <c r="DW65" s="35"/>
      <c r="DX65" s="56"/>
      <c r="DZ65" s="35"/>
      <c r="EA65" s="56"/>
    </row>
    <row r="66" spans="92:131" ht="11.45" customHeight="1" x14ac:dyDescent="0.2">
      <c r="DW66" s="35"/>
      <c r="DX66" s="56"/>
      <c r="DZ66" s="35"/>
      <c r="EA66" s="56"/>
    </row>
    <row r="67" spans="92:131" ht="11.45" customHeight="1" x14ac:dyDescent="0.2">
      <c r="DW67" s="35"/>
      <c r="DX67" s="56"/>
      <c r="DZ67" s="35"/>
      <c r="EA67" s="56"/>
    </row>
    <row r="68" spans="92:131" ht="11.45" customHeight="1" x14ac:dyDescent="0.2">
      <c r="DW68" s="35"/>
      <c r="DX68" s="56"/>
      <c r="DZ68" s="35"/>
      <c r="EA68" s="56"/>
    </row>
    <row r="69" spans="92:131" ht="11.45" customHeight="1" x14ac:dyDescent="0.2">
      <c r="DW69" s="35"/>
      <c r="DX69" s="56"/>
      <c r="DZ69" s="35"/>
      <c r="EA69" s="56"/>
    </row>
  </sheetData>
  <sheetProtection formatCells="0" selectLockedCells="1"/>
  <dataConsolidate/>
  <mergeCells count="643">
    <mergeCell ref="CI44:CL45"/>
    <mergeCell ref="BN47:BR47"/>
    <mergeCell ref="F59:Y59"/>
    <mergeCell ref="AQ51:BK51"/>
    <mergeCell ref="BL51:CG51"/>
    <mergeCell ref="A52:U52"/>
    <mergeCell ref="V52:AP52"/>
    <mergeCell ref="BN59:CG59"/>
    <mergeCell ref="E58:E59"/>
    <mergeCell ref="A58:D59"/>
    <mergeCell ref="F58:Y58"/>
    <mergeCell ref="Z59:AS59"/>
    <mergeCell ref="AT59:BM59"/>
    <mergeCell ref="BR57:CE57"/>
    <mergeCell ref="A54:B57"/>
    <mergeCell ref="C54:P56"/>
    <mergeCell ref="Q54:AJ57"/>
    <mergeCell ref="AK57:AX57"/>
    <mergeCell ref="C57:P57"/>
    <mergeCell ref="Z58:AS58"/>
    <mergeCell ref="AT58:BM58"/>
    <mergeCell ref="AK54:AX56"/>
    <mergeCell ref="A51:U51"/>
    <mergeCell ref="V51:AP51"/>
    <mergeCell ref="A48:H48"/>
    <mergeCell ref="I47:O47"/>
    <mergeCell ref="A18:H18"/>
    <mergeCell ref="AE26:AI26"/>
    <mergeCell ref="U24:Y24"/>
    <mergeCell ref="P24:T24"/>
    <mergeCell ref="P27:T27"/>
    <mergeCell ref="P23:T23"/>
    <mergeCell ref="U26:Y26"/>
    <mergeCell ref="P22:T22"/>
    <mergeCell ref="AE27:AI27"/>
    <mergeCell ref="AE22:AI22"/>
    <mergeCell ref="AE23:AI23"/>
    <mergeCell ref="A20:H20"/>
    <mergeCell ref="I26:O26"/>
    <mergeCell ref="I20:O20"/>
    <mergeCell ref="P25:T25"/>
    <mergeCell ref="I25:O25"/>
    <mergeCell ref="A21:H21"/>
    <mergeCell ref="A24:H24"/>
    <mergeCell ref="I24:O24"/>
    <mergeCell ref="A22:H22"/>
    <mergeCell ref="A23:H23"/>
    <mergeCell ref="Z23:AD23"/>
    <mergeCell ref="AO17:AS17"/>
    <mergeCell ref="Z17:AD17"/>
    <mergeCell ref="AY43:BC43"/>
    <mergeCell ref="AY46:BC46"/>
    <mergeCell ref="BR54:CE56"/>
    <mergeCell ref="BN49:BR49"/>
    <mergeCell ref="A50:CG50"/>
    <mergeCell ref="A53:D53"/>
    <mergeCell ref="AY48:BC48"/>
    <mergeCell ref="BD49:BH49"/>
    <mergeCell ref="BN48:BR48"/>
    <mergeCell ref="BN46:BR46"/>
    <mergeCell ref="BS48:BW48"/>
    <mergeCell ref="BX48:CB48"/>
    <mergeCell ref="BS47:BW47"/>
    <mergeCell ref="BX45:CB45"/>
    <mergeCell ref="BI46:BM46"/>
    <mergeCell ref="AY45:BC45"/>
    <mergeCell ref="AY47:BC47"/>
    <mergeCell ref="BI47:BM47"/>
    <mergeCell ref="A49:AD49"/>
    <mergeCell ref="CC43:CG43"/>
    <mergeCell ref="CC44:CG44"/>
    <mergeCell ref="A47:H47"/>
    <mergeCell ref="P16:T16"/>
    <mergeCell ref="L9:AB9"/>
    <mergeCell ref="A14:F15"/>
    <mergeCell ref="G14:L14"/>
    <mergeCell ref="G15:L15"/>
    <mergeCell ref="N14:S14"/>
    <mergeCell ref="X14:AC15"/>
    <mergeCell ref="A13:AK13"/>
    <mergeCell ref="AJ17:AN17"/>
    <mergeCell ref="A9:J9"/>
    <mergeCell ref="A10:J10"/>
    <mergeCell ref="A16:H16"/>
    <mergeCell ref="BR2:CG2"/>
    <mergeCell ref="BL1:BP1"/>
    <mergeCell ref="BL2:BP2"/>
    <mergeCell ref="A2:BK2"/>
    <mergeCell ref="A1:BK1"/>
    <mergeCell ref="BX46:CB46"/>
    <mergeCell ref="BM5:BV5"/>
    <mergeCell ref="BX4:CG4"/>
    <mergeCell ref="BX5:CG5"/>
    <mergeCell ref="Y4:AD4"/>
    <mergeCell ref="AL13:AN13"/>
    <mergeCell ref="AX13:AZ13"/>
    <mergeCell ref="AC10:AO10"/>
    <mergeCell ref="AQ9:AX9"/>
    <mergeCell ref="BX44:CB44"/>
    <mergeCell ref="U18:Y18"/>
    <mergeCell ref="I16:O17"/>
    <mergeCell ref="A6:CG6"/>
    <mergeCell ref="W10:AB10"/>
    <mergeCell ref="A11:M11"/>
    <mergeCell ref="AD15:AF15"/>
    <mergeCell ref="BR11:BY11"/>
    <mergeCell ref="N15:S15"/>
    <mergeCell ref="BS46:BW46"/>
    <mergeCell ref="A60:AN60"/>
    <mergeCell ref="CC48:CG48"/>
    <mergeCell ref="CC49:CG49"/>
    <mergeCell ref="AO60:CG60"/>
    <mergeCell ref="BS49:BW49"/>
    <mergeCell ref="I48:O48"/>
    <mergeCell ref="BD48:BH48"/>
    <mergeCell ref="AQ52:BK52"/>
    <mergeCell ref="AY54:BQ57"/>
    <mergeCell ref="BN58:CG58"/>
    <mergeCell ref="CF54:CG57"/>
    <mergeCell ref="BL52:CG52"/>
    <mergeCell ref="BX49:CB49"/>
    <mergeCell ref="F53:CG53"/>
    <mergeCell ref="P48:T48"/>
    <mergeCell ref="AY49:BC49"/>
    <mergeCell ref="BI49:BM49"/>
    <mergeCell ref="AT49:AX49"/>
    <mergeCell ref="AJ49:AN49"/>
    <mergeCell ref="AO49:AS49"/>
    <mergeCell ref="AE49:AI49"/>
    <mergeCell ref="AT48:AX48"/>
    <mergeCell ref="AO48:AS48"/>
    <mergeCell ref="BI48:BM48"/>
    <mergeCell ref="CC39:CG39"/>
    <mergeCell ref="CC40:CG40"/>
    <mergeCell ref="CC41:CG41"/>
    <mergeCell ref="AY41:BC41"/>
    <mergeCell ref="AY44:BC44"/>
    <mergeCell ref="BD43:BH43"/>
    <mergeCell ref="BX41:CB41"/>
    <mergeCell ref="BS44:BW44"/>
    <mergeCell ref="BI43:BM43"/>
    <mergeCell ref="CC42:CG42"/>
    <mergeCell ref="BD39:BH39"/>
    <mergeCell ref="BI41:BM41"/>
    <mergeCell ref="AY39:BC39"/>
    <mergeCell ref="BI39:BM39"/>
    <mergeCell ref="AY40:BC40"/>
    <mergeCell ref="BI40:BM40"/>
    <mergeCell ref="U48:Y48"/>
    <mergeCell ref="Z48:AD48"/>
    <mergeCell ref="AE48:AI48"/>
    <mergeCell ref="AJ48:AN48"/>
    <mergeCell ref="AO47:AS47"/>
    <mergeCell ref="AT47:AX47"/>
    <mergeCell ref="AH14:AL14"/>
    <mergeCell ref="AM14:AP14"/>
    <mergeCell ref="AT19:AX19"/>
    <mergeCell ref="Z24:AD24"/>
    <mergeCell ref="AT42:AX42"/>
    <mergeCell ref="AT43:AX43"/>
    <mergeCell ref="AT46:AX46"/>
    <mergeCell ref="AT45:AX45"/>
    <mergeCell ref="AT41:AX41"/>
    <mergeCell ref="AT40:AX40"/>
    <mergeCell ref="AO41:AS41"/>
    <mergeCell ref="AO36:AS36"/>
    <mergeCell ref="AT39:AX39"/>
    <mergeCell ref="AE42:AI42"/>
    <mergeCell ref="U42:Y42"/>
    <mergeCell ref="U21:Y21"/>
    <mergeCell ref="AO23:AS23"/>
    <mergeCell ref="AJ22:AN22"/>
    <mergeCell ref="A19:H19"/>
    <mergeCell ref="AY11:BB11"/>
    <mergeCell ref="L10:R10"/>
    <mergeCell ref="BB13:BI13"/>
    <mergeCell ref="AY18:BC18"/>
    <mergeCell ref="BD18:BH18"/>
    <mergeCell ref="U16:Y16"/>
    <mergeCell ref="P18:T18"/>
    <mergeCell ref="I19:O19"/>
    <mergeCell ref="I18:O18"/>
    <mergeCell ref="P19:T19"/>
    <mergeCell ref="P17:T17"/>
    <mergeCell ref="U17:Y17"/>
    <mergeCell ref="O11:V11"/>
    <mergeCell ref="AD14:AF14"/>
    <mergeCell ref="AQ14:AV15"/>
    <mergeCell ref="AO16:AS16"/>
    <mergeCell ref="T14:W14"/>
    <mergeCell ref="T15:W15"/>
    <mergeCell ref="AE17:AI17"/>
    <mergeCell ref="AY19:BC19"/>
    <mergeCell ref="BD16:BH16"/>
    <mergeCell ref="AY16:BC16"/>
    <mergeCell ref="A17:H17"/>
    <mergeCell ref="CN1:EB2"/>
    <mergeCell ref="BX23:CB23"/>
    <mergeCell ref="BD23:BH23"/>
    <mergeCell ref="BD46:BH46"/>
    <mergeCell ref="BD47:BH47"/>
    <mergeCell ref="BI45:BM45"/>
    <mergeCell ref="BN45:BR45"/>
    <mergeCell ref="BS45:BW45"/>
    <mergeCell ref="BD44:BH44"/>
    <mergeCell ref="BX19:CB19"/>
    <mergeCell ref="BX28:CB28"/>
    <mergeCell ref="BS42:BW42"/>
    <mergeCell ref="BD42:BH42"/>
    <mergeCell ref="BD41:BH41"/>
    <mergeCell ref="BS41:BW41"/>
    <mergeCell ref="BJ32:BP32"/>
    <mergeCell ref="CC26:CG26"/>
    <mergeCell ref="CC27:CG27"/>
    <mergeCell ref="CC45:CG45"/>
    <mergeCell ref="CC46:CG46"/>
    <mergeCell ref="CC47:CG47"/>
    <mergeCell ref="BD45:BH45"/>
    <mergeCell ref="BX47:CB47"/>
    <mergeCell ref="BR1:CG1"/>
    <mergeCell ref="P44:T44"/>
    <mergeCell ref="Z26:AD26"/>
    <mergeCell ref="AE45:AI45"/>
    <mergeCell ref="AJ45:AN45"/>
    <mergeCell ref="AO45:AS45"/>
    <mergeCell ref="U47:Y47"/>
    <mergeCell ref="Z47:AD47"/>
    <mergeCell ref="AE47:AI47"/>
    <mergeCell ref="Z27:AD27"/>
    <mergeCell ref="Z39:AD39"/>
    <mergeCell ref="Z40:AD40"/>
    <mergeCell ref="AO42:AS42"/>
    <mergeCell ref="P47:T47"/>
    <mergeCell ref="AJ47:AN47"/>
    <mergeCell ref="P45:T45"/>
    <mergeCell ref="AO43:AS43"/>
    <mergeCell ref="AE43:AI43"/>
    <mergeCell ref="AJ43:AN43"/>
    <mergeCell ref="P43:T43"/>
    <mergeCell ref="U46:Y46"/>
    <mergeCell ref="AE46:AI46"/>
    <mergeCell ref="AJ46:AN46"/>
    <mergeCell ref="AO46:AS46"/>
    <mergeCell ref="U45:Y45"/>
    <mergeCell ref="BB4:BL4"/>
    <mergeCell ref="AQ4:AZ4"/>
    <mergeCell ref="AC11:AO11"/>
    <mergeCell ref="U5:AA5"/>
    <mergeCell ref="AC5:AN5"/>
    <mergeCell ref="AE4:AG4"/>
    <mergeCell ref="AI4:AN4"/>
    <mergeCell ref="AO4:AP5"/>
    <mergeCell ref="I4:T4"/>
    <mergeCell ref="I5:T5"/>
    <mergeCell ref="U4:W4"/>
    <mergeCell ref="AY9:BB9"/>
    <mergeCell ref="AY10:BB10"/>
    <mergeCell ref="AQ11:AX11"/>
    <mergeCell ref="BC9:BP9"/>
    <mergeCell ref="BC8:CG8"/>
    <mergeCell ref="BZ9:CG9"/>
    <mergeCell ref="BZ10:CG10"/>
    <mergeCell ref="BZ11:CG11"/>
    <mergeCell ref="BC11:BP11"/>
    <mergeCell ref="W11:AB11"/>
    <mergeCell ref="AC9:AO9"/>
    <mergeCell ref="A8:AB8"/>
    <mergeCell ref="AC8:BB8"/>
    <mergeCell ref="AY30:BC30"/>
    <mergeCell ref="BD28:BH28"/>
    <mergeCell ref="CI39:CL40"/>
    <mergeCell ref="Z21:AD21"/>
    <mergeCell ref="Z20:AD20"/>
    <mergeCell ref="U40:Y40"/>
    <mergeCell ref="P39:T39"/>
    <mergeCell ref="BD40:BH40"/>
    <mergeCell ref="AH15:AL15"/>
    <mergeCell ref="BS23:BW23"/>
    <mergeCell ref="BN17:BR17"/>
    <mergeCell ref="Z16:AD16"/>
    <mergeCell ref="AE16:AI16"/>
    <mergeCell ref="AJ16:AN16"/>
    <mergeCell ref="AM15:AP15"/>
    <mergeCell ref="AT16:AX16"/>
    <mergeCell ref="BX26:CB26"/>
    <mergeCell ref="BX16:CB16"/>
    <mergeCell ref="BD29:BH29"/>
    <mergeCell ref="BI30:BM30"/>
    <mergeCell ref="BR14:CG15"/>
    <mergeCell ref="AW14:BL14"/>
    <mergeCell ref="AJ36:AN36"/>
    <mergeCell ref="P26:T26"/>
    <mergeCell ref="BD38:BH38"/>
    <mergeCell ref="BI36:BM36"/>
    <mergeCell ref="BI38:BM38"/>
    <mergeCell ref="AV34:BL34"/>
    <mergeCell ref="BI35:BM35"/>
    <mergeCell ref="BD35:BH35"/>
    <mergeCell ref="AY36:BC36"/>
    <mergeCell ref="BD37:BH37"/>
    <mergeCell ref="AT36:AX36"/>
    <mergeCell ref="AY35:BC35"/>
    <mergeCell ref="AQ33:AU34"/>
    <mergeCell ref="AY38:BC38"/>
    <mergeCell ref="BD36:BH36"/>
    <mergeCell ref="AV33:BL33"/>
    <mergeCell ref="AO18:AS18"/>
    <mergeCell ref="AT18:AX18"/>
    <mergeCell ref="BD17:BH17"/>
    <mergeCell ref="AO21:AS21"/>
    <mergeCell ref="Z18:AD18"/>
    <mergeCell ref="AT21:AX21"/>
    <mergeCell ref="AT23:AX23"/>
    <mergeCell ref="BI24:BM24"/>
    <mergeCell ref="BD22:BH22"/>
    <mergeCell ref="AY20:BC20"/>
    <mergeCell ref="BD19:BH19"/>
    <mergeCell ref="BI20:BM20"/>
    <mergeCell ref="BI19:BM19"/>
    <mergeCell ref="AT24:AX24"/>
    <mergeCell ref="BI23:BM23"/>
    <mergeCell ref="BI21:BM21"/>
    <mergeCell ref="BD20:BH20"/>
    <mergeCell ref="AY21:BC21"/>
    <mergeCell ref="BD21:BH21"/>
    <mergeCell ref="AY22:BC22"/>
    <mergeCell ref="BD24:BH24"/>
    <mergeCell ref="AJ24:AN24"/>
    <mergeCell ref="AY17:BC17"/>
    <mergeCell ref="AT17:AX17"/>
    <mergeCell ref="BI22:BM22"/>
    <mergeCell ref="BX37:CB37"/>
    <mergeCell ref="BX38:CB38"/>
    <mergeCell ref="BN39:BR39"/>
    <mergeCell ref="BN36:BR36"/>
    <mergeCell ref="BN34:BQ34"/>
    <mergeCell ref="BN30:BR30"/>
    <mergeCell ref="BC10:BP10"/>
    <mergeCell ref="AW15:BL15"/>
    <mergeCell ref="AQ10:AX10"/>
    <mergeCell ref="BN21:BR21"/>
    <mergeCell ref="BI18:BM18"/>
    <mergeCell ref="BN23:BR23"/>
    <mergeCell ref="BJ13:BP13"/>
    <mergeCell ref="AT22:AX22"/>
    <mergeCell ref="BR13:CG13"/>
    <mergeCell ref="AP13:AW13"/>
    <mergeCell ref="A12:CG12"/>
    <mergeCell ref="BR10:BY10"/>
    <mergeCell ref="CC20:CG20"/>
    <mergeCell ref="BX18:CB18"/>
    <mergeCell ref="BS22:BW22"/>
    <mergeCell ref="BN14:BQ14"/>
    <mergeCell ref="BN15:BQ15"/>
    <mergeCell ref="BS20:BW20"/>
    <mergeCell ref="BN25:BR25"/>
    <mergeCell ref="BX24:CB24"/>
    <mergeCell ref="BX42:CB42"/>
    <mergeCell ref="BS38:BW38"/>
    <mergeCell ref="BS39:BW39"/>
    <mergeCell ref="BN37:BR37"/>
    <mergeCell ref="BN38:BR38"/>
    <mergeCell ref="BN40:BR40"/>
    <mergeCell ref="BS40:BW40"/>
    <mergeCell ref="BX40:CB40"/>
    <mergeCell ref="BX39:CB39"/>
    <mergeCell ref="BN24:BR24"/>
    <mergeCell ref="BN22:BR22"/>
    <mergeCell ref="CC38:CG38"/>
    <mergeCell ref="BN19:BR19"/>
    <mergeCell ref="BN20:BR20"/>
    <mergeCell ref="CC25:CG25"/>
    <mergeCell ref="BN27:BR27"/>
    <mergeCell ref="BS29:BW29"/>
    <mergeCell ref="BS37:BW37"/>
    <mergeCell ref="BX25:CB25"/>
    <mergeCell ref="BS28:BW28"/>
    <mergeCell ref="BX35:CB35"/>
    <mergeCell ref="BR32:CG32"/>
    <mergeCell ref="BR33:CG34"/>
    <mergeCell ref="BX36:CB36"/>
    <mergeCell ref="BS35:BW36"/>
    <mergeCell ref="BS26:BW26"/>
    <mergeCell ref="BS27:BW27"/>
    <mergeCell ref="BN35:BR35"/>
    <mergeCell ref="BN29:BR29"/>
    <mergeCell ref="BN33:BQ33"/>
    <mergeCell ref="A31:CG31"/>
    <mergeCell ref="AH34:AL34"/>
    <mergeCell ref="AM34:AP34"/>
    <mergeCell ref="AT35:AX35"/>
    <mergeCell ref="AO35:AS35"/>
    <mergeCell ref="A45:H45"/>
    <mergeCell ref="I46:O46"/>
    <mergeCell ref="BN43:BR43"/>
    <mergeCell ref="BN44:BR44"/>
    <mergeCell ref="BX43:CB43"/>
    <mergeCell ref="AJ41:AN41"/>
    <mergeCell ref="Z22:AD22"/>
    <mergeCell ref="AE41:AI41"/>
    <mergeCell ref="AJ42:AN42"/>
    <mergeCell ref="U41:Y41"/>
    <mergeCell ref="BI44:BM44"/>
    <mergeCell ref="U44:Y44"/>
    <mergeCell ref="Z25:AD25"/>
    <mergeCell ref="AO44:AS44"/>
    <mergeCell ref="AT44:AX44"/>
    <mergeCell ref="AE44:AI44"/>
    <mergeCell ref="AJ44:AN44"/>
    <mergeCell ref="AY42:BC42"/>
    <mergeCell ref="U43:Y43"/>
    <mergeCell ref="BI42:BM42"/>
    <mergeCell ref="BS43:BW43"/>
    <mergeCell ref="BN42:BR42"/>
    <mergeCell ref="BN41:BR41"/>
    <mergeCell ref="BS24:BW24"/>
    <mergeCell ref="P46:T46"/>
    <mergeCell ref="P21:T21"/>
    <mergeCell ref="I45:O45"/>
    <mergeCell ref="I44:O44"/>
    <mergeCell ref="I21:O21"/>
    <mergeCell ref="I29:O29"/>
    <mergeCell ref="U29:Y29"/>
    <mergeCell ref="I35:O36"/>
    <mergeCell ref="P36:T36"/>
    <mergeCell ref="A32:AK32"/>
    <mergeCell ref="AE35:AI35"/>
    <mergeCell ref="AJ23:AN23"/>
    <mergeCell ref="U28:Y28"/>
    <mergeCell ref="U27:Y27"/>
    <mergeCell ref="I28:O28"/>
    <mergeCell ref="AE24:AI24"/>
    <mergeCell ref="U23:Y23"/>
    <mergeCell ref="I40:O40"/>
    <mergeCell ref="A26:H26"/>
    <mergeCell ref="I43:O43"/>
    <mergeCell ref="A46:H46"/>
    <mergeCell ref="A43:H43"/>
    <mergeCell ref="I23:O23"/>
    <mergeCell ref="A44:H44"/>
    <mergeCell ref="A40:H40"/>
    <mergeCell ref="G34:L34"/>
    <mergeCell ref="N34:S34"/>
    <mergeCell ref="A36:H36"/>
    <mergeCell ref="A33:F34"/>
    <mergeCell ref="A38:H38"/>
    <mergeCell ref="P37:T37"/>
    <mergeCell ref="P42:T42"/>
    <mergeCell ref="A42:H42"/>
    <mergeCell ref="I42:O42"/>
    <mergeCell ref="I41:O41"/>
    <mergeCell ref="I39:O39"/>
    <mergeCell ref="T34:W34"/>
    <mergeCell ref="A35:H35"/>
    <mergeCell ref="P40:T40"/>
    <mergeCell ref="P38:T38"/>
    <mergeCell ref="P35:T35"/>
    <mergeCell ref="A41:H41"/>
    <mergeCell ref="P41:T41"/>
    <mergeCell ref="AO40:AS40"/>
    <mergeCell ref="AO25:AS25"/>
    <mergeCell ref="AJ40:AN40"/>
    <mergeCell ref="AE39:AI39"/>
    <mergeCell ref="U39:Y39"/>
    <mergeCell ref="AE37:AI37"/>
    <mergeCell ref="AJ39:AN39"/>
    <mergeCell ref="AE38:AI38"/>
    <mergeCell ref="AE40:AI40"/>
    <mergeCell ref="U37:Y37"/>
    <mergeCell ref="U38:Y38"/>
    <mergeCell ref="AJ38:AN38"/>
    <mergeCell ref="AJ37:AN37"/>
    <mergeCell ref="AO38:AS38"/>
    <mergeCell ref="AO28:AS28"/>
    <mergeCell ref="AE36:AI36"/>
    <mergeCell ref="AT38:AX38"/>
    <mergeCell ref="AO37:AS37"/>
    <mergeCell ref="AE29:AI29"/>
    <mergeCell ref="AE25:AI25"/>
    <mergeCell ref="U36:Y36"/>
    <mergeCell ref="X33:AC34"/>
    <mergeCell ref="AD33:AF33"/>
    <mergeCell ref="AD34:AF34"/>
    <mergeCell ref="AE30:AI30"/>
    <mergeCell ref="Z28:AD28"/>
    <mergeCell ref="Z29:AD29"/>
    <mergeCell ref="Z36:AD36"/>
    <mergeCell ref="AH33:AL33"/>
    <mergeCell ref="U25:Y25"/>
    <mergeCell ref="AE28:AI28"/>
    <mergeCell ref="AJ28:AN28"/>
    <mergeCell ref="Z37:AD37"/>
    <mergeCell ref="Z38:AD38"/>
    <mergeCell ref="AJ25:AN25"/>
    <mergeCell ref="AO26:AS26"/>
    <mergeCell ref="AT26:AX26"/>
    <mergeCell ref="AT25:AX25"/>
    <mergeCell ref="AT28:AX28"/>
    <mergeCell ref="AX32:AZ32"/>
    <mergeCell ref="CI29:CL30"/>
    <mergeCell ref="BX29:CB29"/>
    <mergeCell ref="BX30:CB30"/>
    <mergeCell ref="BS30:BW30"/>
    <mergeCell ref="I27:O27"/>
    <mergeCell ref="A27:H27"/>
    <mergeCell ref="T33:W33"/>
    <mergeCell ref="AJ35:AN35"/>
    <mergeCell ref="A37:H37"/>
    <mergeCell ref="G33:L33"/>
    <mergeCell ref="CC28:CG28"/>
    <mergeCell ref="CC29:CG29"/>
    <mergeCell ref="CC30:CG30"/>
    <mergeCell ref="CC36:CG36"/>
    <mergeCell ref="CC37:CG37"/>
    <mergeCell ref="CC35:CG35"/>
    <mergeCell ref="AY28:BC28"/>
    <mergeCell ref="BI29:BM29"/>
    <mergeCell ref="AY27:BC27"/>
    <mergeCell ref="BI28:BM28"/>
    <mergeCell ref="AY37:BC37"/>
    <mergeCell ref="BI37:BM37"/>
    <mergeCell ref="BB32:BI32"/>
    <mergeCell ref="BD30:BH30"/>
    <mergeCell ref="EA16:EB16"/>
    <mergeCell ref="CV16:CX16"/>
    <mergeCell ref="DR16:DU16"/>
    <mergeCell ref="DW16:DX16"/>
    <mergeCell ref="DY16:DZ16"/>
    <mergeCell ref="BI17:BM17"/>
    <mergeCell ref="CR16:CS16"/>
    <mergeCell ref="DA16:DC16"/>
    <mergeCell ref="DF16:DI16"/>
    <mergeCell ref="DL16:DO16"/>
    <mergeCell ref="BN16:BR16"/>
    <mergeCell ref="BS16:BW17"/>
    <mergeCell ref="BX17:CB17"/>
    <mergeCell ref="BI16:BM16"/>
    <mergeCell ref="CC16:CG16"/>
    <mergeCell ref="DW35:DX35"/>
    <mergeCell ref="CR35:CS35"/>
    <mergeCell ref="EA35:EB35"/>
    <mergeCell ref="CV35:CX35"/>
    <mergeCell ref="DY35:DZ35"/>
    <mergeCell ref="DL35:DO35"/>
    <mergeCell ref="DR35:DU35"/>
    <mergeCell ref="DA35:DC35"/>
    <mergeCell ref="DF35:DI35"/>
    <mergeCell ref="BS25:BW25"/>
    <mergeCell ref="BN18:BR18"/>
    <mergeCell ref="BS18:BW18"/>
    <mergeCell ref="A7:CG7"/>
    <mergeCell ref="Z35:AD35"/>
    <mergeCell ref="AO29:AS29"/>
    <mergeCell ref="U35:Y35"/>
    <mergeCell ref="AT30:AX30"/>
    <mergeCell ref="N33:S33"/>
    <mergeCell ref="AT29:AX29"/>
    <mergeCell ref="A29:H29"/>
    <mergeCell ref="P29:T29"/>
    <mergeCell ref="AO30:AS30"/>
    <mergeCell ref="AM33:AP33"/>
    <mergeCell ref="AL32:AN32"/>
    <mergeCell ref="AP32:AW32"/>
    <mergeCell ref="AJ27:AN27"/>
    <mergeCell ref="AJ29:AN29"/>
    <mergeCell ref="P28:T28"/>
    <mergeCell ref="AT27:AX27"/>
    <mergeCell ref="AO27:AS27"/>
    <mergeCell ref="I22:O22"/>
    <mergeCell ref="A25:H25"/>
    <mergeCell ref="BX20:CB20"/>
    <mergeCell ref="AO24:AS24"/>
    <mergeCell ref="AY29:BC29"/>
    <mergeCell ref="AJ30:AN30"/>
    <mergeCell ref="BD27:BH27"/>
    <mergeCell ref="CI7:CL8"/>
    <mergeCell ref="CI9:CJ9"/>
    <mergeCell ref="CI10:CJ10"/>
    <mergeCell ref="CI11:CJ11"/>
    <mergeCell ref="BX22:CB22"/>
    <mergeCell ref="BN28:BR28"/>
    <mergeCell ref="CI21:CL22"/>
    <mergeCell ref="BN26:BR26"/>
    <mergeCell ref="BS21:BW21"/>
    <mergeCell ref="BX27:CB27"/>
    <mergeCell ref="CC17:CG17"/>
    <mergeCell ref="BX21:CB21"/>
    <mergeCell ref="BS19:BW19"/>
    <mergeCell ref="BR9:BY9"/>
    <mergeCell ref="CC18:CG18"/>
    <mergeCell ref="CC19:CG19"/>
    <mergeCell ref="CC21:CG21"/>
    <mergeCell ref="CC22:CG22"/>
    <mergeCell ref="CC23:CG23"/>
    <mergeCell ref="CC24:CG24"/>
    <mergeCell ref="A4:G4"/>
    <mergeCell ref="A5:G5"/>
    <mergeCell ref="BM4:BV4"/>
    <mergeCell ref="BB5:BL5"/>
    <mergeCell ref="AQ5:AZ5"/>
    <mergeCell ref="S10:U10"/>
    <mergeCell ref="BR3:CG3"/>
    <mergeCell ref="AO39:AS39"/>
    <mergeCell ref="AT37:AX37"/>
    <mergeCell ref="A30:AD30"/>
    <mergeCell ref="Z19:AD19"/>
    <mergeCell ref="A28:H28"/>
    <mergeCell ref="I38:O38"/>
    <mergeCell ref="I37:O37"/>
    <mergeCell ref="A39:H39"/>
    <mergeCell ref="AO19:AS19"/>
    <mergeCell ref="AO20:AS20"/>
    <mergeCell ref="AO22:AS22"/>
    <mergeCell ref="AY23:BC23"/>
    <mergeCell ref="U19:Y19"/>
    <mergeCell ref="AJ19:AN19"/>
    <mergeCell ref="AJ20:AN20"/>
    <mergeCell ref="U22:Y22"/>
    <mergeCell ref="AJ26:AN26"/>
    <mergeCell ref="Z41:AD41"/>
    <mergeCell ref="Z42:AD42"/>
    <mergeCell ref="Z43:AD43"/>
    <mergeCell ref="Z44:AD44"/>
    <mergeCell ref="Z45:AD45"/>
    <mergeCell ref="Z46:AD46"/>
    <mergeCell ref="A3:BQ3"/>
    <mergeCell ref="BI27:BM27"/>
    <mergeCell ref="BD26:BH26"/>
    <mergeCell ref="BI26:BM26"/>
    <mergeCell ref="AY25:BC25"/>
    <mergeCell ref="AY24:BC24"/>
    <mergeCell ref="BI25:BM25"/>
    <mergeCell ref="AY26:BC26"/>
    <mergeCell ref="BD25:BH25"/>
    <mergeCell ref="AJ18:AN18"/>
    <mergeCell ref="AE18:AI18"/>
    <mergeCell ref="AE19:AI19"/>
    <mergeCell ref="U20:Y20"/>
    <mergeCell ref="AT20:AX20"/>
    <mergeCell ref="AE20:AI20"/>
    <mergeCell ref="AE21:AI21"/>
    <mergeCell ref="AJ21:AN21"/>
    <mergeCell ref="P20:T20"/>
  </mergeCells>
  <phoneticPr fontId="2" type="noConversion"/>
  <conditionalFormatting sqref="O11 L10:AB10 BR10 N14:S15 AM15 BN14:BQ15 AH15 BR13 BB13 AH34:AP34 N33:S34 BB32 BN33:BQ34 BR32 F59 AP32 CK46:CK49 A28:BC29 P47:T48 Z47:BC48 Z18:BC27">
    <cfRule type="containsBlanks" dxfId="127" priority="29" stopIfTrue="1">
      <formula>LEN(TRIM(A10))=0</formula>
    </cfRule>
  </conditionalFormatting>
  <conditionalFormatting sqref="BR9 BR11 BN30 BX30 BD30 AT30 AJ30 A37:O48 BR54 AK54 C54 CC30 BD18:CG29 BD37:CG48 BR1:CG2 AH14 AP13 I4:T5 Y4 AC5 AI4 BX49 BN49 BD49 AT49 AJ49 CC49 A52:CG52 Z59:CG59 AH33 CK50 U47:Y48">
    <cfRule type="containsBlanks" dxfId="126" priority="26" stopIfTrue="1">
      <formula>LEN(TRIM(A1))=0</formula>
    </cfRule>
  </conditionalFormatting>
  <conditionalFormatting sqref="BB4:BL5">
    <cfRule type="containsBlanks" dxfId="125" priority="19" stopIfTrue="1">
      <formula>LEN(TRIM(BB4))=0</formula>
    </cfRule>
  </conditionalFormatting>
  <conditionalFormatting sqref="BX4:CG5">
    <cfRule type="containsBlanks" dxfId="124" priority="18" stopIfTrue="1">
      <formula>LEN(TRIM(BX4))=0</formula>
    </cfRule>
  </conditionalFormatting>
  <conditionalFormatting sqref="AQ9:AX11">
    <cfRule type="containsBlanks" dxfId="123" priority="17" stopIfTrue="1">
      <formula>LEN(TRIM(AQ9))=0</formula>
    </cfRule>
  </conditionalFormatting>
  <conditionalFormatting sqref="L9:AB9">
    <cfRule type="containsBlanks" dxfId="122" priority="15" stopIfTrue="1">
      <formula>LEN(TRIM(L9))=0</formula>
    </cfRule>
  </conditionalFormatting>
  <conditionalFormatting sqref="A18:O27 U18:AD27">
    <cfRule type="containsBlanks" dxfId="121" priority="14" stopIfTrue="1">
      <formula>LEN(TRIM(A18))=0</formula>
    </cfRule>
  </conditionalFormatting>
  <conditionalFormatting sqref="AE18:AI27">
    <cfRule type="containsBlanks" dxfId="120" priority="11" stopIfTrue="1">
      <formula>LEN(TRIM(AE18))=0</formula>
    </cfRule>
  </conditionalFormatting>
  <conditionalFormatting sqref="P18:T27">
    <cfRule type="containsBlanks" dxfId="119" priority="9" stopIfTrue="1">
      <formula>LEN(TRIM(P18))=0</formula>
    </cfRule>
  </conditionalFormatting>
  <conditionalFormatting sqref="U37:Y46">
    <cfRule type="containsBlanks" dxfId="118" priority="7" stopIfTrue="1">
      <formula>LEN(TRIM(U37))=0</formula>
    </cfRule>
  </conditionalFormatting>
  <conditionalFormatting sqref="P37:T46">
    <cfRule type="containsBlanks" dxfId="117" priority="5" stopIfTrue="1">
      <formula>LEN(TRIM(P37))=0</formula>
    </cfRule>
  </conditionalFormatting>
  <conditionalFormatting sqref="Z37:BC46">
    <cfRule type="containsBlanks" dxfId="116" priority="4" stopIfTrue="1">
      <formula>LEN(TRIM(Z37))=0</formula>
    </cfRule>
  </conditionalFormatting>
  <conditionalFormatting sqref="Z37:AD46">
    <cfRule type="containsBlanks" dxfId="115" priority="3" stopIfTrue="1">
      <formula>LEN(TRIM(Z37))=0</formula>
    </cfRule>
  </conditionalFormatting>
  <conditionalFormatting sqref="AE37:AI46">
    <cfRule type="containsBlanks" dxfId="114" priority="2" stopIfTrue="1">
      <formula>LEN(TRIM(AE37))=0</formula>
    </cfRule>
  </conditionalFormatting>
  <conditionalFormatting sqref="AE37:AI38">
    <cfRule type="containsBlanks" dxfId="113" priority="1" stopIfTrue="1">
      <formula>LEN(TRIM(AE37))=0</formula>
    </cfRule>
  </conditionalFormatting>
  <dataValidations xWindow="235" yWindow="572" count="50">
    <dataValidation type="list" allowBlank="1" showInputMessage="1" showErrorMessage="1" sqref="Z36:AD36 Z17:AD17 AO17:AS17 AO36:AS36" xr:uid="{00000000-0002-0000-0600-000000000000}">
      <formula1>$CN$29:$CN$30</formula1>
    </dataValidation>
    <dataValidation type="list" allowBlank="1" showInputMessage="1" showErrorMessage="1" sqref="AJ17:AN17" xr:uid="{00000000-0002-0000-0600-000001000000}">
      <formula1>$CN$34:$CN$35</formula1>
    </dataValidation>
    <dataValidation type="list" allowBlank="1" showInputMessage="1" showErrorMessage="1" sqref="P16:T16" xr:uid="{00000000-0002-0000-0600-000002000000}">
      <formula1>$CN$18:$CN$20</formula1>
    </dataValidation>
    <dataValidation type="list" allowBlank="1" showInputMessage="1" showErrorMessage="1" sqref="AY17:BC17" xr:uid="{00000000-0002-0000-0600-000003000000}">
      <formula1>$CN$39:$CN$40</formula1>
    </dataValidation>
    <dataValidation type="list" allowBlank="1" showInputMessage="1" showErrorMessage="1" prompt="Advise whether list corrections were made on arrival" sqref="BN15:BQ15" xr:uid="{00000000-0002-0000-0600-000004000000}">
      <formula1>$CN$13:$CN$14</formula1>
    </dataValidation>
    <dataValidation type="list" allowBlank="1" showInputMessage="1" showErrorMessage="1" sqref="U17:Y17" xr:uid="{00000000-0002-0000-0600-000005000000}">
      <formula1>$CN$24:$CN$25</formula1>
    </dataValidation>
    <dataValidation allowBlank="1" showInputMessage="1" showErrorMessage="1" prompt="Enter the vessel's last port of call" sqref="L9:AB9" xr:uid="{F6967397-BD01-48AF-BE3D-855B2B3DCED7}"/>
    <dataValidation allowBlank="1" showInputMessage="1" showErrorMessage="1" prompt="Enter the date vessel sailed from the last port of call" sqref="L10:R10" xr:uid="{00000000-0002-0000-0600-000007000000}"/>
    <dataValidation allowBlank="1" showInputMessage="1" showErrorMessage="1" prompt="Enter the time vessel sailed from the last port of call" sqref="W10:AB10" xr:uid="{00000000-0002-0000-0600-000008000000}"/>
    <dataValidation allowBlank="1" showInputMessage="1" showErrorMessage="1" prompt="Enter the amount of bunkers on departure from the last port of call as advised by the vessel" sqref="O11:V11" xr:uid="{00000000-0002-0000-0600-000009000000}"/>
    <dataValidation allowBlank="1" showInputMessage="1" showErrorMessage="1" prompt="Enter the consumption rate at sea as advised by the vessel" sqref="AQ9:AX9" xr:uid="{E87BFFA3-F157-430D-8A8D-F810BD48322D}"/>
    <dataValidation allowBlank="1" showInputMessage="1" showErrorMessage="1" prompt="Enter the consumption rate in port as advised by the vessel" sqref="AQ10:AX10" xr:uid="{D44D793A-BCAF-44E9-B02C-1C233B72DE2A}"/>
    <dataValidation allowBlank="1" showInputMessage="1" showErrorMessage="1" prompt="Enter the consumption rate at anchorage as advised by the vessel" sqref="AQ11:AX11" xr:uid="{882C0FF1-D9F4-43F7-B3DE-87D083D585A9}"/>
    <dataValidation allowBlank="1" showInputMessage="1" showErrorMessage="1" prompt="Enter the quantity of bunkers consumed during the survey" sqref="BR10:BY10" xr:uid="{00000000-0002-0000-0600-00000D000000}"/>
    <dataValidation allowBlank="1" showInputMessage="1" showErrorMessage="1" prompt="Enter the name of the vessel tank" sqref="A18:H18" xr:uid="{42ECC8CB-9FA1-4072-A6B0-98619F4E69EF}"/>
    <dataValidation allowBlank="1" showInputMessage="1" showErrorMessage="1" prompt="Enter the grade of fuel within the tank" sqref="I18:O27" xr:uid="{B675A668-7544-401C-8693-A835241B2DEF}"/>
    <dataValidation allowBlank="1" showInputMessage="1" showErrorMessage="1" promptTitle="Opening Density" prompt="Enter the density/API/specific gravity of the fuel within the tank as advised by the vessel. Ensure that it is correctly stated above." sqref="P18:T27 P37:T46" xr:uid="{00000000-0002-0000-0600-000010000000}"/>
    <dataValidation allowBlank="1" showInputMessage="1" showErrorMessage="1" prompt="Enter the reference height in metres or in Ft&amp;In, this should be available in the vessels calibration tables. Ensure to select the correct units above._x000a_" sqref="U18:Y20 U37:Y39" xr:uid="{8E4C6E7C-EFA1-4214-B952-452A532DFC38}"/>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AJ37:AN37" xr:uid="{00000000-0002-0000-0600-000014000000}"/>
    <dataValidation allowBlank="1" showInputMessage="1" showErrorMessage="1" promptTitle="Opening Soundings" prompt="Enter if any Free Water (F.W.) was observed during the soundings." sqref="AO18:AS18 AO37:AS37" xr:uid="{00000000-0002-0000-0600-000015000000}"/>
    <dataValidation allowBlank="1" showInputMessage="1" showErrorMessage="1" promptTitle="Opening Soundings" prompt="Calculate the volume of F.W. This can be entered in m³ or barrels, ensure the correct units are selected above." sqref="AT18:AX18 AT37:AX37" xr:uid="{00000000-0002-0000-0600-000016000000}"/>
    <dataValidation allowBlank="1" showInputMessage="1" showErrorMessage="1" promptTitle="Opening Temperatures" prompt="Enter the temperature of the fuel within the tank in either °C or °F. Ensure the correct units are selected above." sqref="AY18:BC18 AY37:BC37" xr:uid="{00000000-0002-0000-0600-000017000000}"/>
    <dataValidation allowBlank="1" sqref="U36:Y36" xr:uid="{00000000-0002-0000-0600-00001F000000}"/>
    <dataValidation allowBlank="1" prompt="Enter the reference height in metres or in Ft&amp;In, this should be available in the vessels calibration tables. Ensure to select the correct units above._x000a_" sqref="U47:Y48" xr:uid="{00000000-0002-0000-0600-000020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0600-000021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0600-000022000000}"/>
    <dataValidation type="list" allowBlank="1" showInputMessage="1" showErrorMessage="1" sqref="AM15 AM34" xr:uid="{00000000-0002-0000-0600-000023000000}">
      <formula1>$CN$64:$CN$65</formula1>
    </dataValidation>
    <dataValidation type="list" allowBlank="1" showInputMessage="1" showErrorMessage="1" sqref="T14 T33" xr:uid="{00000000-0002-0000-0600-000024000000}">
      <formula1>$CN$8:$CN$9</formula1>
    </dataValidation>
    <dataValidation allowBlank="1" showInputMessage="1" showErrorMessage="1" prompt="Please enter the name of the company that has certified/created the calibration table." sqref="BB4:BL4" xr:uid="{F5441DC2-D857-4ED9-877E-8ED59BF65FF5}"/>
    <dataValidation operator="greaterThan" allowBlank="1" showInputMessage="1" showErrorMessage="1" prompt="Enter the date of the calibration table_x000a_" sqref="BB5:BL5" xr:uid="{66C08E41-BDBE-4328-8BD9-EFD07B6FD37F}"/>
    <dataValidation allowBlank="1" showInputMessage="1" showErrorMessage="1" prompt="Enter the serial number of the sounding tape used" sqref="BX4:CG4" xr:uid="{F185F23F-A425-4225-ADD4-0DBCBCF68FE7}"/>
    <dataValidation allowBlank="1" showInputMessage="1" showErrorMessage="1" prompt="Enter the serial number of the thermometer used" sqref="BX5:CG5" xr:uid="{A38D58CC-84C8-4F9E-9FA8-88948D780CA5}"/>
    <dataValidation allowBlank="1" showInputMessage="1" showErrorMessage="1" prompt="Advise the list of the vessel when closing soundings were made and select either °P or °S in the adjacent box" sqref="AH34:AL34" xr:uid="{00000000-0002-0000-0600-000029000000}"/>
    <dataValidation allowBlank="1" showInputMessage="1" showErrorMessage="1" prompt="Advise time that the opening soundings were made_x000a_" sqref="BB13:BI13" xr:uid="{00000000-0002-0000-0600-00002A000000}"/>
    <dataValidation type="list" allowBlank="1" showInputMessage="1" showErrorMessage="1" prompt="Advise whether trim corrections were made on arrival" sqref="BN14:BQ14" xr:uid="{00000000-0002-0000-0600-00002B000000}">
      <formula1>$CN$13:$CN$14</formula1>
    </dataValidation>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0600-00002C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0600-00002D000000}"/>
    <dataValidation allowBlank="1" showInputMessage="1" showErrorMessage="1" prompt="Advise the list of the vessel when opening soundings were made and select either °P or °S in the adjacent box" sqref="AH15:AL15" xr:uid="{00000000-0002-0000-0600-00002E000000}"/>
    <dataValidation allowBlank="1" showInputMessage="1" showErrorMessage="1" prompt="Advise time that the closing soundings were made_x000a_" sqref="BB32:BI32" xr:uid="{00000000-0002-0000-0600-00002F000000}"/>
    <dataValidation type="list" allowBlank="1" showInputMessage="1" showErrorMessage="1" prompt="Advise whether trim corrections were made on departure" sqref="BN33:BQ33" xr:uid="{00000000-0002-0000-0600-000030000000}">
      <formula1>$CN$13:$CN$14</formula1>
    </dataValidation>
    <dataValidation type="list" allowBlank="1" showInputMessage="1" showErrorMessage="1" prompt="Advise whether list corrections were made on departure_x000a_" sqref="BN34:BQ34" xr:uid="{00000000-0002-0000-0600-000031000000}">
      <formula1>$CN$13:$CN$14</formula1>
    </dataValidation>
    <dataValidation type="list" allowBlank="1" showInputMessage="1" showErrorMessage="1" prompt="Advise the sea condition during the opening soundings" sqref="BR13:CG13" xr:uid="{00000000-0002-0000-0600-000032000000}">
      <formula1>$CN$57:$CN$60</formula1>
    </dataValidation>
    <dataValidation type="list" allowBlank="1" showInputMessage="1" showErrorMessage="1" prompt="Advise the sea condition during the closing soundings" sqref="BR32:CG32" xr:uid="{00000000-0002-0000-0600-000033000000}">
      <formula1>$CN$57:$CN$60</formula1>
    </dataValidation>
    <dataValidation allowBlank="1" showInputMessage="1" showErrorMessage="1" promptTitle="Laboratory Density" prompt="If sample is analysed in the laboratory please enter the laboratory density." sqref="F59:Y59" xr:uid="{00000000-0002-0000-0600-000034000000}"/>
    <dataValidation allowBlank="1" showInputMessage="1" showErrorMessage="1" prompt="Advise date closing measurements were made" sqref="AP32:AW32" xr:uid="{842BD0B1-AC41-4B71-8B53-3A6149C0CC28}"/>
    <dataValidation allowBlank="1" showInputMessage="1" showErrorMessage="1" prompt="Use the GOV of the tank before bunkering" sqref="CK46" xr:uid="{C21ACAF5-506E-4F7B-803A-9EB1C9E37D05}"/>
    <dataValidation allowBlank="1" showInputMessage="1" showErrorMessage="1" prompt="Use the GOV of the tank after bunkering" sqref="CK47" xr:uid="{07F2048F-4C30-4B19-BEC1-A2AADC4C8FB9}"/>
    <dataValidation allowBlank="1" showInputMessage="1" showErrorMessage="1" prompt="Use the density of the fuel within the tank as advised by the C/E" sqref="CK48" xr:uid="{2ABCA594-665F-4B9F-863D-CAA5556510C6}"/>
    <dataValidation allowBlank="1" showInputMessage="1" showErrorMessage="1" prompt="Use the density of the supplied fuel as advised by the barge/supplier" sqref="CK49" xr:uid="{AA7178EE-4D9B-494C-AE98-82C448038534}"/>
    <dataValidation allowBlank="1" showInputMessage="1" showErrorMessage="1" promptTitle="Opening Soundings" prompt="Enter observed innage/ullage figures. Ensure that innage or ullage is correctly stated above." sqref="Z18:AI18 Z37:AI37" xr:uid="{00000000-0002-0000-0600-000012000000}"/>
  </dataValidations>
  <printOptions horizontalCentered="1" verticalCentered="1"/>
  <pageMargins left="0.23622047244094491" right="0.23622047244094491" top="0.23622047244094491" bottom="0.23622047244094491" header="0.51181102362204722" footer="0.23622047244094491"/>
  <pageSetup scale="94" orientation="landscape" horizontalDpi="4294967293" r:id="rId1"/>
  <headerFooter alignWithMargins="0">
    <oddFooter>&amp;C&amp;06 &amp;P &amp;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4">
    <tabColor rgb="FF92D050"/>
    <pageSetUpPr fitToPage="1"/>
  </sheetPr>
  <dimension ref="A1:EB69"/>
  <sheetViews>
    <sheetView topLeftCell="A7" zoomScaleNormal="100" workbookViewId="0">
      <selection activeCell="CI5" sqref="CI5"/>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5" t="s">
        <v>280</v>
      </c>
      <c r="BM1" s="155"/>
      <c r="BN1" s="155"/>
      <c r="BO1" s="155"/>
      <c r="BP1" s="155"/>
      <c r="BQ1" s="90" t="s">
        <v>0</v>
      </c>
      <c r="BR1" s="155" t="str">
        <f>IF('Data Entry'!N28="","",'Data Entry'!N28)</f>
        <v/>
      </c>
      <c r="BS1" s="155"/>
      <c r="BT1" s="155"/>
      <c r="BU1" s="155"/>
      <c r="BV1" s="155"/>
      <c r="BW1" s="155"/>
      <c r="BX1" s="155"/>
      <c r="BY1" s="155"/>
      <c r="BZ1" s="155"/>
      <c r="CA1" s="155"/>
      <c r="CB1" s="155"/>
      <c r="CC1" s="155"/>
      <c r="CD1" s="155"/>
      <c r="CE1" s="155"/>
      <c r="CF1" s="155"/>
      <c r="CG1" s="155"/>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394" t="s">
        <v>541</v>
      </c>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BK2" s="394"/>
      <c r="BL2" s="155" t="s">
        <v>281</v>
      </c>
      <c r="BM2" s="155"/>
      <c r="BN2" s="155"/>
      <c r="BO2" s="155"/>
      <c r="BP2" s="155"/>
      <c r="BQ2" s="90" t="s">
        <v>0</v>
      </c>
      <c r="BR2" s="155" t="str">
        <f>IF('Data Entry'!N39="","",'Data Entry'!N39)</f>
        <v>SC17124</v>
      </c>
      <c r="BS2" s="155"/>
      <c r="BT2" s="155"/>
      <c r="BU2" s="155"/>
      <c r="BV2" s="155"/>
      <c r="BW2" s="155"/>
      <c r="BX2" s="155"/>
      <c r="BY2" s="155"/>
      <c r="BZ2" s="155"/>
      <c r="CA2" s="155"/>
      <c r="CB2" s="155"/>
      <c r="CC2" s="155"/>
      <c r="CD2" s="155"/>
      <c r="CE2" s="155"/>
      <c r="CF2" s="155"/>
      <c r="CG2" s="155"/>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92" t="str">
        <f>IF('Data Entry'!N10="","",'Data Entry'!N10)</f>
        <v/>
      </c>
      <c r="Z4" s="392"/>
      <c r="AA4" s="392"/>
      <c r="AB4" s="392"/>
      <c r="AC4" s="392"/>
      <c r="AD4" s="392"/>
      <c r="AE4" s="155" t="s">
        <v>25</v>
      </c>
      <c r="AF4" s="155"/>
      <c r="AG4" s="155"/>
      <c r="AH4" s="90" t="s">
        <v>0</v>
      </c>
      <c r="AI4" s="155"/>
      <c r="AJ4" s="155"/>
      <c r="AK4" s="155"/>
      <c r="AL4" s="155"/>
      <c r="AM4" s="155"/>
      <c r="AN4" s="155"/>
      <c r="AO4" s="155"/>
      <c r="AP4" s="155"/>
      <c r="AQ4" s="155" t="s">
        <v>421</v>
      </c>
      <c r="AR4" s="155"/>
      <c r="AS4" s="155"/>
      <c r="AT4" s="155"/>
      <c r="AU4" s="155"/>
      <c r="AV4" s="155"/>
      <c r="AW4" s="155"/>
      <c r="AX4" s="155"/>
      <c r="AY4" s="155"/>
      <c r="AZ4" s="155"/>
      <c r="BA4" s="90" t="s">
        <v>0</v>
      </c>
      <c r="BB4" s="155"/>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Entry'!N12="","",'Data Entry'!N12)</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92"/>
      <c r="BC5" s="392"/>
      <c r="BD5" s="392"/>
      <c r="BE5" s="392"/>
      <c r="BF5" s="392"/>
      <c r="BG5" s="392"/>
      <c r="BH5" s="392"/>
      <c r="BI5" s="392"/>
      <c r="BJ5" s="392"/>
      <c r="BK5" s="392"/>
      <c r="BL5" s="392"/>
      <c r="BM5" s="155" t="s">
        <v>424</v>
      </c>
      <c r="BN5" s="155"/>
      <c r="BO5" s="155"/>
      <c r="BP5" s="155"/>
      <c r="BQ5" s="155"/>
      <c r="BR5" s="155"/>
      <c r="BS5" s="155"/>
      <c r="BT5" s="155"/>
      <c r="BU5" s="155"/>
      <c r="BV5" s="155"/>
      <c r="BW5" s="90" t="s">
        <v>0</v>
      </c>
      <c r="BX5" s="155"/>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336" t="s">
        <v>3</v>
      </c>
      <c r="B7" s="336"/>
      <c r="C7" s="336"/>
      <c r="D7" s="336"/>
      <c r="E7" s="336"/>
      <c r="F7" s="336"/>
      <c r="G7" s="336"/>
      <c r="H7" s="336"/>
      <c r="I7" s="336"/>
      <c r="J7" s="336"/>
      <c r="K7" s="336"/>
      <c r="L7" s="336"/>
      <c r="M7" s="336"/>
      <c r="N7" s="336"/>
      <c r="O7" s="336"/>
      <c r="P7" s="336"/>
      <c r="Q7" s="336"/>
      <c r="R7" s="336"/>
      <c r="S7" s="336"/>
      <c r="T7" s="336"/>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336"/>
      <c r="BB7" s="336"/>
      <c r="BC7" s="336"/>
      <c r="BD7" s="336"/>
      <c r="BE7" s="336"/>
      <c r="BF7" s="336"/>
      <c r="BG7" s="336"/>
      <c r="BH7" s="336"/>
      <c r="BI7" s="336"/>
      <c r="BJ7" s="336"/>
      <c r="BK7" s="336"/>
      <c r="BL7" s="336"/>
      <c r="BM7" s="336"/>
      <c r="BN7" s="336"/>
      <c r="BO7" s="336"/>
      <c r="BP7" s="336"/>
      <c r="BQ7" s="336"/>
      <c r="BR7" s="336"/>
      <c r="BS7" s="336"/>
      <c r="BT7" s="336"/>
      <c r="BU7" s="336"/>
      <c r="BV7" s="336"/>
      <c r="BW7" s="336"/>
      <c r="BX7" s="336"/>
      <c r="BY7" s="336"/>
      <c r="BZ7" s="336"/>
      <c r="CA7" s="336"/>
      <c r="CB7" s="336"/>
      <c r="CC7" s="336"/>
      <c r="CD7" s="336"/>
      <c r="CE7" s="336"/>
      <c r="CF7" s="336"/>
      <c r="CG7" s="336"/>
      <c r="CI7" s="323" t="s">
        <v>169</v>
      </c>
      <c r="CJ7" s="324"/>
      <c r="CK7" s="324"/>
      <c r="CL7" s="325"/>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367"/>
      <c r="AC8" s="195" t="s">
        <v>515</v>
      </c>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367"/>
      <c r="BC8" s="195" t="s">
        <v>348</v>
      </c>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I8" s="326"/>
      <c r="CJ8" s="327"/>
      <c r="CK8" s="327"/>
      <c r="CL8" s="328"/>
      <c r="CN8" s="107" t="s">
        <v>192</v>
      </c>
    </row>
    <row r="9" spans="1:132" ht="11.45" customHeight="1" x14ac:dyDescent="0.2">
      <c r="A9" s="155" t="s">
        <v>4</v>
      </c>
      <c r="B9" s="155"/>
      <c r="C9" s="155"/>
      <c r="D9" s="155"/>
      <c r="E9" s="155"/>
      <c r="F9" s="155"/>
      <c r="G9" s="155"/>
      <c r="H9" s="155"/>
      <c r="I9" s="155"/>
      <c r="J9" s="155"/>
      <c r="K9" s="91" t="s">
        <v>0</v>
      </c>
      <c r="L9" s="182"/>
      <c r="M9" s="182"/>
      <c r="N9" s="182"/>
      <c r="O9" s="182"/>
      <c r="P9" s="182"/>
      <c r="Q9" s="182"/>
      <c r="R9" s="182"/>
      <c r="S9" s="182"/>
      <c r="T9" s="182"/>
      <c r="U9" s="182"/>
      <c r="V9" s="182"/>
      <c r="W9" s="182"/>
      <c r="X9" s="182"/>
      <c r="Y9" s="182"/>
      <c r="Z9" s="182"/>
      <c r="AA9" s="182"/>
      <c r="AB9" s="182"/>
      <c r="AC9" s="330" t="s">
        <v>189</v>
      </c>
      <c r="AD9" s="155"/>
      <c r="AE9" s="155"/>
      <c r="AF9" s="155"/>
      <c r="AG9" s="155"/>
      <c r="AH9" s="155"/>
      <c r="AI9" s="155"/>
      <c r="AJ9" s="155"/>
      <c r="AK9" s="155"/>
      <c r="AL9" s="155"/>
      <c r="AM9" s="155"/>
      <c r="AN9" s="155"/>
      <c r="AO9" s="155"/>
      <c r="AP9" s="91" t="s">
        <v>0</v>
      </c>
      <c r="AQ9" s="364"/>
      <c r="AR9" s="364"/>
      <c r="AS9" s="364"/>
      <c r="AT9" s="364"/>
      <c r="AU9" s="364"/>
      <c r="AV9" s="364"/>
      <c r="AW9" s="364"/>
      <c r="AX9" s="364"/>
      <c r="AY9" s="155" t="s">
        <v>173</v>
      </c>
      <c r="AZ9" s="155"/>
      <c r="BA9" s="155"/>
      <c r="BB9" s="366"/>
      <c r="BC9" s="330" t="s">
        <v>231</v>
      </c>
      <c r="BD9" s="155"/>
      <c r="BE9" s="155"/>
      <c r="BF9" s="155"/>
      <c r="BG9" s="155"/>
      <c r="BH9" s="155"/>
      <c r="BI9" s="155"/>
      <c r="BJ9" s="155"/>
      <c r="BK9" s="155"/>
      <c r="BL9" s="155"/>
      <c r="BM9" s="155"/>
      <c r="BN9" s="155"/>
      <c r="BO9" s="155"/>
      <c r="BP9" s="155"/>
      <c r="BQ9" s="91" t="s">
        <v>0</v>
      </c>
      <c r="BR9" s="335" t="str">
        <f>IF(OR(BX30="",BX49=""),"",ABS(ROUND(BX30-BX49,3)))</f>
        <v/>
      </c>
      <c r="BS9" s="335"/>
      <c r="BT9" s="335"/>
      <c r="BU9" s="335"/>
      <c r="BV9" s="335"/>
      <c r="BW9" s="335"/>
      <c r="BX9" s="335"/>
      <c r="BY9" s="335"/>
      <c r="BZ9" s="155" t="s">
        <v>173</v>
      </c>
      <c r="CA9" s="155"/>
      <c r="CB9" s="155"/>
      <c r="CC9" s="155"/>
      <c r="CD9" s="155"/>
      <c r="CE9" s="155"/>
      <c r="CF9" s="155"/>
      <c r="CG9" s="155"/>
      <c r="CI9" s="329" t="s">
        <v>168</v>
      </c>
      <c r="CJ9" s="159"/>
      <c r="CK9" s="20" t="e">
        <f>((AP32+BB32)-(AP13+BB13))*24</f>
        <v>#VALUE!</v>
      </c>
      <c r="CL9" s="21" t="s">
        <v>172</v>
      </c>
      <c r="CN9" s="2" t="s">
        <v>193</v>
      </c>
    </row>
    <row r="10" spans="1:132" ht="11.45" customHeight="1" x14ac:dyDescent="0.2">
      <c r="A10" s="155" t="s">
        <v>26</v>
      </c>
      <c r="B10" s="155"/>
      <c r="C10" s="155"/>
      <c r="D10" s="155"/>
      <c r="E10" s="155"/>
      <c r="F10" s="155"/>
      <c r="G10" s="155"/>
      <c r="H10" s="155"/>
      <c r="I10" s="155"/>
      <c r="J10" s="155"/>
      <c r="K10" s="91" t="s">
        <v>0</v>
      </c>
      <c r="L10" s="236"/>
      <c r="M10" s="236"/>
      <c r="N10" s="236"/>
      <c r="O10" s="236"/>
      <c r="P10" s="236"/>
      <c r="Q10" s="236"/>
      <c r="R10" s="236"/>
      <c r="S10" s="315" t="s">
        <v>16</v>
      </c>
      <c r="T10" s="315"/>
      <c r="U10" s="315"/>
      <c r="V10" s="91" t="s">
        <v>0</v>
      </c>
      <c r="W10" s="156"/>
      <c r="X10" s="156"/>
      <c r="Y10" s="156"/>
      <c r="Z10" s="156"/>
      <c r="AA10" s="156"/>
      <c r="AB10" s="156"/>
      <c r="AC10" s="330" t="s">
        <v>190</v>
      </c>
      <c r="AD10" s="155"/>
      <c r="AE10" s="155"/>
      <c r="AF10" s="155"/>
      <c r="AG10" s="155"/>
      <c r="AH10" s="155"/>
      <c r="AI10" s="155"/>
      <c r="AJ10" s="155"/>
      <c r="AK10" s="155"/>
      <c r="AL10" s="155"/>
      <c r="AM10" s="155"/>
      <c r="AN10" s="155"/>
      <c r="AO10" s="155"/>
      <c r="AP10" s="91" t="s">
        <v>0</v>
      </c>
      <c r="AQ10" s="364"/>
      <c r="AR10" s="364"/>
      <c r="AS10" s="364"/>
      <c r="AT10" s="364"/>
      <c r="AU10" s="364"/>
      <c r="AV10" s="364"/>
      <c r="AW10" s="364"/>
      <c r="AX10" s="364"/>
      <c r="AY10" s="155" t="s">
        <v>173</v>
      </c>
      <c r="AZ10" s="155"/>
      <c r="BA10" s="155"/>
      <c r="BB10" s="366"/>
      <c r="BC10" s="330" t="s">
        <v>194</v>
      </c>
      <c r="BD10" s="155"/>
      <c r="BE10" s="155"/>
      <c r="BF10" s="155"/>
      <c r="BG10" s="155"/>
      <c r="BH10" s="155"/>
      <c r="BI10" s="155"/>
      <c r="BJ10" s="155"/>
      <c r="BK10" s="155"/>
      <c r="BL10" s="155"/>
      <c r="BM10" s="155"/>
      <c r="BN10" s="155"/>
      <c r="BO10" s="155"/>
      <c r="BP10" s="155"/>
      <c r="BQ10" s="91" t="s">
        <v>0</v>
      </c>
      <c r="BR10" s="364"/>
      <c r="BS10" s="364"/>
      <c r="BT10" s="364"/>
      <c r="BU10" s="364"/>
      <c r="BV10" s="364"/>
      <c r="BW10" s="364"/>
      <c r="BX10" s="364"/>
      <c r="BY10" s="364"/>
      <c r="BZ10" s="155" t="s">
        <v>173</v>
      </c>
      <c r="CA10" s="155"/>
      <c r="CB10" s="155"/>
      <c r="CC10" s="155"/>
      <c r="CD10" s="155"/>
      <c r="CE10" s="155"/>
      <c r="CF10" s="155"/>
      <c r="CG10" s="155"/>
      <c r="CI10" s="330" t="s">
        <v>178</v>
      </c>
      <c r="CJ10" s="155"/>
      <c r="CK10" s="22">
        <f>AQ11</f>
        <v>0</v>
      </c>
      <c r="CL10" s="7" t="s">
        <v>173</v>
      </c>
    </row>
    <row r="11" spans="1:132" ht="11.45" customHeight="1" x14ac:dyDescent="0.2">
      <c r="A11" s="155" t="s">
        <v>5</v>
      </c>
      <c r="B11" s="155"/>
      <c r="C11" s="155"/>
      <c r="D11" s="155"/>
      <c r="E11" s="155"/>
      <c r="F11" s="155"/>
      <c r="G11" s="155"/>
      <c r="H11" s="155"/>
      <c r="I11" s="155"/>
      <c r="J11" s="155"/>
      <c r="K11" s="155"/>
      <c r="L11" s="155"/>
      <c r="M11" s="155"/>
      <c r="N11" s="91" t="s">
        <v>0</v>
      </c>
      <c r="O11" s="364"/>
      <c r="P11" s="364"/>
      <c r="Q11" s="364"/>
      <c r="R11" s="364"/>
      <c r="S11" s="364"/>
      <c r="T11" s="364"/>
      <c r="U11" s="364"/>
      <c r="V11" s="364"/>
      <c r="W11" s="155" t="s">
        <v>173</v>
      </c>
      <c r="X11" s="155"/>
      <c r="Y11" s="155"/>
      <c r="Z11" s="155"/>
      <c r="AA11" s="155"/>
      <c r="AB11" s="366"/>
      <c r="AC11" s="330" t="s">
        <v>191</v>
      </c>
      <c r="AD11" s="155"/>
      <c r="AE11" s="155"/>
      <c r="AF11" s="155"/>
      <c r="AG11" s="155"/>
      <c r="AH11" s="155"/>
      <c r="AI11" s="155"/>
      <c r="AJ11" s="155"/>
      <c r="AK11" s="155"/>
      <c r="AL11" s="155"/>
      <c r="AM11" s="155"/>
      <c r="AN11" s="155"/>
      <c r="AO11" s="155"/>
      <c r="AP11" s="91" t="s">
        <v>0</v>
      </c>
      <c r="AQ11" s="364"/>
      <c r="AR11" s="364"/>
      <c r="AS11" s="364"/>
      <c r="AT11" s="364"/>
      <c r="AU11" s="364"/>
      <c r="AV11" s="364"/>
      <c r="AW11" s="364"/>
      <c r="AX11" s="364"/>
      <c r="AY11" s="155" t="s">
        <v>173</v>
      </c>
      <c r="AZ11" s="155"/>
      <c r="BA11" s="155"/>
      <c r="BB11" s="366"/>
      <c r="BC11" s="330" t="s">
        <v>195</v>
      </c>
      <c r="BD11" s="155"/>
      <c r="BE11" s="155"/>
      <c r="BF11" s="155"/>
      <c r="BG11" s="155"/>
      <c r="BH11" s="155"/>
      <c r="BI11" s="155"/>
      <c r="BJ11" s="155"/>
      <c r="BK11" s="155"/>
      <c r="BL11" s="155"/>
      <c r="BM11" s="155"/>
      <c r="BN11" s="155"/>
      <c r="BO11" s="155"/>
      <c r="BP11" s="155"/>
      <c r="BQ11" s="91" t="s">
        <v>0</v>
      </c>
      <c r="BR11" s="382" t="str">
        <f>IF(OR(BR9="",BR10=""),"",ROUND(BR9+BR10,3))</f>
        <v/>
      </c>
      <c r="BS11" s="383"/>
      <c r="BT11" s="383"/>
      <c r="BU11" s="383"/>
      <c r="BV11" s="383"/>
      <c r="BW11" s="383"/>
      <c r="BX11" s="383"/>
      <c r="BY11" s="383"/>
      <c r="BZ11" s="155" t="s">
        <v>173</v>
      </c>
      <c r="CA11" s="155"/>
      <c r="CB11" s="155"/>
      <c r="CC11" s="155"/>
      <c r="CD11" s="155"/>
      <c r="CE11" s="155"/>
      <c r="CF11" s="155"/>
      <c r="CG11" s="155"/>
      <c r="CI11" s="331" t="s">
        <v>167</v>
      </c>
      <c r="CJ11" s="162"/>
      <c r="CK11" s="23" t="e">
        <f>CK10*(CK9/24)</f>
        <v>#VALUE!</v>
      </c>
      <c r="CL11" s="11" t="s">
        <v>173</v>
      </c>
    </row>
    <row r="12" spans="1:132" ht="11.45" customHeight="1" thickBot="1" x14ac:dyDescent="0.25">
      <c r="A12" s="381"/>
      <c r="B12" s="381"/>
      <c r="C12" s="381"/>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381"/>
      <c r="BB12" s="381"/>
      <c r="BC12" s="381"/>
      <c r="BD12" s="381"/>
      <c r="BE12" s="381"/>
      <c r="BF12" s="381"/>
      <c r="BG12" s="381"/>
      <c r="BH12" s="381"/>
      <c r="BI12" s="381"/>
      <c r="BJ12" s="381"/>
      <c r="BK12" s="381"/>
      <c r="BL12" s="381"/>
      <c r="BM12" s="381"/>
      <c r="BN12" s="381"/>
      <c r="BO12" s="381"/>
      <c r="BP12" s="381"/>
      <c r="BQ12" s="381"/>
      <c r="BR12" s="381"/>
      <c r="BS12" s="381"/>
      <c r="BT12" s="381"/>
      <c r="BU12" s="381"/>
      <c r="BV12" s="381"/>
      <c r="BW12" s="381"/>
      <c r="BX12" s="381"/>
      <c r="BY12" s="381"/>
      <c r="BZ12" s="381"/>
      <c r="CA12" s="381"/>
      <c r="CB12" s="381"/>
      <c r="CC12" s="381"/>
      <c r="CD12" s="381"/>
      <c r="CE12" s="381"/>
      <c r="CF12" s="381"/>
      <c r="CG12" s="381"/>
      <c r="CN12" s="1" t="s">
        <v>224</v>
      </c>
      <c r="CO12" s="91"/>
    </row>
    <row r="13" spans="1:132" ht="11.45" customHeight="1" x14ac:dyDescent="0.2">
      <c r="A13" s="336" t="s">
        <v>27</v>
      </c>
      <c r="B13" s="336"/>
      <c r="C13" s="336"/>
      <c r="D13" s="336"/>
      <c r="E13" s="336"/>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6"/>
      <c r="AH13" s="336"/>
      <c r="AI13" s="336"/>
      <c r="AJ13" s="336"/>
      <c r="AK13" s="336"/>
      <c r="AL13" s="343" t="s">
        <v>2</v>
      </c>
      <c r="AM13" s="343"/>
      <c r="AN13" s="343"/>
      <c r="AO13" s="95" t="s">
        <v>0</v>
      </c>
      <c r="AP13" s="393" t="str">
        <f>IF('Data Entry'!N10="","",'Data Entry'!N10)</f>
        <v/>
      </c>
      <c r="AQ13" s="393"/>
      <c r="AR13" s="393"/>
      <c r="AS13" s="393"/>
      <c r="AT13" s="393"/>
      <c r="AU13" s="393"/>
      <c r="AV13" s="393"/>
      <c r="AW13" s="393"/>
      <c r="AX13" s="343" t="s">
        <v>16</v>
      </c>
      <c r="AY13" s="343"/>
      <c r="AZ13" s="343"/>
      <c r="BA13" s="95" t="s">
        <v>0</v>
      </c>
      <c r="BB13" s="365"/>
      <c r="BC13" s="365"/>
      <c r="BD13" s="365"/>
      <c r="BE13" s="365"/>
      <c r="BF13" s="365"/>
      <c r="BG13" s="365"/>
      <c r="BH13" s="365"/>
      <c r="BI13" s="365"/>
      <c r="BJ13" s="343" t="s">
        <v>425</v>
      </c>
      <c r="BK13" s="343"/>
      <c r="BL13" s="343"/>
      <c r="BM13" s="343"/>
      <c r="BN13" s="343"/>
      <c r="BO13" s="343"/>
      <c r="BP13" s="343"/>
      <c r="BQ13" s="95" t="s">
        <v>0</v>
      </c>
      <c r="BR13" s="343"/>
      <c r="BS13" s="343"/>
      <c r="BT13" s="343"/>
      <c r="BU13" s="343"/>
      <c r="BV13" s="343"/>
      <c r="BW13" s="343"/>
      <c r="BX13" s="343"/>
      <c r="BY13" s="343"/>
      <c r="BZ13" s="343"/>
      <c r="CA13" s="343"/>
      <c r="CB13" s="343"/>
      <c r="CC13" s="343"/>
      <c r="CD13" s="343"/>
      <c r="CE13" s="343"/>
      <c r="CF13" s="343"/>
      <c r="CG13" s="343"/>
      <c r="CN13" s="107" t="s">
        <v>93</v>
      </c>
      <c r="CO13" s="91"/>
      <c r="CP13" s="91"/>
      <c r="CQ13" s="91"/>
    </row>
    <row r="14" spans="1:132" ht="11.45" customHeight="1" x14ac:dyDescent="0.2">
      <c r="A14" s="155"/>
      <c r="B14" s="155"/>
      <c r="C14" s="155"/>
      <c r="D14" s="155"/>
      <c r="E14" s="155"/>
      <c r="F14" s="155"/>
      <c r="G14" s="155" t="s">
        <v>196</v>
      </c>
      <c r="H14" s="155"/>
      <c r="I14" s="155"/>
      <c r="J14" s="155"/>
      <c r="K14" s="155"/>
      <c r="L14" s="155"/>
      <c r="M14" s="90" t="s">
        <v>0</v>
      </c>
      <c r="N14" s="340"/>
      <c r="O14" s="340"/>
      <c r="P14" s="340"/>
      <c r="Q14" s="340"/>
      <c r="R14" s="340"/>
      <c r="S14" s="340"/>
      <c r="T14" s="340" t="s">
        <v>192</v>
      </c>
      <c r="U14" s="340"/>
      <c r="V14" s="340"/>
      <c r="W14" s="340"/>
      <c r="X14" s="350"/>
      <c r="Y14" s="350"/>
      <c r="Z14" s="350"/>
      <c r="AA14" s="350"/>
      <c r="AB14" s="350"/>
      <c r="AC14" s="350"/>
      <c r="AD14" s="352" t="s">
        <v>427</v>
      </c>
      <c r="AE14" s="352"/>
      <c r="AF14" s="352"/>
      <c r="AG14" s="90" t="s">
        <v>0</v>
      </c>
      <c r="AH14" s="340" t="str">
        <f>IF(OR(N14="",N15=""),"",(N15-N14))</f>
        <v/>
      </c>
      <c r="AI14" s="340"/>
      <c r="AJ14" s="340"/>
      <c r="AK14" s="340"/>
      <c r="AL14" s="340"/>
      <c r="AM14" s="342" t="str">
        <f>T14</f>
        <v xml:space="preserve"> M</v>
      </c>
      <c r="AN14" s="342"/>
      <c r="AO14" s="342"/>
      <c r="AP14" s="342"/>
      <c r="AQ14" s="155"/>
      <c r="AR14" s="155"/>
      <c r="AS14" s="155"/>
      <c r="AT14" s="155"/>
      <c r="AU14" s="155"/>
      <c r="AV14" s="155"/>
      <c r="AW14" s="340" t="s">
        <v>434</v>
      </c>
      <c r="AX14" s="340"/>
      <c r="AY14" s="340"/>
      <c r="AZ14" s="340"/>
      <c r="BA14" s="340"/>
      <c r="BB14" s="340"/>
      <c r="BC14" s="340"/>
      <c r="BD14" s="340"/>
      <c r="BE14" s="340"/>
      <c r="BF14" s="340"/>
      <c r="BG14" s="340"/>
      <c r="BH14" s="340"/>
      <c r="BI14" s="340"/>
      <c r="BJ14" s="340"/>
      <c r="BK14" s="340"/>
      <c r="BL14" s="340"/>
      <c r="BM14" s="103" t="s">
        <v>0</v>
      </c>
      <c r="BN14" s="155"/>
      <c r="BO14" s="155"/>
      <c r="BP14" s="155"/>
      <c r="BQ14" s="155"/>
      <c r="BR14" s="155"/>
      <c r="BS14" s="155"/>
      <c r="BT14" s="155"/>
      <c r="BU14" s="155"/>
      <c r="BV14" s="155"/>
      <c r="BW14" s="155"/>
      <c r="BX14" s="155"/>
      <c r="BY14" s="155"/>
      <c r="BZ14" s="155"/>
      <c r="CA14" s="155"/>
      <c r="CB14" s="155"/>
      <c r="CC14" s="155"/>
      <c r="CD14" s="155"/>
      <c r="CE14" s="155"/>
      <c r="CF14" s="155"/>
      <c r="CG14" s="155"/>
      <c r="CN14" s="2" t="s">
        <v>94</v>
      </c>
      <c r="CZ14" s="91"/>
      <c r="DA14" s="91"/>
      <c r="DB14" s="91"/>
      <c r="DC14" s="91"/>
      <c r="DD14" s="91"/>
    </row>
    <row r="15" spans="1:132" ht="11.45" customHeight="1" x14ac:dyDescent="0.2">
      <c r="A15" s="162"/>
      <c r="B15" s="162"/>
      <c r="C15" s="162"/>
      <c r="D15" s="162"/>
      <c r="E15" s="162"/>
      <c r="F15" s="162"/>
      <c r="G15" s="162" t="s">
        <v>426</v>
      </c>
      <c r="H15" s="162"/>
      <c r="I15" s="162"/>
      <c r="J15" s="162"/>
      <c r="K15" s="162"/>
      <c r="L15" s="162"/>
      <c r="M15" s="90" t="s">
        <v>0</v>
      </c>
      <c r="N15" s="355"/>
      <c r="O15" s="355"/>
      <c r="P15" s="355"/>
      <c r="Q15" s="355"/>
      <c r="R15" s="355"/>
      <c r="S15" s="355"/>
      <c r="T15" s="358" t="str">
        <f>T14</f>
        <v xml:space="preserve"> M</v>
      </c>
      <c r="U15" s="358"/>
      <c r="V15" s="358"/>
      <c r="W15" s="358"/>
      <c r="X15" s="351"/>
      <c r="Y15" s="351"/>
      <c r="Z15" s="351"/>
      <c r="AA15" s="351"/>
      <c r="AB15" s="351"/>
      <c r="AC15" s="351"/>
      <c r="AD15" s="353" t="s">
        <v>428</v>
      </c>
      <c r="AE15" s="353"/>
      <c r="AF15" s="353"/>
      <c r="AG15" s="90" t="s">
        <v>0</v>
      </c>
      <c r="AH15" s="162"/>
      <c r="AI15" s="162"/>
      <c r="AJ15" s="162"/>
      <c r="AK15" s="162"/>
      <c r="AL15" s="162"/>
      <c r="AM15" s="162"/>
      <c r="AN15" s="162"/>
      <c r="AO15" s="162"/>
      <c r="AP15" s="162"/>
      <c r="AQ15" s="162"/>
      <c r="AR15" s="162"/>
      <c r="AS15" s="162"/>
      <c r="AT15" s="162"/>
      <c r="AU15" s="162"/>
      <c r="AV15" s="162"/>
      <c r="AW15" s="355" t="s">
        <v>435</v>
      </c>
      <c r="AX15" s="355"/>
      <c r="AY15" s="355"/>
      <c r="AZ15" s="355"/>
      <c r="BA15" s="355"/>
      <c r="BB15" s="355"/>
      <c r="BC15" s="355"/>
      <c r="BD15" s="355"/>
      <c r="BE15" s="355"/>
      <c r="BF15" s="355"/>
      <c r="BG15" s="355"/>
      <c r="BH15" s="355"/>
      <c r="BI15" s="355"/>
      <c r="BJ15" s="355"/>
      <c r="BK15" s="355"/>
      <c r="BL15" s="355"/>
      <c r="BM15" s="103" t="s">
        <v>0</v>
      </c>
      <c r="BN15" s="162"/>
      <c r="BO15" s="162"/>
      <c r="BP15" s="162"/>
      <c r="BQ15" s="162"/>
      <c r="BR15" s="162"/>
      <c r="BS15" s="162"/>
      <c r="BT15" s="162"/>
      <c r="BU15" s="162"/>
      <c r="BV15" s="162"/>
      <c r="BW15" s="162"/>
      <c r="BX15" s="162"/>
      <c r="BY15" s="162"/>
      <c r="BZ15" s="162"/>
      <c r="CA15" s="162"/>
      <c r="CB15" s="162"/>
      <c r="CC15" s="162"/>
      <c r="CD15" s="162"/>
      <c r="CE15" s="162"/>
      <c r="CF15" s="162"/>
      <c r="CG15" s="162"/>
    </row>
    <row r="16" spans="1:132" ht="11.45" customHeight="1" x14ac:dyDescent="0.2">
      <c r="A16" s="359" t="s">
        <v>7</v>
      </c>
      <c r="B16" s="360"/>
      <c r="C16" s="360"/>
      <c r="D16" s="360"/>
      <c r="E16" s="360"/>
      <c r="F16" s="360"/>
      <c r="G16" s="360"/>
      <c r="H16" s="388"/>
      <c r="I16" s="329" t="s">
        <v>197</v>
      </c>
      <c r="J16" s="376"/>
      <c r="K16" s="376"/>
      <c r="L16" s="376"/>
      <c r="M16" s="376"/>
      <c r="N16" s="376"/>
      <c r="O16" s="377"/>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378"/>
      <c r="J17" s="379"/>
      <c r="K17" s="379"/>
      <c r="L17" s="379"/>
      <c r="M17" s="379"/>
      <c r="N17" s="379"/>
      <c r="O17" s="380"/>
      <c r="P17" s="333" t="str">
        <f>IF(P16=$CN$18,"@ 60°F",IF(P16=$CN$19,"@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c r="B18" s="317"/>
      <c r="C18" s="317"/>
      <c r="D18" s="317"/>
      <c r="E18" s="317"/>
      <c r="F18" s="317"/>
      <c r="G18" s="317"/>
      <c r="H18" s="317"/>
      <c r="I18" s="345"/>
      <c r="J18" s="345"/>
      <c r="K18" s="345"/>
      <c r="L18" s="345"/>
      <c r="M18" s="345"/>
      <c r="N18" s="345"/>
      <c r="O18" s="345"/>
      <c r="P18" s="313"/>
      <c r="Q18" s="313"/>
      <c r="R18" s="313"/>
      <c r="S18" s="313"/>
      <c r="T18" s="313"/>
      <c r="U18" s="308"/>
      <c r="V18" s="308"/>
      <c r="W18" s="308"/>
      <c r="X18" s="308"/>
      <c r="Y18" s="308"/>
      <c r="Z18" s="308"/>
      <c r="AA18" s="308"/>
      <c r="AB18" s="308"/>
      <c r="AC18" s="309"/>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12"/>
      <c r="AZ18" s="312"/>
      <c r="BA18" s="312"/>
      <c r="BB18" s="312"/>
      <c r="BC18" s="312"/>
      <c r="BD18" s="311" t="str">
        <f>IF(OR(AJ18="",AT18=""),"",AJ18-AT18)</f>
        <v/>
      </c>
      <c r="BE18" s="311"/>
      <c r="BF18" s="311"/>
      <c r="BG18" s="311"/>
      <c r="BH18" s="311"/>
      <c r="BI18" s="310" t="str">
        <f t="shared" ref="BI18:BI29" si="0">IF(OR(AY18="",P18=""),"",IF($CN$53=1,DW18,IF($CN$53=2,DY18,IF($CN$53=3,EA18,IF($CN$53=4,DX18,IF($CN$53=5,DZ18,IF($CN$53=6,EB18)))))))</f>
        <v/>
      </c>
      <c r="BJ18" s="310"/>
      <c r="BK18" s="310"/>
      <c r="BL18" s="310"/>
      <c r="BM18" s="310"/>
      <c r="BN18" s="311" t="str">
        <f>IF(OR(BD18="",BI18=""),"",BD18*BI18)</f>
        <v/>
      </c>
      <c r="BO18" s="311"/>
      <c r="BP18" s="311"/>
      <c r="BQ18" s="311"/>
      <c r="BR18" s="311"/>
      <c r="BS18" s="332" t="str">
        <f t="shared" ref="BS18:BS29" si="1">IF(OR(BD18="",P18="",BI18=""),"",ROUND((DS18-0.0011),4))</f>
        <v/>
      </c>
      <c r="BT18" s="332"/>
      <c r="BU18" s="332"/>
      <c r="BV18" s="332"/>
      <c r="BW18" s="332"/>
      <c r="BX18" s="311" t="str">
        <f t="shared" ref="BX18:BX29" si="2">IF(OR(BD18="",P18="",BI18=""),"",IF($AJ$17=$CN$34,ROUND(BN18*BS18,3),ROUND(CS18*BI18*BS18,3)))</f>
        <v/>
      </c>
      <c r="BY18" s="311"/>
      <c r="BZ18" s="311"/>
      <c r="CA18" s="311"/>
      <c r="CB18" s="311"/>
      <c r="CC18" s="311" t="str">
        <f t="shared" ref="CC18:CC29" si="3">IF(OR(BD18="",P18="",BI18=""),"",IF($AJ$17=$CN$34,ROUND(BN18*DQ18,3),ROUND(CS18*BI18*DQ18,3)))</f>
        <v/>
      </c>
      <c r="CD18" s="311"/>
      <c r="CE18" s="311"/>
      <c r="CF18" s="311"/>
      <c r="CG18" s="311"/>
      <c r="CN18" s="107" t="s">
        <v>13</v>
      </c>
      <c r="CP18" s="107">
        <f t="shared" ref="CP18:CP29" si="4">IF(OR(AY18="",BD18=""),0,AY18*BD18)</f>
        <v>0</v>
      </c>
      <c r="CR18" s="28" t="e">
        <f t="shared" ref="CR18:CR29" si="5">IF($BD$17=$CN$35,BD18,(BD18*6.28981))</f>
        <v>#VALUE!</v>
      </c>
      <c r="CS18" s="29" t="str">
        <f t="shared" ref="CS18:CS29" si="6">IF($BD$17=$CN$34,BD18,(BD18/6.28981))</f>
        <v/>
      </c>
      <c r="CU18" s="30">
        <f t="shared" ref="CU18:CU29" si="7">IF($AY$17=$CN$40,AY18,(AY18*1.8+32))</f>
        <v>32</v>
      </c>
      <c r="CV18" s="31">
        <f t="shared" ref="CV18:CV29" si="8">ROUND(CU18*2,0)/2</f>
        <v>32</v>
      </c>
      <c r="CW18" s="32">
        <f>ROUND(CU18,1)</f>
        <v>32</v>
      </c>
      <c r="CX18" s="33">
        <f>(1.8*((((CW18-32)/1.8)-((-0.148759+((-0.267408+((1.08076+((1.269056+((-4.089591+((-1.871251+((7.438081+(-3.536296*(((CW18-32)/1.8)/630)))*(((CW18-32)/1.8)/630)))*(((CW18-32)/1.8)/630)))*(((CW18-32)/1.8)/630)))*(((CW18-32)/1.8)/630)))*(((CW18-32)/1.8)/630)))*(((CW18-32)/1.8)/630)))*(((CW18-32)/1.8)/630)))))+32</f>
        <v>32</v>
      </c>
      <c r="CY18" s="26"/>
      <c r="CZ18" s="30">
        <f t="shared" ref="CZ18:CZ29" si="9">IF($AY$17=$CN$39,AY18,(AY18-32)/1.8)</f>
        <v>0</v>
      </c>
      <c r="DA18" s="28">
        <f t="shared" ref="DA18:DA29" si="10">ROUND(CZ18*4,0)/4</f>
        <v>0</v>
      </c>
      <c r="DB18" s="34">
        <f>ROUND(CZ18,1)</f>
        <v>0</v>
      </c>
      <c r="DC18" s="33">
        <f>DB18-((-0.148759+((-0.267408+((1.08076+((1.269056+((-4.089591+((-1.871251+((7.438081+(-3.536296*(DB18/630)))*(DB18/630)))*(DB18/630)))*(DB18/630)))*(DB18/630)))*(DB18/630)))*(DB18/630)))*(DB18/630))</f>
        <v>0</v>
      </c>
      <c r="DD18" s="35"/>
      <c r="DE18" s="30" t="e">
        <f t="shared" ref="DE18:DE29" si="11">IF($P$16=$CN$18,P18,(141.5/DK18)-131.5)</f>
        <v>#DIV/0!</v>
      </c>
      <c r="DF18" s="31" t="e">
        <f t="shared" ref="DF18:DF29" si="12">ROUND(DE18*2,0)/2</f>
        <v>#DIV/0!</v>
      </c>
      <c r="DG18" s="32" t="e">
        <f>ROUND(DE18,1)</f>
        <v>#DIV/0!</v>
      </c>
      <c r="DH18" s="33" t="e">
        <f>(141.5/(DG18+131.5))*999.016</f>
        <v>#DIV/0!</v>
      </c>
      <c r="DI18" s="33" t="e">
        <f>DH18*(1+((EXP(((0.01374979547/2)*(((103.872/DH18)+0.2701)*(1/DH18)))*(1+(0.8*((0.01374979547/2)*(((103.872/DH18)+0.2701)*(1/DH18))))))-1)/(1+(((0.01374979547/2)*(((103.872/DH18)+0.2701)*(1/DH18)))*(1+(1.6*((0.01374979547/2)*(((103.872/DH18)+0.2701)*(1/DH18)))))*(((2*103.872)+(0.2701+DH18))/(103.872+(0.2701*DH18)))))))</f>
        <v>#DIV/0!</v>
      </c>
      <c r="DK18" s="36" t="e">
        <f t="shared" ref="DK18:DK29" si="13">IF($P$16=$CN$19,P18,IF($P$16=$CN$18,141.5/(P18+131.5),DQ18*ROUND(EXP(-(186.9696/(((TRUNC(5*(DQ18*100)+0.5)/5)*0.01)*1000)^2+0.4862/(((TRUNC(5*(DQ18*100)+0.5)/5)*0.01)*1000))*(0.56)*(1+0.8*(186.9696/(((TRUNC(5*(DQ18*100)+0.5)/5)*0.01)*1000)^2+0.4862/(((TRUNC(5*(DQ18*100)+0.5)/5)*0.01)*1000))*0.56)),4)/0.999012))</f>
        <v>#DIV/0!</v>
      </c>
      <c r="DL18" s="37" t="e">
        <f>ROUND(DK18*5,2)/5</f>
        <v>#DIV/0!</v>
      </c>
      <c r="DM18" s="38" t="e">
        <f>ROUND(DK18,4)</f>
        <v>#DIV/0!</v>
      </c>
      <c r="DN18" s="33" t="e">
        <f>DM18*999.016</f>
        <v>#DIV/0!</v>
      </c>
      <c r="DO18" s="33" t="e">
        <f>DN18*(1+((EXP(((0.01374979547/2)*(((103.872/DN18)+0.2701)*(1/DN18)))*(1+(0.8*((0.01374979547/2)*(((103.872/DN18)+0.2701)*(1/DN18))))))-1)/(1+(((0.01374979547/2)*(((103.872/DN18)+0.2701)*(1/DN18)))*(1+(1.6*((0.01374979547/2)*(((103.872/DN18)+0.2701)*(1/DN18)))))*(((2*103.872)+(0.2701+DN18))/(103.872+(0.2701*DN18)))))))</f>
        <v>#DIV/0!</v>
      </c>
      <c r="DQ18" s="36">
        <f t="shared" ref="DQ18:DQ29" si="14">IF($P$16=$CN$20,P18,DK18*0.999012*ROUND(EXP(-((103.872/((((TRUNC(5*(DK18*100)+0.5)/5)*0.01)*999.012)^2))+(0.2701/(((TRUNC(5*(DK18*100)+0.5)/5)*0.01)*999.012)))*(-1)*(1+(0.8*((103.872/((((TRUNC(5*(DK18*100)+0.5)/5)*0.01)*999.012)^2))+(0.2701/(((TRUNC(5*(DK18*100)+0.5)/5)*0.01)*999.012)))*(-1)))),4))</f>
        <v>0</v>
      </c>
      <c r="DR18" s="39">
        <f>ROUND(DQ18*5,2)/5</f>
        <v>0</v>
      </c>
      <c r="DS18" s="38">
        <f>ROUND(DQ18,4)</f>
        <v>0</v>
      </c>
      <c r="DT18" s="33">
        <f>DS18*1000</f>
        <v>0</v>
      </c>
      <c r="DU18" s="33" t="e">
        <f>DT18*(1+((EXP(((0.01374979547/2)*(((186.9696/DT18)+0.4862)*(1/DT18)))*(1+(0.8*((0.01374979547/2)*(((186.9696/DT18)+0.4862)*(1/DT18))))))-1)/(1+(((0.01374979547/2)*(((186.9696/DT18)+0.4862)*(1/DT18)))*(1+(1.6*((0.01374979547/2)*(((186.9696/DT18)+0.4862)*(1/DT18)))))*(((2*186.9696)+(0.4862+DT18))/(186.9696+(0.4862*DT18)))))))</f>
        <v>#DIV/0!</v>
      </c>
      <c r="DW18" s="38" t="e">
        <f>ROUND(EXP(-((103.872/(((141.5/(DF18+131.5))*999.012)^2))+(0.2701/((141.5/(DF18+131.5))*999.012)))*(CV18-60)*(1+(0.8*((103.872/(((141.5/(DF18+131.5))*999.012)^2))+(0.2701/((141.5/(DF18+131.5))*999.012)))*(CV18-60)))),4)</f>
        <v>#DIV/0!</v>
      </c>
      <c r="DX18" s="40" t="e">
        <f>ROUND(EXP(-(((103.872/DI18)+0.2701)*(1/DI18))*(CX18-60.0068749)*(1+(0.8*(((103.872/DI18)+0.2701)*(1/DI18))*((CX18-60.0068749)+0.01374979547)))),5)</f>
        <v>#DIV/0!</v>
      </c>
      <c r="DY18" s="36" t="e">
        <f>ROUND(EXP(-((103.872/((DL18*999.012)^2))+(0.2701/(DL18*999.012)))*(CV18-60)*(1+(0.8*((103.872/((DL18*999.012)^2))+(0.2701/(DL18*999.012)))*(CV18-60)))),4)</f>
        <v>#DIV/0!</v>
      </c>
      <c r="DZ18" s="40" t="e">
        <f>ROUND(EXP(-(((103.872/DO18)+0.2701)*(1/DO18))*(CX18-60.0068749)*(1+(0.8*(((103.872/DO18)+0.2701)*(1/DO18))*((CX18-60.0068749)+0.01374979547)))),5)</f>
        <v>#DIV/0!</v>
      </c>
      <c r="EA18" s="36" t="e">
        <f>ROUND(EXP(-((186.9696/((DR18*1000)^2))+(0.4862/(DR18*1000)))*(DA18-15)*(1+(0.8*((186.9696/((DR18*1000)^2))+(0.4862/(DR18*1000)))*(DA18-15)))),4)</f>
        <v>#DIV/0!</v>
      </c>
      <c r="EB18" s="40" t="e">
        <f>ROUND(EXP(-((((186.9696/DU18)+0.4862)*(1/DU18)))*(DC18-15.00367851)*(1+(0.8*((((186.9696/DU18)+0.4862)*(1/DU18)))*((DC18-15.00367851)+0.01374979547)))),5)</f>
        <v>#DIV/0!</v>
      </c>
    </row>
    <row r="19" spans="1:132" ht="11.45" customHeight="1" x14ac:dyDescent="0.2">
      <c r="A19" s="317"/>
      <c r="B19" s="317"/>
      <c r="C19" s="317"/>
      <c r="D19" s="317"/>
      <c r="E19" s="317"/>
      <c r="F19" s="317"/>
      <c r="G19" s="317"/>
      <c r="H19" s="317"/>
      <c r="I19" s="345"/>
      <c r="J19" s="345"/>
      <c r="K19" s="345"/>
      <c r="L19" s="345"/>
      <c r="M19" s="345"/>
      <c r="N19" s="345"/>
      <c r="O19" s="345"/>
      <c r="P19" s="313"/>
      <c r="Q19" s="313"/>
      <c r="R19" s="313"/>
      <c r="S19" s="313"/>
      <c r="T19" s="313"/>
      <c r="U19" s="308"/>
      <c r="V19" s="308"/>
      <c r="W19" s="308"/>
      <c r="X19" s="308"/>
      <c r="Y19" s="308"/>
      <c r="Z19" s="308"/>
      <c r="AA19" s="308"/>
      <c r="AB19" s="308"/>
      <c r="AC19" s="309"/>
      <c r="AD19" s="308"/>
      <c r="AE19" s="308"/>
      <c r="AF19" s="308"/>
      <c r="AG19" s="308"/>
      <c r="AH19" s="308"/>
      <c r="AI19" s="308"/>
      <c r="AJ19" s="308"/>
      <c r="AK19" s="308"/>
      <c r="AL19" s="308"/>
      <c r="AM19" s="308"/>
      <c r="AN19" s="308"/>
      <c r="AO19" s="308"/>
      <c r="AP19" s="308"/>
      <c r="AQ19" s="308"/>
      <c r="AR19" s="308"/>
      <c r="AS19" s="308"/>
      <c r="AT19" s="308"/>
      <c r="AU19" s="308"/>
      <c r="AV19" s="308"/>
      <c r="AW19" s="308"/>
      <c r="AX19" s="308"/>
      <c r="AY19" s="312"/>
      <c r="AZ19" s="312"/>
      <c r="BA19" s="312"/>
      <c r="BB19" s="312"/>
      <c r="BC19" s="312"/>
      <c r="BD19" s="311" t="str">
        <f t="shared" ref="BD19:BD29" si="15">IF(OR(AJ19="",AT19=""),"",AJ19-AT19)</f>
        <v/>
      </c>
      <c r="BE19" s="311"/>
      <c r="BF19" s="311"/>
      <c r="BG19" s="311"/>
      <c r="BH19" s="311"/>
      <c r="BI19" s="310" t="str">
        <f t="shared" si="0"/>
        <v/>
      </c>
      <c r="BJ19" s="310"/>
      <c r="BK19" s="310"/>
      <c r="BL19" s="310"/>
      <c r="BM19" s="310"/>
      <c r="BN19" s="311" t="str">
        <f t="shared" ref="BN19:BN29" si="16">IF(OR(BD19="",BI19=""),"",BD19*BI19)</f>
        <v/>
      </c>
      <c r="BO19" s="311"/>
      <c r="BP19" s="311"/>
      <c r="BQ19" s="311"/>
      <c r="BR19" s="311"/>
      <c r="BS19" s="332" t="str">
        <f t="shared" si="1"/>
        <v/>
      </c>
      <c r="BT19" s="332"/>
      <c r="BU19" s="332"/>
      <c r="BV19" s="332"/>
      <c r="BW19" s="332"/>
      <c r="BX19" s="311" t="str">
        <f t="shared" si="2"/>
        <v/>
      </c>
      <c r="BY19" s="311"/>
      <c r="BZ19" s="311"/>
      <c r="CA19" s="311"/>
      <c r="CB19" s="311"/>
      <c r="CC19" s="311" t="str">
        <f t="shared" si="3"/>
        <v/>
      </c>
      <c r="CD19" s="311"/>
      <c r="CE19" s="311"/>
      <c r="CF19" s="311"/>
      <c r="CG19" s="311"/>
      <c r="CN19" s="87" t="s">
        <v>85</v>
      </c>
      <c r="CP19" s="87">
        <f t="shared" si="4"/>
        <v>0</v>
      </c>
      <c r="CR19" s="28" t="e">
        <f t="shared" si="5"/>
        <v>#VALUE!</v>
      </c>
      <c r="CS19" s="29" t="str">
        <f t="shared" si="6"/>
        <v/>
      </c>
      <c r="CU19" s="28">
        <f t="shared" si="7"/>
        <v>32</v>
      </c>
      <c r="CV19" s="31">
        <f t="shared" si="8"/>
        <v>32</v>
      </c>
      <c r="CW19" s="32">
        <f>ROUND(CU19,1)</f>
        <v>32</v>
      </c>
      <c r="CX19" s="32">
        <f t="shared" ref="CX19:CX29" si="17">(1.8*((((CW19-32)/1.8)-((-0.148759+((-0.267408+((1.08076+((1.269056+((-4.089591+((-1.871251+((7.438081+(-3.536296*(((CW19-32)/1.8)/630)))*(((CW19-32)/1.8)/630)))*(((CW19-32)/1.8)/630)))*(((CW19-32)/1.8)/630)))*(((CW19-32)/1.8)/630)))*(((CW19-32)/1.8)/630)))*(((CW19-32)/1.8)/630)))*(((CW19-32)/1.8)/630)))))+32</f>
        <v>32</v>
      </c>
      <c r="CY19" s="26"/>
      <c r="CZ19" s="28">
        <f t="shared" si="9"/>
        <v>0</v>
      </c>
      <c r="DA19" s="28">
        <f t="shared" si="10"/>
        <v>0</v>
      </c>
      <c r="DB19" s="34">
        <f>ROUND(CZ19,1)</f>
        <v>0</v>
      </c>
      <c r="DC19" s="32">
        <f t="shared" ref="DC19:DC29" si="18">DB19-((-0.148759+((-0.267408+((1.08076+((1.269056+((-4.089591+((-1.871251+((7.438081+(-3.536296*(DB19/630)))*(DB19/630)))*(DB19/630)))*(DB19/630)))*(DB19/630)))*(DB19/630)))*(DB19/630)))*(DB19/630))</f>
        <v>0</v>
      </c>
      <c r="DD19" s="35"/>
      <c r="DE19" s="28" t="e">
        <f t="shared" si="11"/>
        <v>#DIV/0!</v>
      </c>
      <c r="DF19" s="31" t="e">
        <f t="shared" si="12"/>
        <v>#DIV/0!</v>
      </c>
      <c r="DG19" s="32" t="e">
        <f>ROUND(DE19,1)</f>
        <v>#DIV/0!</v>
      </c>
      <c r="DH19" s="32" t="e">
        <f t="shared" ref="DH19:DH29" si="19">(141.5/(DG19+131.5))*999.016</f>
        <v>#DIV/0!</v>
      </c>
      <c r="DI19" s="32" t="e">
        <f t="shared" ref="DI19:DI29" si="20">DH19*(1+((EXP(((0.01374979547/2)*(((103.872/DH19)+0.2701)*(1/DH19)))*(1+(0.8*((0.01374979547/2)*(((103.872/DH19)+0.2701)*(1/DH19))))))-1)/(1+(((0.01374979547/2)*(((103.872/DH19)+0.2701)*(1/DH19)))*(1+(1.6*((0.01374979547/2)*(((103.872/DH19)+0.2701)*(1/DH19)))))*(((2*103.872)+(0.2701+DH19))/(103.872+(0.2701*DH19)))))))</f>
        <v>#DIV/0!</v>
      </c>
      <c r="DK19" s="38" t="e">
        <f t="shared" si="13"/>
        <v>#DIV/0!</v>
      </c>
      <c r="DL19" s="41" t="e">
        <f>ROUND(DK19*5,2)/5</f>
        <v>#DIV/0!</v>
      </c>
      <c r="DM19" s="38" t="e">
        <f>ROUND(DK19,4)</f>
        <v>#DIV/0!</v>
      </c>
      <c r="DN19" s="32" t="e">
        <f t="shared" ref="DN19:DN29" si="21">DM19*999.016</f>
        <v>#DIV/0!</v>
      </c>
      <c r="DO19" s="32" t="e">
        <f>DN19*(1+((EXP(((0.01374979547/2)*(((103.872/DN19)+0.2701)*(1/DN19)))*(1+(0.8*((0.01374979547/2)*(((103.872/DN19)+0.2701)*(1/DN19))))))-1)/(1+(((0.01374979547/2)*(((103.872/DN19)+0.2701)*(1/DN19)))*(1+(1.6*((0.01374979547/2)*(((103.872/DN19)+0.2701)*(1/DN19)))))*(((2*103.872)+(0.2701+DN19))/(103.872+(0.2701*DN19)))))))</f>
        <v>#DIV/0!</v>
      </c>
      <c r="DQ19" s="38">
        <f t="shared" si="14"/>
        <v>0</v>
      </c>
      <c r="DR19" s="29">
        <f>ROUND(DQ19*5,2)/5</f>
        <v>0</v>
      </c>
      <c r="DS19" s="38">
        <f>ROUND(DQ19,4)</f>
        <v>0</v>
      </c>
      <c r="DT19" s="32">
        <f t="shared" ref="DT19:DT29" si="22">DS19*1000</f>
        <v>0</v>
      </c>
      <c r="DU19" s="32" t="e">
        <f t="shared" ref="DU19:DU29" si="23">DT19*(1+((EXP(((0.01374979547/2)*(((186.9696/DT19)+0.4862)*(1/DT19)))*(1+(0.8*((0.01374979547/2)*(((186.9696/DT19)+0.4862)*(1/DT19))))))-1)/(1+(((0.01374979547/2)*(((186.9696/DT19)+0.4862)*(1/DT19)))*(1+(1.6*((0.01374979547/2)*(((186.9696/DT19)+0.4862)*(1/DT19)))))*(((2*186.9696)+(0.4862+DT19))/(186.9696+(0.4862*DT19)))))))</f>
        <v>#DIV/0!</v>
      </c>
      <c r="DW19" s="38" t="e">
        <f>ROUND(EXP(-((103.872/(((141.5/(DF19+131.5))*999.012)^2))+(0.2701/((141.5/(DF19+131.5))*999.012)))*(CV19-60)*(1+(0.8*((103.872/(((141.5/(DF19+131.5))*999.012)^2))+(0.2701/((141.5/(DF19+131.5))*999.012)))*(CV19-60)))),4)</f>
        <v>#DIV/0!</v>
      </c>
      <c r="DX19" s="42" t="e">
        <f>ROUND(EXP(-(((103.872/DI19)+0.2701)*(1/DI19))*(CX19-60.0068749)*(1+(0.8*(((103.872/DI19)+0.2701)*(1/DI19))*((CX19-60.0068749)+0.01374979547)))),5)</f>
        <v>#DIV/0!</v>
      </c>
      <c r="DY19" s="38" t="e">
        <f>ROUND(EXP(-((103.872/((DL19*999.012)^2))+(0.2701/(DL19*999.012)))*(CV19-60)*(1+(0.8*((103.872/((DL19*999.012)^2))+(0.2701/(DL19*999.012)))*(CV19-60)))),4)</f>
        <v>#DIV/0!</v>
      </c>
      <c r="DZ19" s="42" t="e">
        <f>ROUND(EXP(-(((103.872/DO19)+0.2701)*(1/DO19))*(CX19-60.0068749)*(1+(0.8*(((103.872/DO19)+0.2701)*(1/DO19))*((CX19-60.0068749)+0.01374979547)))),5)</f>
        <v>#DIV/0!</v>
      </c>
      <c r="EA19" s="38" t="e">
        <f>ROUND(EXP(-((186.9696/((DR19*1000)^2))+(0.4862/(DR19*1000)))*(DA19-15)*(1+(0.8*((186.9696/((DR19*1000)^2))+(0.4862/(DR19*1000)))*(DA19-15)))),4)</f>
        <v>#DIV/0!</v>
      </c>
      <c r="EB19" s="42" t="e">
        <f>ROUND(EXP(-((((186.9696/DU19)+0.4862)*(1/DU19)))*(DC19-15.00367851)*(1+(0.8*((((186.9696/DU19)+0.4862)*(1/DU19)))*((DC19-15.00367851)+0.01374979547)))),5)</f>
        <v>#DIV/0!</v>
      </c>
    </row>
    <row r="20" spans="1:132" ht="11.45" customHeight="1" x14ac:dyDescent="0.2">
      <c r="A20" s="317"/>
      <c r="B20" s="317"/>
      <c r="C20" s="317"/>
      <c r="D20" s="317"/>
      <c r="E20" s="317"/>
      <c r="F20" s="317"/>
      <c r="G20" s="317"/>
      <c r="H20" s="317"/>
      <c r="I20" s="345"/>
      <c r="J20" s="345"/>
      <c r="K20" s="345"/>
      <c r="L20" s="345"/>
      <c r="M20" s="345"/>
      <c r="N20" s="345"/>
      <c r="O20" s="345"/>
      <c r="P20" s="313"/>
      <c r="Q20" s="313"/>
      <c r="R20" s="313"/>
      <c r="S20" s="313"/>
      <c r="T20" s="313"/>
      <c r="U20" s="308"/>
      <c r="V20" s="308"/>
      <c r="W20" s="308"/>
      <c r="X20" s="308"/>
      <c r="Y20" s="308"/>
      <c r="Z20" s="308"/>
      <c r="AA20" s="308"/>
      <c r="AB20" s="308"/>
      <c r="AC20" s="309"/>
      <c r="AD20" s="308"/>
      <c r="AE20" s="308"/>
      <c r="AF20" s="308"/>
      <c r="AG20" s="308"/>
      <c r="AH20" s="308"/>
      <c r="AI20" s="308"/>
      <c r="AJ20" s="308"/>
      <c r="AK20" s="308"/>
      <c r="AL20" s="308"/>
      <c r="AM20" s="308"/>
      <c r="AN20" s="308"/>
      <c r="AO20" s="308"/>
      <c r="AP20" s="308"/>
      <c r="AQ20" s="308"/>
      <c r="AR20" s="308"/>
      <c r="AS20" s="308"/>
      <c r="AT20" s="308"/>
      <c r="AU20" s="308"/>
      <c r="AV20" s="308"/>
      <c r="AW20" s="308"/>
      <c r="AX20" s="308"/>
      <c r="AY20" s="312"/>
      <c r="AZ20" s="312"/>
      <c r="BA20" s="312"/>
      <c r="BB20" s="312"/>
      <c r="BC20" s="312"/>
      <c r="BD20" s="311" t="str">
        <f t="shared" si="15"/>
        <v/>
      </c>
      <c r="BE20" s="311"/>
      <c r="BF20" s="311"/>
      <c r="BG20" s="311"/>
      <c r="BH20" s="311"/>
      <c r="BI20" s="310" t="str">
        <f t="shared" si="0"/>
        <v/>
      </c>
      <c r="BJ20" s="310"/>
      <c r="BK20" s="310"/>
      <c r="BL20" s="310"/>
      <c r="BM20" s="310"/>
      <c r="BN20" s="311" t="str">
        <f t="shared" si="16"/>
        <v/>
      </c>
      <c r="BO20" s="311"/>
      <c r="BP20" s="311"/>
      <c r="BQ20" s="311"/>
      <c r="BR20" s="311"/>
      <c r="BS20" s="332" t="str">
        <f t="shared" si="1"/>
        <v/>
      </c>
      <c r="BT20" s="332"/>
      <c r="BU20" s="332"/>
      <c r="BV20" s="332"/>
      <c r="BW20" s="332"/>
      <c r="BX20" s="311" t="str">
        <f t="shared" si="2"/>
        <v/>
      </c>
      <c r="BY20" s="311"/>
      <c r="BZ20" s="311"/>
      <c r="CA20" s="311"/>
      <c r="CB20" s="311"/>
      <c r="CC20" s="311" t="str">
        <f t="shared" si="3"/>
        <v/>
      </c>
      <c r="CD20" s="311"/>
      <c r="CE20" s="311"/>
      <c r="CF20" s="311"/>
      <c r="CG20" s="311"/>
      <c r="CN20" s="2" t="s">
        <v>84</v>
      </c>
      <c r="CP20" s="87">
        <f t="shared" si="4"/>
        <v>0</v>
      </c>
      <c r="CR20" s="28" t="e">
        <f t="shared" si="5"/>
        <v>#VALUE!</v>
      </c>
      <c r="CS20" s="29" t="str">
        <f t="shared" si="6"/>
        <v/>
      </c>
      <c r="CU20" s="28">
        <f t="shared" si="7"/>
        <v>32</v>
      </c>
      <c r="CV20" s="31">
        <f t="shared" si="8"/>
        <v>32</v>
      </c>
      <c r="CW20" s="32">
        <f t="shared" ref="CW20:CW28" si="24">ROUND(CU20,1)</f>
        <v>32</v>
      </c>
      <c r="CX20" s="32">
        <f t="shared" si="17"/>
        <v>32</v>
      </c>
      <c r="CY20" s="26"/>
      <c r="CZ20" s="28">
        <f t="shared" si="9"/>
        <v>0</v>
      </c>
      <c r="DA20" s="28">
        <f t="shared" si="10"/>
        <v>0</v>
      </c>
      <c r="DB20" s="34">
        <f t="shared" ref="DB20:DB28" si="25">ROUND(CZ20,1)</f>
        <v>0</v>
      </c>
      <c r="DC20" s="32">
        <f t="shared" si="18"/>
        <v>0</v>
      </c>
      <c r="DD20" s="35"/>
      <c r="DE20" s="28" t="e">
        <f t="shared" si="11"/>
        <v>#DIV/0!</v>
      </c>
      <c r="DF20" s="31" t="e">
        <f t="shared" si="12"/>
        <v>#DIV/0!</v>
      </c>
      <c r="DG20" s="32" t="e">
        <f t="shared" ref="DG20:DG28" si="26">ROUND(DE20,1)</f>
        <v>#DIV/0!</v>
      </c>
      <c r="DH20" s="32" t="e">
        <f t="shared" si="19"/>
        <v>#DIV/0!</v>
      </c>
      <c r="DI20" s="32" t="e">
        <f t="shared" si="20"/>
        <v>#DIV/0!</v>
      </c>
      <c r="DK20" s="38" t="e">
        <f t="shared" si="13"/>
        <v>#DIV/0!</v>
      </c>
      <c r="DL20" s="41" t="e">
        <f t="shared" ref="DL20:DL28" si="27">ROUND(DK20*5,2)/5</f>
        <v>#DIV/0!</v>
      </c>
      <c r="DM20" s="38" t="e">
        <f t="shared" ref="DM20:DM28" si="28">ROUND(DK20,4)</f>
        <v>#DIV/0!</v>
      </c>
      <c r="DN20" s="32" t="e">
        <f t="shared" si="21"/>
        <v>#DIV/0!</v>
      </c>
      <c r="DO20" s="32" t="e">
        <f t="shared" ref="DO20:DO28" si="29">DN20*(1+((EXP(((0.01374979547/2)*(((103.872/DN20)+0.2701)*(1/DN20)))*(1+(0.8*((0.01374979547/2)*(((103.872/DN20)+0.2701)*(1/DN20))))))-1)/(1+(((0.01374979547/2)*(((103.872/DN20)+0.2701)*(1/DN20)))*(1+(1.6*((0.01374979547/2)*(((103.872/DN20)+0.2701)*(1/DN20)))))*(((2*103.872)+(0.2701+DN20))/(103.872+(0.2701*DN20)))))))</f>
        <v>#DIV/0!</v>
      </c>
      <c r="DQ20" s="38">
        <f t="shared" si="14"/>
        <v>0</v>
      </c>
      <c r="DR20" s="29">
        <f t="shared" ref="DR20:DR28" si="30">ROUND(DQ20*5,2)/5</f>
        <v>0</v>
      </c>
      <c r="DS20" s="38">
        <f t="shared" ref="DS20:DS28" si="31">ROUND(DQ20,4)</f>
        <v>0</v>
      </c>
      <c r="DT20" s="32">
        <f t="shared" si="22"/>
        <v>0</v>
      </c>
      <c r="DU20" s="32" t="e">
        <f t="shared" si="23"/>
        <v>#DIV/0!</v>
      </c>
      <c r="DW20" s="38" t="e">
        <f t="shared" ref="DW20:DW28" si="32">ROUND(EXP(-((103.872/(((141.5/(DF20+131.5))*999.012)^2))+(0.2701/((141.5/(DF20+131.5))*999.012)))*(CV20-60)*(1+(0.8*((103.872/(((141.5/(DF20+131.5))*999.012)^2))+(0.2701/((141.5/(DF20+131.5))*999.012)))*(CV20-60)))),4)</f>
        <v>#DIV/0!</v>
      </c>
      <c r="DX20" s="42" t="e">
        <f t="shared" ref="DX20:DX28" si="33">ROUND(EXP(-(((103.872/DI20)+0.2701)*(1/DI20))*(CX20-60.0068749)*(1+(0.8*(((103.872/DI20)+0.2701)*(1/DI20))*((CX20-60.0068749)+0.01374979547)))),5)</f>
        <v>#DIV/0!</v>
      </c>
      <c r="DY20" s="38" t="e">
        <f t="shared" ref="DY20:DY28" si="34">ROUND(EXP(-((103.872/((DL20*999.012)^2))+(0.2701/(DL20*999.012)))*(CV20-60)*(1+(0.8*((103.872/((DL20*999.012)^2))+(0.2701/(DL20*999.012)))*(CV20-60)))),4)</f>
        <v>#DIV/0!</v>
      </c>
      <c r="DZ20" s="42" t="e">
        <f t="shared" ref="DZ20:DZ28" si="35">ROUND(EXP(-(((103.872/DO20)+0.2701)*(1/DO20))*(CX20-60.0068749)*(1+(0.8*(((103.872/DO20)+0.2701)*(1/DO20))*((CX20-60.0068749)+0.01374979547)))),5)</f>
        <v>#DIV/0!</v>
      </c>
      <c r="EA20" s="38" t="e">
        <f t="shared" ref="EA20:EA28" si="36">ROUND(EXP(-((186.9696/((DR20*1000)^2))+(0.4862/(DR20*1000)))*(DA20-15)*(1+(0.8*((186.9696/((DR20*1000)^2))+(0.4862/(DR20*1000)))*(DA20-15)))),4)</f>
        <v>#DIV/0!</v>
      </c>
      <c r="EB20" s="42" t="e">
        <f t="shared" ref="EB20:EB28" si="37">ROUND(EXP(-((((186.9696/DU20)+0.4862)*(1/DU20)))*(DC20-15.00367851)*(1+(0.8*((((186.9696/DU20)+0.4862)*(1/DU20)))*((DC20-15.00367851)+0.01374979547)))),5)</f>
        <v>#DIV/0!</v>
      </c>
    </row>
    <row r="21" spans="1:132" ht="11.45" customHeight="1" x14ac:dyDescent="0.2">
      <c r="A21" s="317"/>
      <c r="B21" s="317"/>
      <c r="C21" s="317"/>
      <c r="D21" s="317"/>
      <c r="E21" s="317"/>
      <c r="F21" s="317"/>
      <c r="G21" s="317"/>
      <c r="H21" s="317"/>
      <c r="I21" s="345"/>
      <c r="J21" s="345"/>
      <c r="K21" s="345"/>
      <c r="L21" s="345"/>
      <c r="M21" s="345"/>
      <c r="N21" s="345"/>
      <c r="O21" s="345"/>
      <c r="P21" s="313"/>
      <c r="Q21" s="313"/>
      <c r="R21" s="313"/>
      <c r="S21" s="313"/>
      <c r="T21" s="313"/>
      <c r="U21" s="308"/>
      <c r="V21" s="308"/>
      <c r="W21" s="308"/>
      <c r="X21" s="308"/>
      <c r="Y21" s="308"/>
      <c r="Z21" s="308"/>
      <c r="AA21" s="308"/>
      <c r="AB21" s="308"/>
      <c r="AC21" s="309"/>
      <c r="AD21" s="308"/>
      <c r="AE21" s="308"/>
      <c r="AF21" s="308"/>
      <c r="AG21" s="308"/>
      <c r="AH21" s="308"/>
      <c r="AI21" s="308"/>
      <c r="AJ21" s="308"/>
      <c r="AK21" s="308"/>
      <c r="AL21" s="308"/>
      <c r="AM21" s="308"/>
      <c r="AN21" s="308"/>
      <c r="AO21" s="308"/>
      <c r="AP21" s="308"/>
      <c r="AQ21" s="308"/>
      <c r="AR21" s="308"/>
      <c r="AS21" s="308"/>
      <c r="AT21" s="308"/>
      <c r="AU21" s="308"/>
      <c r="AV21" s="308"/>
      <c r="AW21" s="308"/>
      <c r="AX21" s="308"/>
      <c r="AY21" s="312"/>
      <c r="AZ21" s="312"/>
      <c r="BA21" s="312"/>
      <c r="BB21" s="312"/>
      <c r="BC21" s="312"/>
      <c r="BD21" s="311" t="str">
        <f t="shared" si="15"/>
        <v/>
      </c>
      <c r="BE21" s="311"/>
      <c r="BF21" s="311"/>
      <c r="BG21" s="311"/>
      <c r="BH21" s="311"/>
      <c r="BI21" s="310" t="str">
        <f t="shared" si="0"/>
        <v/>
      </c>
      <c r="BJ21" s="310"/>
      <c r="BK21" s="310"/>
      <c r="BL21" s="310"/>
      <c r="BM21" s="310"/>
      <c r="BN21" s="311" t="str">
        <f t="shared" si="16"/>
        <v/>
      </c>
      <c r="BO21" s="311"/>
      <c r="BP21" s="311"/>
      <c r="BQ21" s="311"/>
      <c r="BR21" s="311"/>
      <c r="BS21" s="332" t="str">
        <f t="shared" si="1"/>
        <v/>
      </c>
      <c r="BT21" s="332"/>
      <c r="BU21" s="332"/>
      <c r="BV21" s="332"/>
      <c r="BW21" s="332"/>
      <c r="BX21" s="311" t="str">
        <f t="shared" si="2"/>
        <v/>
      </c>
      <c r="BY21" s="311"/>
      <c r="BZ21" s="311"/>
      <c r="CA21" s="311"/>
      <c r="CB21" s="311"/>
      <c r="CC21" s="311" t="str">
        <f t="shared" si="3"/>
        <v/>
      </c>
      <c r="CD21" s="311"/>
      <c r="CE21" s="311"/>
      <c r="CF21" s="311"/>
      <c r="CG21" s="311"/>
      <c r="CI21" s="323" t="s">
        <v>175</v>
      </c>
      <c r="CJ21" s="324"/>
      <c r="CK21" s="324"/>
      <c r="CL21" s="325"/>
      <c r="CP21" s="87">
        <f t="shared" si="4"/>
        <v>0</v>
      </c>
      <c r="CR21" s="28" t="e">
        <f t="shared" si="5"/>
        <v>#VALUE!</v>
      </c>
      <c r="CS21" s="29" t="str">
        <f t="shared" si="6"/>
        <v/>
      </c>
      <c r="CU21" s="28">
        <f t="shared" si="7"/>
        <v>32</v>
      </c>
      <c r="CV21" s="31">
        <f t="shared" si="8"/>
        <v>32</v>
      </c>
      <c r="CW21" s="32">
        <f t="shared" si="24"/>
        <v>32</v>
      </c>
      <c r="CX21" s="32">
        <f t="shared" si="17"/>
        <v>32</v>
      </c>
      <c r="CY21" s="26"/>
      <c r="CZ21" s="28">
        <f t="shared" si="9"/>
        <v>0</v>
      </c>
      <c r="DA21" s="28">
        <f t="shared" si="10"/>
        <v>0</v>
      </c>
      <c r="DB21" s="34">
        <f t="shared" si="25"/>
        <v>0</v>
      </c>
      <c r="DC21" s="32">
        <f t="shared" si="18"/>
        <v>0</v>
      </c>
      <c r="DD21" s="35"/>
      <c r="DE21" s="28" t="e">
        <f t="shared" si="11"/>
        <v>#DIV/0!</v>
      </c>
      <c r="DF21" s="31" t="e">
        <f t="shared" si="12"/>
        <v>#DIV/0!</v>
      </c>
      <c r="DG21" s="32" t="e">
        <f t="shared" si="26"/>
        <v>#DIV/0!</v>
      </c>
      <c r="DH21" s="32" t="e">
        <f t="shared" si="19"/>
        <v>#DIV/0!</v>
      </c>
      <c r="DI21" s="32" t="e">
        <f t="shared" si="20"/>
        <v>#DIV/0!</v>
      </c>
      <c r="DK21" s="38" t="e">
        <f t="shared" si="13"/>
        <v>#DIV/0!</v>
      </c>
      <c r="DL21" s="41" t="e">
        <f t="shared" si="27"/>
        <v>#DIV/0!</v>
      </c>
      <c r="DM21" s="38" t="e">
        <f t="shared" si="28"/>
        <v>#DIV/0!</v>
      </c>
      <c r="DN21" s="32" t="e">
        <f t="shared" si="21"/>
        <v>#DIV/0!</v>
      </c>
      <c r="DO21" s="32" t="e">
        <f t="shared" si="29"/>
        <v>#DIV/0!</v>
      </c>
      <c r="DQ21" s="38">
        <f t="shared" si="14"/>
        <v>0</v>
      </c>
      <c r="DR21" s="29">
        <f t="shared" si="30"/>
        <v>0</v>
      </c>
      <c r="DS21" s="38">
        <f t="shared" si="31"/>
        <v>0</v>
      </c>
      <c r="DT21" s="32">
        <f t="shared" si="22"/>
        <v>0</v>
      </c>
      <c r="DU21" s="32" t="e">
        <f t="shared" si="23"/>
        <v>#DIV/0!</v>
      </c>
      <c r="DW21" s="38" t="e">
        <f t="shared" si="32"/>
        <v>#DIV/0!</v>
      </c>
      <c r="DX21" s="42" t="e">
        <f t="shared" si="33"/>
        <v>#DIV/0!</v>
      </c>
      <c r="DY21" s="38" t="e">
        <f t="shared" si="34"/>
        <v>#DIV/0!</v>
      </c>
      <c r="DZ21" s="42" t="e">
        <f t="shared" si="35"/>
        <v>#DIV/0!</v>
      </c>
      <c r="EA21" s="38" t="e">
        <f t="shared" si="36"/>
        <v>#DIV/0!</v>
      </c>
      <c r="EB21" s="42" t="e">
        <f t="shared" si="37"/>
        <v>#DIV/0!</v>
      </c>
    </row>
    <row r="22" spans="1:132" ht="11.45" customHeight="1" x14ac:dyDescent="0.2">
      <c r="A22" s="317"/>
      <c r="B22" s="317"/>
      <c r="C22" s="317"/>
      <c r="D22" s="317"/>
      <c r="E22" s="317"/>
      <c r="F22" s="317"/>
      <c r="G22" s="317"/>
      <c r="H22" s="317"/>
      <c r="I22" s="345"/>
      <c r="J22" s="345"/>
      <c r="K22" s="345"/>
      <c r="L22" s="345"/>
      <c r="M22" s="345"/>
      <c r="N22" s="345"/>
      <c r="O22" s="345"/>
      <c r="P22" s="313"/>
      <c r="Q22" s="313"/>
      <c r="R22" s="313"/>
      <c r="S22" s="313"/>
      <c r="T22" s="313"/>
      <c r="U22" s="308"/>
      <c r="V22" s="308"/>
      <c r="W22" s="308"/>
      <c r="X22" s="308"/>
      <c r="Y22" s="308"/>
      <c r="Z22" s="308"/>
      <c r="AA22" s="308"/>
      <c r="AB22" s="308"/>
      <c r="AC22" s="309"/>
      <c r="AD22" s="308"/>
      <c r="AE22" s="308"/>
      <c r="AF22" s="308"/>
      <c r="AG22" s="308"/>
      <c r="AH22" s="308"/>
      <c r="AI22" s="308"/>
      <c r="AJ22" s="308"/>
      <c r="AK22" s="308"/>
      <c r="AL22" s="308"/>
      <c r="AM22" s="308"/>
      <c r="AN22" s="308"/>
      <c r="AO22" s="308"/>
      <c r="AP22" s="308"/>
      <c r="AQ22" s="308"/>
      <c r="AR22" s="308"/>
      <c r="AS22" s="308"/>
      <c r="AT22" s="308"/>
      <c r="AU22" s="308"/>
      <c r="AV22" s="308"/>
      <c r="AW22" s="308"/>
      <c r="AX22" s="308"/>
      <c r="AY22" s="312"/>
      <c r="AZ22" s="312"/>
      <c r="BA22" s="312"/>
      <c r="BB22" s="312"/>
      <c r="BC22" s="312"/>
      <c r="BD22" s="311" t="str">
        <f t="shared" si="15"/>
        <v/>
      </c>
      <c r="BE22" s="311"/>
      <c r="BF22" s="311"/>
      <c r="BG22" s="311"/>
      <c r="BH22" s="311"/>
      <c r="BI22" s="310" t="str">
        <f t="shared" si="0"/>
        <v/>
      </c>
      <c r="BJ22" s="310"/>
      <c r="BK22" s="310"/>
      <c r="BL22" s="310"/>
      <c r="BM22" s="310"/>
      <c r="BN22" s="311" t="str">
        <f t="shared" si="16"/>
        <v/>
      </c>
      <c r="BO22" s="311"/>
      <c r="BP22" s="311"/>
      <c r="BQ22" s="311"/>
      <c r="BR22" s="311"/>
      <c r="BS22" s="332" t="str">
        <f t="shared" si="1"/>
        <v/>
      </c>
      <c r="BT22" s="332"/>
      <c r="BU22" s="332"/>
      <c r="BV22" s="332"/>
      <c r="BW22" s="332"/>
      <c r="BX22" s="311" t="str">
        <f t="shared" si="2"/>
        <v/>
      </c>
      <c r="BY22" s="311"/>
      <c r="BZ22" s="311"/>
      <c r="CA22" s="311"/>
      <c r="CB22" s="311"/>
      <c r="CC22" s="311" t="str">
        <f t="shared" si="3"/>
        <v/>
      </c>
      <c r="CD22" s="311"/>
      <c r="CE22" s="311"/>
      <c r="CF22" s="311"/>
      <c r="CG22" s="311"/>
      <c r="CI22" s="326"/>
      <c r="CJ22" s="327"/>
      <c r="CK22" s="327"/>
      <c r="CL22" s="328"/>
      <c r="CP22" s="87">
        <f t="shared" si="4"/>
        <v>0</v>
      </c>
      <c r="CR22" s="28" t="e">
        <f t="shared" si="5"/>
        <v>#VALUE!</v>
      </c>
      <c r="CS22" s="29" t="str">
        <f t="shared" si="6"/>
        <v/>
      </c>
      <c r="CU22" s="28">
        <f t="shared" si="7"/>
        <v>32</v>
      </c>
      <c r="CV22" s="31">
        <f t="shared" si="8"/>
        <v>32</v>
      </c>
      <c r="CW22" s="32">
        <f t="shared" si="24"/>
        <v>32</v>
      </c>
      <c r="CX22" s="32">
        <f t="shared" si="17"/>
        <v>32</v>
      </c>
      <c r="CY22" s="26"/>
      <c r="CZ22" s="28">
        <f t="shared" si="9"/>
        <v>0</v>
      </c>
      <c r="DA22" s="28">
        <f t="shared" si="10"/>
        <v>0</v>
      </c>
      <c r="DB22" s="34">
        <f t="shared" si="25"/>
        <v>0</v>
      </c>
      <c r="DC22" s="32">
        <f t="shared" si="18"/>
        <v>0</v>
      </c>
      <c r="DD22" s="35"/>
      <c r="DE22" s="28" t="e">
        <f t="shared" si="11"/>
        <v>#DIV/0!</v>
      </c>
      <c r="DF22" s="31" t="e">
        <f t="shared" si="12"/>
        <v>#DIV/0!</v>
      </c>
      <c r="DG22" s="32" t="e">
        <f t="shared" si="26"/>
        <v>#DIV/0!</v>
      </c>
      <c r="DH22" s="32" t="e">
        <f t="shared" si="19"/>
        <v>#DIV/0!</v>
      </c>
      <c r="DI22" s="32" t="e">
        <f t="shared" si="20"/>
        <v>#DIV/0!</v>
      </c>
      <c r="DK22" s="38" t="e">
        <f t="shared" si="13"/>
        <v>#DIV/0!</v>
      </c>
      <c r="DL22" s="41" t="e">
        <f t="shared" si="27"/>
        <v>#DIV/0!</v>
      </c>
      <c r="DM22" s="38" t="e">
        <f t="shared" si="28"/>
        <v>#DIV/0!</v>
      </c>
      <c r="DN22" s="32" t="e">
        <f t="shared" si="21"/>
        <v>#DIV/0!</v>
      </c>
      <c r="DO22" s="32" t="e">
        <f t="shared" si="29"/>
        <v>#DIV/0!</v>
      </c>
      <c r="DQ22" s="38">
        <f t="shared" si="14"/>
        <v>0</v>
      </c>
      <c r="DR22" s="29">
        <f t="shared" si="30"/>
        <v>0</v>
      </c>
      <c r="DS22" s="38">
        <f t="shared" si="31"/>
        <v>0</v>
      </c>
      <c r="DT22" s="32">
        <f t="shared" si="22"/>
        <v>0</v>
      </c>
      <c r="DU22" s="32" t="e">
        <f t="shared" si="23"/>
        <v>#DIV/0!</v>
      </c>
      <c r="DW22" s="38" t="e">
        <f t="shared" si="32"/>
        <v>#DIV/0!</v>
      </c>
      <c r="DX22" s="42" t="e">
        <f t="shared" si="33"/>
        <v>#DIV/0!</v>
      </c>
      <c r="DY22" s="38" t="e">
        <f t="shared" si="34"/>
        <v>#DIV/0!</v>
      </c>
      <c r="DZ22" s="42" t="e">
        <f t="shared" si="35"/>
        <v>#DIV/0!</v>
      </c>
      <c r="EA22" s="38" t="e">
        <f t="shared" si="36"/>
        <v>#DIV/0!</v>
      </c>
      <c r="EB22" s="42" t="e">
        <f t="shared" si="37"/>
        <v>#DIV/0!</v>
      </c>
    </row>
    <row r="23" spans="1:132" ht="11.45" customHeight="1" x14ac:dyDescent="0.2">
      <c r="A23" s="317"/>
      <c r="B23" s="317"/>
      <c r="C23" s="317"/>
      <c r="D23" s="317"/>
      <c r="E23" s="317"/>
      <c r="F23" s="317"/>
      <c r="G23" s="317"/>
      <c r="H23" s="317"/>
      <c r="I23" s="345"/>
      <c r="J23" s="345"/>
      <c r="K23" s="345"/>
      <c r="L23" s="345"/>
      <c r="M23" s="345"/>
      <c r="N23" s="345"/>
      <c r="O23" s="345"/>
      <c r="P23" s="313"/>
      <c r="Q23" s="313"/>
      <c r="R23" s="313"/>
      <c r="S23" s="313"/>
      <c r="T23" s="313"/>
      <c r="U23" s="308"/>
      <c r="V23" s="308"/>
      <c r="W23" s="308"/>
      <c r="X23" s="308"/>
      <c r="Y23" s="308"/>
      <c r="Z23" s="308"/>
      <c r="AA23" s="308"/>
      <c r="AB23" s="308"/>
      <c r="AC23" s="309"/>
      <c r="AD23" s="308"/>
      <c r="AE23" s="308"/>
      <c r="AF23" s="308"/>
      <c r="AG23" s="308"/>
      <c r="AH23" s="308"/>
      <c r="AI23" s="308"/>
      <c r="AJ23" s="308"/>
      <c r="AK23" s="308"/>
      <c r="AL23" s="308"/>
      <c r="AM23" s="308"/>
      <c r="AN23" s="308"/>
      <c r="AO23" s="308"/>
      <c r="AP23" s="308"/>
      <c r="AQ23" s="308"/>
      <c r="AR23" s="308"/>
      <c r="AS23" s="308"/>
      <c r="AT23" s="308"/>
      <c r="AU23" s="308"/>
      <c r="AV23" s="308"/>
      <c r="AW23" s="308"/>
      <c r="AX23" s="308"/>
      <c r="AY23" s="312"/>
      <c r="AZ23" s="312"/>
      <c r="BA23" s="312"/>
      <c r="BB23" s="312"/>
      <c r="BC23" s="312"/>
      <c r="BD23" s="311" t="str">
        <f>IF(OR(AJ23="",AT23=""),"",AJ23-AT23)</f>
        <v/>
      </c>
      <c r="BE23" s="311"/>
      <c r="BF23" s="311"/>
      <c r="BG23" s="311"/>
      <c r="BH23" s="311"/>
      <c r="BI23" s="310" t="str">
        <f t="shared" si="0"/>
        <v/>
      </c>
      <c r="BJ23" s="310"/>
      <c r="BK23" s="310"/>
      <c r="BL23" s="310"/>
      <c r="BM23" s="310"/>
      <c r="BN23" s="311" t="str">
        <f>IF(OR(BD23="",BI23=""),"",BD23*BI23)</f>
        <v/>
      </c>
      <c r="BO23" s="311"/>
      <c r="BP23" s="311"/>
      <c r="BQ23" s="311"/>
      <c r="BR23" s="311"/>
      <c r="BS23" s="332" t="str">
        <f t="shared" si="1"/>
        <v/>
      </c>
      <c r="BT23" s="332"/>
      <c r="BU23" s="332"/>
      <c r="BV23" s="332"/>
      <c r="BW23" s="332"/>
      <c r="BX23" s="311" t="str">
        <f t="shared" si="2"/>
        <v/>
      </c>
      <c r="BY23" s="311"/>
      <c r="BZ23" s="311"/>
      <c r="CA23" s="311"/>
      <c r="CB23" s="311"/>
      <c r="CC23" s="311" t="str">
        <f t="shared" si="3"/>
        <v/>
      </c>
      <c r="CD23" s="311"/>
      <c r="CE23" s="311"/>
      <c r="CF23" s="311"/>
      <c r="CG23" s="311"/>
      <c r="CI23" s="108" t="s">
        <v>170</v>
      </c>
      <c r="CJ23" s="109"/>
      <c r="CK23" s="43" t="e">
        <f>AVERAGE(AY18:BC29)</f>
        <v>#DIV/0!</v>
      </c>
      <c r="CL23" s="21" t="s">
        <v>174</v>
      </c>
      <c r="CN23" s="1" t="s">
        <v>217</v>
      </c>
      <c r="CP23" s="87">
        <f t="shared" si="4"/>
        <v>0</v>
      </c>
      <c r="CR23" s="28" t="e">
        <f t="shared" si="5"/>
        <v>#VALUE!</v>
      </c>
      <c r="CS23" s="29" t="str">
        <f t="shared" si="6"/>
        <v/>
      </c>
      <c r="CU23" s="28">
        <f t="shared" si="7"/>
        <v>32</v>
      </c>
      <c r="CV23" s="31">
        <f t="shared" si="8"/>
        <v>32</v>
      </c>
      <c r="CW23" s="32">
        <f>ROUND(CU23,1)</f>
        <v>32</v>
      </c>
      <c r="CX23" s="32">
        <f t="shared" si="17"/>
        <v>32</v>
      </c>
      <c r="CY23" s="26"/>
      <c r="CZ23" s="28">
        <f t="shared" si="9"/>
        <v>0</v>
      </c>
      <c r="DA23" s="28">
        <f t="shared" si="10"/>
        <v>0</v>
      </c>
      <c r="DB23" s="34">
        <f>ROUND(CZ23,1)</f>
        <v>0</v>
      </c>
      <c r="DC23" s="32">
        <f t="shared" si="18"/>
        <v>0</v>
      </c>
      <c r="DD23" s="35"/>
      <c r="DE23" s="28" t="e">
        <f t="shared" si="11"/>
        <v>#DIV/0!</v>
      </c>
      <c r="DF23" s="31" t="e">
        <f t="shared" si="12"/>
        <v>#DIV/0!</v>
      </c>
      <c r="DG23" s="32" t="e">
        <f>ROUND(DE23,1)</f>
        <v>#DIV/0!</v>
      </c>
      <c r="DH23" s="32" t="e">
        <f t="shared" si="19"/>
        <v>#DIV/0!</v>
      </c>
      <c r="DI23" s="32" t="e">
        <f t="shared" si="20"/>
        <v>#DIV/0!</v>
      </c>
      <c r="DK23" s="38" t="e">
        <f t="shared" si="13"/>
        <v>#DIV/0!</v>
      </c>
      <c r="DL23" s="41" t="e">
        <f t="shared" si="27"/>
        <v>#DIV/0!</v>
      </c>
      <c r="DM23" s="38" t="e">
        <f>ROUND(DK23,4)</f>
        <v>#DIV/0!</v>
      </c>
      <c r="DN23" s="32" t="e">
        <f t="shared" si="21"/>
        <v>#DIV/0!</v>
      </c>
      <c r="DO23" s="32" t="e">
        <f t="shared" si="29"/>
        <v>#DIV/0!</v>
      </c>
      <c r="DQ23" s="38">
        <f t="shared" si="14"/>
        <v>0</v>
      </c>
      <c r="DR23" s="29">
        <f t="shared" si="30"/>
        <v>0</v>
      </c>
      <c r="DS23" s="38">
        <f>ROUND(DQ23,4)</f>
        <v>0</v>
      </c>
      <c r="DT23" s="32">
        <f t="shared" si="22"/>
        <v>0</v>
      </c>
      <c r="DU23" s="32" t="e">
        <f t="shared" si="23"/>
        <v>#DIV/0!</v>
      </c>
      <c r="DW23" s="38" t="e">
        <f>ROUND(EXP(-((103.872/(((141.5/(DF23+131.5))*999.012)^2))+(0.2701/((141.5/(DF23+131.5))*999.012)))*(CV23-60)*(1+(0.8*((103.872/(((141.5/(DF23+131.5))*999.012)^2))+(0.2701/((141.5/(DF23+131.5))*999.012)))*(CV23-60)))),4)</f>
        <v>#DIV/0!</v>
      </c>
      <c r="DX23" s="42" t="e">
        <f>ROUND(EXP(-(((103.872/DI23)+0.2701)*(1/DI23))*(CX23-60.0068749)*(1+(0.8*(((103.872/DI23)+0.2701)*(1/DI23))*((CX23-60.0068749)+0.01374979547)))),5)</f>
        <v>#DIV/0!</v>
      </c>
      <c r="DY23" s="38" t="e">
        <f>ROUND(EXP(-((103.872/((DL23*999.012)^2))+(0.2701/(DL23*999.012)))*(CV23-60)*(1+(0.8*((103.872/((DL23*999.012)^2))+(0.2701/(DL23*999.012)))*(CV23-60)))),4)</f>
        <v>#DIV/0!</v>
      </c>
      <c r="DZ23" s="42" t="e">
        <f>ROUND(EXP(-(((103.872/DO23)+0.2701)*(1/DO23))*(CX23-60.0068749)*(1+(0.8*(((103.872/DO23)+0.2701)*(1/DO23))*((CX23-60.0068749)+0.01374979547)))),5)</f>
        <v>#DIV/0!</v>
      </c>
      <c r="EA23" s="38" t="e">
        <f>ROUND(EXP(-((186.9696/((DR23*1000)^2))+(0.4862/(DR23*1000)))*(DA23-15)*(1+(0.8*((186.9696/((DR23*1000)^2))+(0.4862/(DR23*1000)))*(DA23-15)))),4)</f>
        <v>#DIV/0!</v>
      </c>
      <c r="EB23" s="42" t="e">
        <f>ROUND(EXP(-((((186.9696/DU23)+0.4862)*(1/DU23)))*(DC23-15.00367851)*(1+(0.8*((((186.9696/DU23)+0.4862)*(1/DU23)))*((DC23-15.00367851)+0.01374979547)))),5)</f>
        <v>#DIV/0!</v>
      </c>
    </row>
    <row r="24" spans="1:132" ht="11.45" customHeight="1" x14ac:dyDescent="0.2">
      <c r="A24" s="317"/>
      <c r="B24" s="317"/>
      <c r="C24" s="317"/>
      <c r="D24" s="317"/>
      <c r="E24" s="317"/>
      <c r="F24" s="317"/>
      <c r="G24" s="317"/>
      <c r="H24" s="317"/>
      <c r="I24" s="345"/>
      <c r="J24" s="345"/>
      <c r="K24" s="345"/>
      <c r="L24" s="345"/>
      <c r="M24" s="345"/>
      <c r="N24" s="345"/>
      <c r="O24" s="345"/>
      <c r="P24" s="313"/>
      <c r="Q24" s="313"/>
      <c r="R24" s="313"/>
      <c r="S24" s="313"/>
      <c r="T24" s="313"/>
      <c r="U24" s="308"/>
      <c r="V24" s="308"/>
      <c r="W24" s="308"/>
      <c r="X24" s="308"/>
      <c r="Y24" s="308"/>
      <c r="Z24" s="308"/>
      <c r="AA24" s="308"/>
      <c r="AB24" s="308"/>
      <c r="AC24" s="309"/>
      <c r="AD24" s="308"/>
      <c r="AE24" s="308"/>
      <c r="AF24" s="308"/>
      <c r="AG24" s="308"/>
      <c r="AH24" s="308"/>
      <c r="AI24" s="308"/>
      <c r="AJ24" s="308"/>
      <c r="AK24" s="308"/>
      <c r="AL24" s="308"/>
      <c r="AM24" s="308"/>
      <c r="AN24" s="308"/>
      <c r="AO24" s="308"/>
      <c r="AP24" s="308"/>
      <c r="AQ24" s="308"/>
      <c r="AR24" s="308"/>
      <c r="AS24" s="308"/>
      <c r="AT24" s="308"/>
      <c r="AU24" s="308"/>
      <c r="AV24" s="308"/>
      <c r="AW24" s="308"/>
      <c r="AX24" s="308"/>
      <c r="AY24" s="312"/>
      <c r="AZ24" s="312"/>
      <c r="BA24" s="312"/>
      <c r="BB24" s="312"/>
      <c r="BC24" s="312"/>
      <c r="BD24" s="311" t="str">
        <f>IF(OR(AJ24="",AT24=""),"",AJ24-AT24)</f>
        <v/>
      </c>
      <c r="BE24" s="311"/>
      <c r="BF24" s="311"/>
      <c r="BG24" s="311"/>
      <c r="BH24" s="311"/>
      <c r="BI24" s="310" t="str">
        <f t="shared" si="0"/>
        <v/>
      </c>
      <c r="BJ24" s="310"/>
      <c r="BK24" s="310"/>
      <c r="BL24" s="310"/>
      <c r="BM24" s="310"/>
      <c r="BN24" s="311" t="str">
        <f>IF(OR(BD24="",BI24=""),"",BD24*BI24)</f>
        <v/>
      </c>
      <c r="BO24" s="311"/>
      <c r="BP24" s="311"/>
      <c r="BQ24" s="311"/>
      <c r="BR24" s="311"/>
      <c r="BS24" s="332" t="str">
        <f t="shared" si="1"/>
        <v/>
      </c>
      <c r="BT24" s="332"/>
      <c r="BU24" s="332"/>
      <c r="BV24" s="332"/>
      <c r="BW24" s="332"/>
      <c r="BX24" s="311" t="str">
        <f t="shared" si="2"/>
        <v/>
      </c>
      <c r="BY24" s="311"/>
      <c r="BZ24" s="311"/>
      <c r="CA24" s="311"/>
      <c r="CB24" s="311"/>
      <c r="CC24" s="311" t="str">
        <f t="shared" si="3"/>
        <v/>
      </c>
      <c r="CD24" s="311"/>
      <c r="CE24" s="311"/>
      <c r="CF24" s="311"/>
      <c r="CG24" s="311"/>
      <c r="CI24" s="9" t="s">
        <v>171</v>
      </c>
      <c r="CJ24" s="10"/>
      <c r="CK24" s="44" t="e">
        <f>SUM(CP18:CP29)/BD30</f>
        <v>#VALUE!</v>
      </c>
      <c r="CL24" s="11" t="s">
        <v>174</v>
      </c>
      <c r="CN24" s="107" t="s">
        <v>459</v>
      </c>
      <c r="CP24" s="87">
        <f t="shared" si="4"/>
        <v>0</v>
      </c>
      <c r="CR24" s="28" t="e">
        <f t="shared" si="5"/>
        <v>#VALUE!</v>
      </c>
      <c r="CS24" s="29" t="str">
        <f t="shared" si="6"/>
        <v/>
      </c>
      <c r="CU24" s="28">
        <f t="shared" si="7"/>
        <v>32</v>
      </c>
      <c r="CV24" s="31">
        <f t="shared" si="8"/>
        <v>32</v>
      </c>
      <c r="CW24" s="32">
        <f>ROUND(CU24,1)</f>
        <v>32</v>
      </c>
      <c r="CX24" s="32">
        <f t="shared" si="17"/>
        <v>32</v>
      </c>
      <c r="CY24" s="26"/>
      <c r="CZ24" s="28">
        <f t="shared" si="9"/>
        <v>0</v>
      </c>
      <c r="DA24" s="28">
        <f t="shared" si="10"/>
        <v>0</v>
      </c>
      <c r="DB24" s="34">
        <f>ROUND(CZ24,1)</f>
        <v>0</v>
      </c>
      <c r="DC24" s="32">
        <f t="shared" si="18"/>
        <v>0</v>
      </c>
      <c r="DD24" s="35"/>
      <c r="DE24" s="28" t="e">
        <f t="shared" si="11"/>
        <v>#DIV/0!</v>
      </c>
      <c r="DF24" s="31" t="e">
        <f t="shared" si="12"/>
        <v>#DIV/0!</v>
      </c>
      <c r="DG24" s="32" t="e">
        <f>ROUND(DE24,1)</f>
        <v>#DIV/0!</v>
      </c>
      <c r="DH24" s="32" t="e">
        <f t="shared" si="19"/>
        <v>#DIV/0!</v>
      </c>
      <c r="DI24" s="32" t="e">
        <f t="shared" si="20"/>
        <v>#DIV/0!</v>
      </c>
      <c r="DK24" s="38" t="e">
        <f t="shared" si="13"/>
        <v>#DIV/0!</v>
      </c>
      <c r="DL24" s="41" t="e">
        <f t="shared" si="27"/>
        <v>#DIV/0!</v>
      </c>
      <c r="DM24" s="38" t="e">
        <f>ROUND(DK24,4)</f>
        <v>#DIV/0!</v>
      </c>
      <c r="DN24" s="32" t="e">
        <f t="shared" si="21"/>
        <v>#DIV/0!</v>
      </c>
      <c r="DO24" s="32" t="e">
        <f t="shared" si="29"/>
        <v>#DIV/0!</v>
      </c>
      <c r="DQ24" s="38">
        <f t="shared" si="14"/>
        <v>0</v>
      </c>
      <c r="DR24" s="29">
        <f t="shared" si="30"/>
        <v>0</v>
      </c>
      <c r="DS24" s="38">
        <f>ROUND(DQ24,4)</f>
        <v>0</v>
      </c>
      <c r="DT24" s="32">
        <f t="shared" si="22"/>
        <v>0</v>
      </c>
      <c r="DU24" s="32" t="e">
        <f t="shared" si="23"/>
        <v>#DIV/0!</v>
      </c>
      <c r="DW24" s="38" t="e">
        <f>ROUND(EXP(-((103.872/(((141.5/(DF24+131.5))*999.012)^2))+(0.2701/((141.5/(DF24+131.5))*999.012)))*(CV24-60)*(1+(0.8*((103.872/(((141.5/(DF24+131.5))*999.012)^2))+(0.2701/((141.5/(DF24+131.5))*999.012)))*(CV24-60)))),4)</f>
        <v>#DIV/0!</v>
      </c>
      <c r="DX24" s="42" t="e">
        <f>ROUND(EXP(-(((103.872/DI24)+0.2701)*(1/DI24))*(CX24-60.0068749)*(1+(0.8*(((103.872/DI24)+0.2701)*(1/DI24))*((CX24-60.0068749)+0.01374979547)))),5)</f>
        <v>#DIV/0!</v>
      </c>
      <c r="DY24" s="38" t="e">
        <f>ROUND(EXP(-((103.872/((DL24*999.012)^2))+(0.2701/(DL24*999.012)))*(CV24-60)*(1+(0.8*((103.872/((DL24*999.012)^2))+(0.2701/(DL24*999.012)))*(CV24-60)))),4)</f>
        <v>#DIV/0!</v>
      </c>
      <c r="DZ24" s="42" t="e">
        <f>ROUND(EXP(-(((103.872/DO24)+0.2701)*(1/DO24))*(CX24-60.0068749)*(1+(0.8*(((103.872/DO24)+0.2701)*(1/DO24))*((CX24-60.0068749)+0.01374979547)))),5)</f>
        <v>#DIV/0!</v>
      </c>
      <c r="EA24" s="38" t="e">
        <f>ROUND(EXP(-((186.9696/((DR24*1000)^2))+(0.4862/(DR24*1000)))*(DA24-15)*(1+(0.8*((186.9696/((DR24*1000)^2))+(0.4862/(DR24*1000)))*(DA24-15)))),4)</f>
        <v>#DIV/0!</v>
      </c>
      <c r="EB24" s="42" t="e">
        <f>ROUND(EXP(-((((186.9696/DU24)+0.4862)*(1/DU24)))*(DC24-15.00367851)*(1+(0.8*((((186.9696/DU24)+0.4862)*(1/DU24)))*((DC24-15.00367851)+0.01374979547)))),5)</f>
        <v>#DIV/0!</v>
      </c>
    </row>
    <row r="25" spans="1:132" ht="11.45" customHeight="1" x14ac:dyDescent="0.2">
      <c r="A25" s="317"/>
      <c r="B25" s="317"/>
      <c r="C25" s="317"/>
      <c r="D25" s="317"/>
      <c r="E25" s="317"/>
      <c r="F25" s="317"/>
      <c r="G25" s="317"/>
      <c r="H25" s="317"/>
      <c r="I25" s="345"/>
      <c r="J25" s="345"/>
      <c r="K25" s="345"/>
      <c r="L25" s="345"/>
      <c r="M25" s="345"/>
      <c r="N25" s="345"/>
      <c r="O25" s="345"/>
      <c r="P25" s="313"/>
      <c r="Q25" s="313"/>
      <c r="R25" s="313"/>
      <c r="S25" s="313"/>
      <c r="T25" s="313"/>
      <c r="U25" s="308"/>
      <c r="V25" s="308"/>
      <c r="W25" s="308"/>
      <c r="X25" s="308"/>
      <c r="Y25" s="308"/>
      <c r="Z25" s="308"/>
      <c r="AA25" s="308"/>
      <c r="AB25" s="308"/>
      <c r="AC25" s="309"/>
      <c r="AD25" s="308"/>
      <c r="AE25" s="308"/>
      <c r="AF25" s="308"/>
      <c r="AG25" s="308"/>
      <c r="AH25" s="308"/>
      <c r="AI25" s="308"/>
      <c r="AJ25" s="308"/>
      <c r="AK25" s="308"/>
      <c r="AL25" s="308"/>
      <c r="AM25" s="308"/>
      <c r="AN25" s="308"/>
      <c r="AO25" s="308"/>
      <c r="AP25" s="308"/>
      <c r="AQ25" s="308"/>
      <c r="AR25" s="308"/>
      <c r="AS25" s="308"/>
      <c r="AT25" s="308"/>
      <c r="AU25" s="308"/>
      <c r="AV25" s="308"/>
      <c r="AW25" s="308"/>
      <c r="AX25" s="308"/>
      <c r="AY25" s="312"/>
      <c r="AZ25" s="312"/>
      <c r="BA25" s="312"/>
      <c r="BB25" s="312"/>
      <c r="BC25" s="312"/>
      <c r="BD25" s="311" t="str">
        <f t="shared" si="15"/>
        <v/>
      </c>
      <c r="BE25" s="311"/>
      <c r="BF25" s="311"/>
      <c r="BG25" s="311"/>
      <c r="BH25" s="311"/>
      <c r="BI25" s="310" t="str">
        <f t="shared" si="0"/>
        <v/>
      </c>
      <c r="BJ25" s="310"/>
      <c r="BK25" s="310"/>
      <c r="BL25" s="310"/>
      <c r="BM25" s="310"/>
      <c r="BN25" s="311" t="str">
        <f t="shared" si="16"/>
        <v/>
      </c>
      <c r="BO25" s="311"/>
      <c r="BP25" s="311"/>
      <c r="BQ25" s="311"/>
      <c r="BR25" s="311"/>
      <c r="BS25" s="332" t="str">
        <f t="shared" si="1"/>
        <v/>
      </c>
      <c r="BT25" s="332"/>
      <c r="BU25" s="332"/>
      <c r="BV25" s="332"/>
      <c r="BW25" s="332"/>
      <c r="BX25" s="311" t="str">
        <f t="shared" si="2"/>
        <v/>
      </c>
      <c r="BY25" s="311"/>
      <c r="BZ25" s="311"/>
      <c r="CA25" s="311"/>
      <c r="CB25" s="311"/>
      <c r="CC25" s="311" t="str">
        <f t="shared" si="3"/>
        <v/>
      </c>
      <c r="CD25" s="311"/>
      <c r="CE25" s="311"/>
      <c r="CF25" s="311"/>
      <c r="CG25" s="311"/>
      <c r="CN25" s="2" t="s">
        <v>55</v>
      </c>
      <c r="CP25" s="87">
        <f t="shared" si="4"/>
        <v>0</v>
      </c>
      <c r="CR25" s="28" t="e">
        <f t="shared" si="5"/>
        <v>#VALUE!</v>
      </c>
      <c r="CS25" s="29" t="str">
        <f t="shared" si="6"/>
        <v/>
      </c>
      <c r="CU25" s="28">
        <f t="shared" si="7"/>
        <v>32</v>
      </c>
      <c r="CV25" s="31">
        <f t="shared" si="8"/>
        <v>32</v>
      </c>
      <c r="CW25" s="32">
        <f t="shared" si="24"/>
        <v>32</v>
      </c>
      <c r="CX25" s="32">
        <f t="shared" si="17"/>
        <v>32</v>
      </c>
      <c r="CY25" s="26"/>
      <c r="CZ25" s="28">
        <f t="shared" si="9"/>
        <v>0</v>
      </c>
      <c r="DA25" s="28">
        <f t="shared" si="10"/>
        <v>0</v>
      </c>
      <c r="DB25" s="34">
        <f t="shared" si="25"/>
        <v>0</v>
      </c>
      <c r="DC25" s="32">
        <f t="shared" si="18"/>
        <v>0</v>
      </c>
      <c r="DD25" s="35"/>
      <c r="DE25" s="28" t="e">
        <f t="shared" si="11"/>
        <v>#DIV/0!</v>
      </c>
      <c r="DF25" s="31" t="e">
        <f t="shared" si="12"/>
        <v>#DIV/0!</v>
      </c>
      <c r="DG25" s="32" t="e">
        <f t="shared" si="26"/>
        <v>#DIV/0!</v>
      </c>
      <c r="DH25" s="32" t="e">
        <f t="shared" si="19"/>
        <v>#DIV/0!</v>
      </c>
      <c r="DI25" s="32" t="e">
        <f t="shared" si="20"/>
        <v>#DIV/0!</v>
      </c>
      <c r="DK25" s="38" t="e">
        <f t="shared" si="13"/>
        <v>#DIV/0!</v>
      </c>
      <c r="DL25" s="41" t="e">
        <f t="shared" si="27"/>
        <v>#DIV/0!</v>
      </c>
      <c r="DM25" s="38" t="e">
        <f t="shared" si="28"/>
        <v>#DIV/0!</v>
      </c>
      <c r="DN25" s="32" t="e">
        <f t="shared" si="21"/>
        <v>#DIV/0!</v>
      </c>
      <c r="DO25" s="32" t="e">
        <f t="shared" si="29"/>
        <v>#DIV/0!</v>
      </c>
      <c r="DQ25" s="38">
        <f t="shared" si="14"/>
        <v>0</v>
      </c>
      <c r="DR25" s="29">
        <f t="shared" si="30"/>
        <v>0</v>
      </c>
      <c r="DS25" s="38">
        <f t="shared" si="31"/>
        <v>0</v>
      </c>
      <c r="DT25" s="32">
        <f t="shared" si="22"/>
        <v>0</v>
      </c>
      <c r="DU25" s="32" t="e">
        <f t="shared" si="23"/>
        <v>#DIV/0!</v>
      </c>
      <c r="DW25" s="38" t="e">
        <f t="shared" si="32"/>
        <v>#DIV/0!</v>
      </c>
      <c r="DX25" s="42" t="e">
        <f t="shared" si="33"/>
        <v>#DIV/0!</v>
      </c>
      <c r="DY25" s="38" t="e">
        <f t="shared" si="34"/>
        <v>#DIV/0!</v>
      </c>
      <c r="DZ25" s="42" t="e">
        <f t="shared" si="35"/>
        <v>#DIV/0!</v>
      </c>
      <c r="EA25" s="38" t="e">
        <f t="shared" si="36"/>
        <v>#DIV/0!</v>
      </c>
      <c r="EB25" s="42" t="e">
        <f t="shared" si="37"/>
        <v>#DIV/0!</v>
      </c>
    </row>
    <row r="26" spans="1:132" ht="11.45" customHeight="1" x14ac:dyDescent="0.2">
      <c r="A26" s="317"/>
      <c r="B26" s="317"/>
      <c r="C26" s="317"/>
      <c r="D26" s="317"/>
      <c r="E26" s="317"/>
      <c r="F26" s="317"/>
      <c r="G26" s="317"/>
      <c r="H26" s="317"/>
      <c r="I26" s="345"/>
      <c r="J26" s="345"/>
      <c r="K26" s="345"/>
      <c r="L26" s="345"/>
      <c r="M26" s="345"/>
      <c r="N26" s="345"/>
      <c r="O26" s="345"/>
      <c r="P26" s="313"/>
      <c r="Q26" s="313"/>
      <c r="R26" s="313"/>
      <c r="S26" s="313"/>
      <c r="T26" s="313"/>
      <c r="U26" s="308"/>
      <c r="V26" s="308"/>
      <c r="W26" s="308"/>
      <c r="X26" s="308"/>
      <c r="Y26" s="308"/>
      <c r="Z26" s="308"/>
      <c r="AA26" s="308"/>
      <c r="AB26" s="308"/>
      <c r="AC26" s="309"/>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5"/>
        <v/>
      </c>
      <c r="BE26" s="311"/>
      <c r="BF26" s="311"/>
      <c r="BG26" s="311"/>
      <c r="BH26" s="311"/>
      <c r="BI26" s="310" t="str">
        <f t="shared" si="0"/>
        <v/>
      </c>
      <c r="BJ26" s="310"/>
      <c r="BK26" s="310"/>
      <c r="BL26" s="310"/>
      <c r="BM26" s="310"/>
      <c r="BN26" s="311" t="str">
        <f t="shared" si="16"/>
        <v/>
      </c>
      <c r="BO26" s="311"/>
      <c r="BP26" s="311"/>
      <c r="BQ26" s="311"/>
      <c r="BR26" s="311"/>
      <c r="BS26" s="332" t="str">
        <f t="shared" si="1"/>
        <v/>
      </c>
      <c r="BT26" s="332"/>
      <c r="BU26" s="332"/>
      <c r="BV26" s="332"/>
      <c r="BW26" s="332"/>
      <c r="BX26" s="311" t="str">
        <f t="shared" si="2"/>
        <v/>
      </c>
      <c r="BY26" s="311"/>
      <c r="BZ26" s="311"/>
      <c r="CA26" s="311"/>
      <c r="CB26" s="311"/>
      <c r="CC26" s="311" t="str">
        <f t="shared" si="3"/>
        <v/>
      </c>
      <c r="CD26" s="311"/>
      <c r="CE26" s="311"/>
      <c r="CF26" s="311"/>
      <c r="CG26" s="311"/>
      <c r="CP26" s="87">
        <f t="shared" si="4"/>
        <v>0</v>
      </c>
      <c r="CR26" s="28" t="e">
        <f t="shared" si="5"/>
        <v>#VALUE!</v>
      </c>
      <c r="CS26" s="29" t="str">
        <f t="shared" si="6"/>
        <v/>
      </c>
      <c r="CU26" s="28">
        <f t="shared" si="7"/>
        <v>32</v>
      </c>
      <c r="CV26" s="31">
        <f t="shared" si="8"/>
        <v>32</v>
      </c>
      <c r="CW26" s="32">
        <f t="shared" si="24"/>
        <v>32</v>
      </c>
      <c r="CX26" s="32">
        <f t="shared" si="17"/>
        <v>32</v>
      </c>
      <c r="CY26" s="26"/>
      <c r="CZ26" s="28">
        <f t="shared" si="9"/>
        <v>0</v>
      </c>
      <c r="DA26" s="28">
        <f t="shared" si="10"/>
        <v>0</v>
      </c>
      <c r="DB26" s="34">
        <f t="shared" si="25"/>
        <v>0</v>
      </c>
      <c r="DC26" s="32">
        <f t="shared" si="18"/>
        <v>0</v>
      </c>
      <c r="DD26" s="35"/>
      <c r="DE26" s="28" t="e">
        <f t="shared" si="11"/>
        <v>#DIV/0!</v>
      </c>
      <c r="DF26" s="31" t="e">
        <f t="shared" si="12"/>
        <v>#DIV/0!</v>
      </c>
      <c r="DG26" s="32" t="e">
        <f t="shared" si="26"/>
        <v>#DIV/0!</v>
      </c>
      <c r="DH26" s="32" t="e">
        <f t="shared" si="19"/>
        <v>#DIV/0!</v>
      </c>
      <c r="DI26" s="32" t="e">
        <f t="shared" si="20"/>
        <v>#DIV/0!</v>
      </c>
      <c r="DK26" s="38" t="e">
        <f t="shared" si="13"/>
        <v>#DIV/0!</v>
      </c>
      <c r="DL26" s="41" t="e">
        <f t="shared" si="27"/>
        <v>#DIV/0!</v>
      </c>
      <c r="DM26" s="38" t="e">
        <f t="shared" si="28"/>
        <v>#DIV/0!</v>
      </c>
      <c r="DN26" s="32" t="e">
        <f t="shared" si="21"/>
        <v>#DIV/0!</v>
      </c>
      <c r="DO26" s="32" t="e">
        <f t="shared" si="29"/>
        <v>#DIV/0!</v>
      </c>
      <c r="DQ26" s="38">
        <f t="shared" si="14"/>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313"/>
      <c r="Q27" s="313"/>
      <c r="R27" s="313"/>
      <c r="S27" s="313"/>
      <c r="T27" s="3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5"/>
        <v/>
      </c>
      <c r="BE27" s="311"/>
      <c r="BF27" s="311"/>
      <c r="BG27" s="311"/>
      <c r="BH27" s="311"/>
      <c r="BI27" s="310" t="str">
        <f t="shared" si="0"/>
        <v/>
      </c>
      <c r="BJ27" s="310"/>
      <c r="BK27" s="310"/>
      <c r="BL27" s="310"/>
      <c r="BM27" s="310"/>
      <c r="BN27" s="311" t="str">
        <f t="shared" si="16"/>
        <v/>
      </c>
      <c r="BO27" s="311"/>
      <c r="BP27" s="311"/>
      <c r="BQ27" s="311"/>
      <c r="BR27" s="311"/>
      <c r="BS27" s="332" t="str">
        <f t="shared" si="1"/>
        <v/>
      </c>
      <c r="BT27" s="332"/>
      <c r="BU27" s="332"/>
      <c r="BV27" s="332"/>
      <c r="BW27" s="332"/>
      <c r="BX27" s="311" t="str">
        <f t="shared" si="2"/>
        <v/>
      </c>
      <c r="BY27" s="311"/>
      <c r="BZ27" s="311"/>
      <c r="CA27" s="311"/>
      <c r="CB27" s="311"/>
      <c r="CC27" s="311" t="str">
        <f t="shared" si="3"/>
        <v/>
      </c>
      <c r="CD27" s="311"/>
      <c r="CE27" s="311"/>
      <c r="CF27" s="311"/>
      <c r="CG27" s="311"/>
      <c r="CP27" s="87">
        <f t="shared" si="4"/>
        <v>0</v>
      </c>
      <c r="CR27" s="28" t="e">
        <f t="shared" si="5"/>
        <v>#VALUE!</v>
      </c>
      <c r="CS27" s="29" t="str">
        <f t="shared" si="6"/>
        <v/>
      </c>
      <c r="CU27" s="28">
        <f t="shared" si="7"/>
        <v>32</v>
      </c>
      <c r="CV27" s="31">
        <f t="shared" si="8"/>
        <v>32</v>
      </c>
      <c r="CW27" s="32">
        <f t="shared" si="24"/>
        <v>32</v>
      </c>
      <c r="CX27" s="32">
        <f t="shared" si="17"/>
        <v>32</v>
      </c>
      <c r="CY27" s="26"/>
      <c r="CZ27" s="28">
        <f t="shared" si="9"/>
        <v>0</v>
      </c>
      <c r="DA27" s="28">
        <f t="shared" si="10"/>
        <v>0</v>
      </c>
      <c r="DB27" s="34">
        <f t="shared" si="25"/>
        <v>0</v>
      </c>
      <c r="DC27" s="32">
        <f t="shared" si="18"/>
        <v>0</v>
      </c>
      <c r="DD27" s="35"/>
      <c r="DE27" s="28" t="e">
        <f t="shared" si="11"/>
        <v>#DIV/0!</v>
      </c>
      <c r="DF27" s="31" t="e">
        <f t="shared" si="12"/>
        <v>#DIV/0!</v>
      </c>
      <c r="DG27" s="32" t="e">
        <f t="shared" si="26"/>
        <v>#DIV/0!</v>
      </c>
      <c r="DH27" s="32" t="e">
        <f t="shared" si="19"/>
        <v>#DIV/0!</v>
      </c>
      <c r="DI27" s="32" t="e">
        <f t="shared" si="20"/>
        <v>#DIV/0!</v>
      </c>
      <c r="DK27" s="38" t="e">
        <f t="shared" si="13"/>
        <v>#DIV/0!</v>
      </c>
      <c r="DL27" s="41" t="e">
        <f t="shared" si="27"/>
        <v>#DIV/0!</v>
      </c>
      <c r="DM27" s="38" t="e">
        <f t="shared" si="28"/>
        <v>#DIV/0!</v>
      </c>
      <c r="DN27" s="32" t="e">
        <f t="shared" si="21"/>
        <v>#DIV/0!</v>
      </c>
      <c r="DO27" s="32" t="e">
        <f t="shared" si="29"/>
        <v>#DIV/0!</v>
      </c>
      <c r="DQ27" s="38">
        <f t="shared" si="14"/>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5"/>
        <v/>
      </c>
      <c r="BE28" s="311"/>
      <c r="BF28" s="311"/>
      <c r="BG28" s="311"/>
      <c r="BH28" s="311"/>
      <c r="BI28" s="310" t="str">
        <f t="shared" si="0"/>
        <v/>
      </c>
      <c r="BJ28" s="310"/>
      <c r="BK28" s="310"/>
      <c r="BL28" s="310"/>
      <c r="BM28" s="310"/>
      <c r="BN28" s="311" t="str">
        <f t="shared" si="16"/>
        <v/>
      </c>
      <c r="BO28" s="311"/>
      <c r="BP28" s="311"/>
      <c r="BQ28" s="311"/>
      <c r="BR28" s="311"/>
      <c r="BS28" s="332" t="str">
        <f t="shared" si="1"/>
        <v/>
      </c>
      <c r="BT28" s="332"/>
      <c r="BU28" s="332"/>
      <c r="BV28" s="332"/>
      <c r="BW28" s="332"/>
      <c r="BX28" s="311" t="str">
        <f t="shared" si="2"/>
        <v/>
      </c>
      <c r="BY28" s="311"/>
      <c r="BZ28" s="311"/>
      <c r="CA28" s="311"/>
      <c r="CB28" s="311"/>
      <c r="CC28" s="311" t="str">
        <f t="shared" si="3"/>
        <v/>
      </c>
      <c r="CD28" s="311"/>
      <c r="CE28" s="311"/>
      <c r="CF28" s="311"/>
      <c r="CG28" s="311"/>
      <c r="CN28" s="1" t="s">
        <v>216</v>
      </c>
      <c r="CP28" s="87">
        <f t="shared" si="4"/>
        <v>0</v>
      </c>
      <c r="CR28" s="28" t="e">
        <f t="shared" si="5"/>
        <v>#VALUE!</v>
      </c>
      <c r="CS28" s="29" t="str">
        <f t="shared" si="6"/>
        <v/>
      </c>
      <c r="CU28" s="28">
        <f t="shared" si="7"/>
        <v>32</v>
      </c>
      <c r="CV28" s="31">
        <f t="shared" si="8"/>
        <v>32</v>
      </c>
      <c r="CW28" s="32">
        <f t="shared" si="24"/>
        <v>32</v>
      </c>
      <c r="CX28" s="32">
        <f t="shared" si="17"/>
        <v>32</v>
      </c>
      <c r="CY28" s="26"/>
      <c r="CZ28" s="28">
        <f t="shared" si="9"/>
        <v>0</v>
      </c>
      <c r="DA28" s="28">
        <f t="shared" si="10"/>
        <v>0</v>
      </c>
      <c r="DB28" s="34">
        <f t="shared" si="25"/>
        <v>0</v>
      </c>
      <c r="DC28" s="32">
        <f t="shared" si="18"/>
        <v>0</v>
      </c>
      <c r="DD28" s="35"/>
      <c r="DE28" s="28" t="e">
        <f t="shared" si="11"/>
        <v>#DIV/0!</v>
      </c>
      <c r="DF28" s="31" t="e">
        <f t="shared" si="12"/>
        <v>#DIV/0!</v>
      </c>
      <c r="DG28" s="32" t="e">
        <f t="shared" si="26"/>
        <v>#DIV/0!</v>
      </c>
      <c r="DH28" s="32" t="e">
        <f t="shared" si="19"/>
        <v>#DIV/0!</v>
      </c>
      <c r="DI28" s="32" t="e">
        <f t="shared" si="20"/>
        <v>#DIV/0!</v>
      </c>
      <c r="DK28" s="38" t="e">
        <f t="shared" si="13"/>
        <v>#DIV/0!</v>
      </c>
      <c r="DL28" s="41" t="e">
        <f t="shared" si="27"/>
        <v>#DIV/0!</v>
      </c>
      <c r="DM28" s="38" t="e">
        <f t="shared" si="28"/>
        <v>#DIV/0!</v>
      </c>
      <c r="DN28" s="32" t="e">
        <f t="shared" si="21"/>
        <v>#DIV/0!</v>
      </c>
      <c r="DO28" s="32" t="e">
        <f t="shared" si="29"/>
        <v>#DIV/0!</v>
      </c>
      <c r="DQ28" s="38">
        <f t="shared" si="14"/>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5"/>
        <v/>
      </c>
      <c r="BE29" s="311"/>
      <c r="BF29" s="311"/>
      <c r="BG29" s="311"/>
      <c r="BH29" s="311"/>
      <c r="BI29" s="310" t="str">
        <f t="shared" si="0"/>
        <v/>
      </c>
      <c r="BJ29" s="310"/>
      <c r="BK29" s="310"/>
      <c r="BL29" s="310"/>
      <c r="BM29" s="310"/>
      <c r="BN29" s="311" t="str">
        <f t="shared" si="16"/>
        <v/>
      </c>
      <c r="BO29" s="311"/>
      <c r="BP29" s="311"/>
      <c r="BQ29" s="311"/>
      <c r="BR29" s="311"/>
      <c r="BS29" s="332" t="str">
        <f t="shared" si="1"/>
        <v/>
      </c>
      <c r="BT29" s="332"/>
      <c r="BU29" s="332"/>
      <c r="BV29" s="332"/>
      <c r="BW29" s="332"/>
      <c r="BX29" s="311" t="str">
        <f t="shared" si="2"/>
        <v/>
      </c>
      <c r="BY29" s="311"/>
      <c r="BZ29" s="311"/>
      <c r="CA29" s="311"/>
      <c r="CB29" s="311"/>
      <c r="CC29" s="311" t="str">
        <f t="shared" si="3"/>
        <v/>
      </c>
      <c r="CD29" s="311"/>
      <c r="CE29" s="311"/>
      <c r="CF29" s="311"/>
      <c r="CG29" s="311"/>
      <c r="CI29" s="323" t="s">
        <v>166</v>
      </c>
      <c r="CJ29" s="324"/>
      <c r="CK29" s="324"/>
      <c r="CL29" s="325"/>
      <c r="CN29" s="107" t="s">
        <v>198</v>
      </c>
      <c r="CP29" s="2">
        <f t="shared" si="4"/>
        <v>0</v>
      </c>
      <c r="CR29" s="45" t="e">
        <f t="shared" si="5"/>
        <v>#VALUE!</v>
      </c>
      <c r="CS29" s="46" t="str">
        <f t="shared" si="6"/>
        <v/>
      </c>
      <c r="CU29" s="45">
        <f t="shared" si="7"/>
        <v>32</v>
      </c>
      <c r="CV29" s="47">
        <f t="shared" si="8"/>
        <v>32</v>
      </c>
      <c r="CW29" s="48">
        <f>ROUND(CU29,1)</f>
        <v>32</v>
      </c>
      <c r="CX29" s="48">
        <f t="shared" si="17"/>
        <v>32</v>
      </c>
      <c r="CZ29" s="45">
        <f t="shared" si="9"/>
        <v>0</v>
      </c>
      <c r="DA29" s="45">
        <f t="shared" si="10"/>
        <v>0</v>
      </c>
      <c r="DB29" s="49">
        <f>ROUND(CZ29,1)</f>
        <v>0</v>
      </c>
      <c r="DC29" s="48">
        <f t="shared" si="18"/>
        <v>0</v>
      </c>
      <c r="DD29" s="35"/>
      <c r="DE29" s="45" t="e">
        <f t="shared" si="11"/>
        <v>#DIV/0!</v>
      </c>
      <c r="DF29" s="47" t="e">
        <f t="shared" si="12"/>
        <v>#DIV/0!</v>
      </c>
      <c r="DG29" s="48" t="e">
        <f>ROUND(DE29,1)</f>
        <v>#DIV/0!</v>
      </c>
      <c r="DH29" s="48" t="e">
        <f t="shared" si="19"/>
        <v>#DIV/0!</v>
      </c>
      <c r="DI29" s="48" t="e">
        <f t="shared" si="20"/>
        <v>#DIV/0!</v>
      </c>
      <c r="DK29" s="50" t="e">
        <f t="shared" si="13"/>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4"/>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91"/>
      <c r="AD30" s="159"/>
      <c r="AE30" s="341" t="s">
        <v>212</v>
      </c>
      <c r="AF30" s="341"/>
      <c r="AG30" s="341"/>
      <c r="AH30" s="341"/>
      <c r="AI30" s="341"/>
      <c r="AJ30" s="320" t="str">
        <f>IF(COUNT(AJ18:AN29)=0,"",ROUND(SUM(AJ18:AN29),3))</f>
        <v/>
      </c>
      <c r="AK30" s="321"/>
      <c r="AL30" s="321"/>
      <c r="AM30" s="321"/>
      <c r="AN30" s="322"/>
      <c r="AO30" s="341" t="s">
        <v>214</v>
      </c>
      <c r="AP30" s="341"/>
      <c r="AQ30" s="341"/>
      <c r="AR30" s="341"/>
      <c r="AS30" s="341"/>
      <c r="AT30" s="320" t="str">
        <f>IF(COUNT(AT18:AX29)=0,"",ROUND(SUM(AT18:AX29),3))</f>
        <v/>
      </c>
      <c r="AU30" s="321"/>
      <c r="AV30" s="321"/>
      <c r="AW30" s="321"/>
      <c r="AX30" s="322"/>
      <c r="AY30" s="341" t="s">
        <v>211</v>
      </c>
      <c r="AZ30" s="341"/>
      <c r="BA30" s="341"/>
      <c r="BB30" s="341"/>
      <c r="BC30" s="341"/>
      <c r="BD30" s="320" t="str">
        <f>IF(COUNT(BD18:BH29)=0,"",ROUND(SUM(BD18:BH29),3))</f>
        <v/>
      </c>
      <c r="BE30" s="321"/>
      <c r="BF30" s="321"/>
      <c r="BG30" s="321"/>
      <c r="BH30" s="322"/>
      <c r="BI30" s="341" t="s">
        <v>210</v>
      </c>
      <c r="BJ30" s="341"/>
      <c r="BK30" s="341"/>
      <c r="BL30" s="341"/>
      <c r="BM30" s="341"/>
      <c r="BN30" s="320" t="str">
        <f>IF(COUNT(BN18:BR29)=0,"",ROUND(SUM(BN18:BR29),3))</f>
        <v/>
      </c>
      <c r="BO30" s="321"/>
      <c r="BP30" s="321"/>
      <c r="BQ30" s="321"/>
      <c r="BR30" s="322"/>
      <c r="BS30" s="341" t="s">
        <v>209</v>
      </c>
      <c r="BT30" s="341"/>
      <c r="BU30" s="341"/>
      <c r="BV30" s="341"/>
      <c r="BW30" s="341"/>
      <c r="BX30" s="320" t="str">
        <f>IF(COUNT(BX18:CB29)=0,"",ROUND(SUM(BX18:CB29),3))</f>
        <v/>
      </c>
      <c r="BY30" s="321"/>
      <c r="BZ30" s="321"/>
      <c r="CA30" s="321"/>
      <c r="CB30" s="322"/>
      <c r="CC30" s="320" t="str">
        <f>IF(COUNT(CC18:CG29)=0,"",ROUND(SUM(CC18:CG29),3))</f>
        <v/>
      </c>
      <c r="CD30" s="321"/>
      <c r="CE30" s="321"/>
      <c r="CF30" s="321"/>
      <c r="CG30" s="322"/>
      <c r="CI30" s="326"/>
      <c r="CJ30" s="327"/>
      <c r="CK30" s="327"/>
      <c r="CL30" s="328"/>
      <c r="CN30" s="2" t="s">
        <v>226</v>
      </c>
      <c r="CP30" s="91"/>
      <c r="DW30" s="91"/>
      <c r="DX30" s="91"/>
    </row>
    <row r="31" spans="1:132" ht="11.45" customHeight="1" thickBot="1" x14ac:dyDescent="0.25">
      <c r="A31" s="381"/>
      <c r="B31" s="381"/>
      <c r="C31" s="381"/>
      <c r="D31" s="381"/>
      <c r="E31" s="381"/>
      <c r="F31" s="381"/>
      <c r="G31" s="381"/>
      <c r="H31" s="381"/>
      <c r="I31" s="381"/>
      <c r="J31" s="381"/>
      <c r="K31" s="381"/>
      <c r="L31" s="381"/>
      <c r="M31" s="381"/>
      <c r="N31" s="381"/>
      <c r="O31" s="381"/>
      <c r="P31" s="381"/>
      <c r="Q31" s="381"/>
      <c r="R31" s="381"/>
      <c r="S31" s="381"/>
      <c r="T31" s="381"/>
      <c r="U31" s="381"/>
      <c r="V31" s="381"/>
      <c r="W31" s="381"/>
      <c r="X31" s="381"/>
      <c r="Y31" s="381"/>
      <c r="Z31" s="381"/>
      <c r="AA31" s="381"/>
      <c r="AB31" s="381"/>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81"/>
      <c r="BA31" s="381"/>
      <c r="BB31" s="381"/>
      <c r="BC31" s="381"/>
      <c r="BD31" s="381"/>
      <c r="BE31" s="381"/>
      <c r="BF31" s="381"/>
      <c r="BG31" s="381"/>
      <c r="BH31" s="381"/>
      <c r="BI31" s="381"/>
      <c r="BJ31" s="381"/>
      <c r="BK31" s="381"/>
      <c r="BL31" s="381"/>
      <c r="BM31" s="381"/>
      <c r="BN31" s="381"/>
      <c r="BO31" s="381"/>
      <c r="BP31" s="381"/>
      <c r="BQ31" s="381"/>
      <c r="BR31" s="381"/>
      <c r="BS31" s="381"/>
      <c r="BT31" s="381"/>
      <c r="BU31" s="381"/>
      <c r="BV31" s="381"/>
      <c r="BW31" s="381"/>
      <c r="BX31" s="381"/>
      <c r="BY31" s="381"/>
      <c r="BZ31" s="381"/>
      <c r="CA31" s="381"/>
      <c r="CB31" s="381"/>
      <c r="CC31" s="381"/>
      <c r="CD31" s="381"/>
      <c r="CE31" s="381"/>
      <c r="CF31" s="381"/>
      <c r="CG31" s="381"/>
      <c r="CI31" s="5"/>
      <c r="CJ31" s="113">
        <v>-110</v>
      </c>
      <c r="CK31" s="114">
        <v>-108.1</v>
      </c>
      <c r="CL31" s="115">
        <v>-108</v>
      </c>
      <c r="CP31" s="91"/>
      <c r="DW31" s="91"/>
      <c r="DX31" s="91"/>
    </row>
    <row r="32" spans="1:132" ht="11.45" customHeight="1" x14ac:dyDescent="0.2">
      <c r="A32" s="336" t="s">
        <v>28</v>
      </c>
      <c r="B32" s="336"/>
      <c r="C32" s="336"/>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336"/>
      <c r="AB32" s="336"/>
      <c r="AC32" s="336"/>
      <c r="AD32" s="336"/>
      <c r="AE32" s="336"/>
      <c r="AF32" s="336"/>
      <c r="AG32" s="336"/>
      <c r="AH32" s="336"/>
      <c r="AI32" s="336"/>
      <c r="AJ32" s="336"/>
      <c r="AK32" s="336"/>
      <c r="AL32" s="343" t="s">
        <v>2</v>
      </c>
      <c r="AM32" s="343"/>
      <c r="AN32" s="343"/>
      <c r="AO32" s="95" t="s">
        <v>0</v>
      </c>
      <c r="AP32" s="393"/>
      <c r="AQ32" s="393"/>
      <c r="AR32" s="393"/>
      <c r="AS32" s="393"/>
      <c r="AT32" s="393"/>
      <c r="AU32" s="393"/>
      <c r="AV32" s="393"/>
      <c r="AW32" s="393"/>
      <c r="AX32" s="343" t="s">
        <v>16</v>
      </c>
      <c r="AY32" s="343"/>
      <c r="AZ32" s="343"/>
      <c r="BA32" s="95" t="s">
        <v>0</v>
      </c>
      <c r="BB32" s="365"/>
      <c r="BC32" s="365"/>
      <c r="BD32" s="365"/>
      <c r="BE32" s="365"/>
      <c r="BF32" s="365"/>
      <c r="BG32" s="365"/>
      <c r="BH32" s="365"/>
      <c r="BI32" s="365"/>
      <c r="BJ32" s="343" t="s">
        <v>425</v>
      </c>
      <c r="BK32" s="343"/>
      <c r="BL32" s="343"/>
      <c r="BM32" s="343"/>
      <c r="BN32" s="343"/>
      <c r="BO32" s="343"/>
      <c r="BP32" s="343"/>
      <c r="BQ32" s="95" t="s">
        <v>0</v>
      </c>
      <c r="BR32" s="343"/>
      <c r="BS32" s="343"/>
      <c r="BT32" s="343"/>
      <c r="BU32" s="343"/>
      <c r="BV32" s="343"/>
      <c r="BW32" s="343"/>
      <c r="BX32" s="343"/>
      <c r="BY32" s="343"/>
      <c r="BZ32" s="343"/>
      <c r="CA32" s="343"/>
      <c r="CB32" s="343"/>
      <c r="CC32" s="343"/>
      <c r="CD32" s="343"/>
      <c r="CE32" s="343"/>
      <c r="CF32" s="343"/>
      <c r="CG32" s="343"/>
      <c r="CI32" s="116">
        <v>34</v>
      </c>
      <c r="CJ32" s="117">
        <v>-140</v>
      </c>
      <c r="CK32" s="53">
        <f>(CL32-CJ32)/(CL31-CJ31)*(CK31-CJ31)+CJ32</f>
        <v>-140</v>
      </c>
      <c r="CL32" s="118">
        <v>-140</v>
      </c>
      <c r="CP32" s="91"/>
      <c r="CR32" s="91"/>
      <c r="CS32" s="91"/>
      <c r="CY32" s="91"/>
      <c r="DW32" s="91"/>
      <c r="DX32" s="91"/>
    </row>
    <row r="33" spans="1:132" ht="11.45" customHeight="1" x14ac:dyDescent="0.2">
      <c r="A33" s="155"/>
      <c r="B33" s="155"/>
      <c r="C33" s="155"/>
      <c r="D33" s="155"/>
      <c r="E33" s="155"/>
      <c r="F33" s="155"/>
      <c r="G33" s="155" t="s">
        <v>196</v>
      </c>
      <c r="H33" s="155"/>
      <c r="I33" s="155"/>
      <c r="J33" s="155"/>
      <c r="K33" s="155"/>
      <c r="L33" s="155"/>
      <c r="M33" s="90" t="s">
        <v>0</v>
      </c>
      <c r="N33" s="340"/>
      <c r="O33" s="340"/>
      <c r="P33" s="340"/>
      <c r="Q33" s="340"/>
      <c r="R33" s="340"/>
      <c r="S33" s="340"/>
      <c r="T33" s="340" t="s">
        <v>192</v>
      </c>
      <c r="U33" s="340"/>
      <c r="V33" s="340"/>
      <c r="W33" s="340"/>
      <c r="X33" s="350"/>
      <c r="Y33" s="350"/>
      <c r="Z33" s="350"/>
      <c r="AA33" s="350"/>
      <c r="AB33" s="350"/>
      <c r="AC33" s="350"/>
      <c r="AD33" s="352" t="s">
        <v>427</v>
      </c>
      <c r="AE33" s="352"/>
      <c r="AF33" s="352"/>
      <c r="AG33" s="90" t="s">
        <v>0</v>
      </c>
      <c r="AH33" s="340" t="str">
        <f>IF(OR(N33="",N34=""),"",(N34-N33))</f>
        <v/>
      </c>
      <c r="AI33" s="340"/>
      <c r="AJ33" s="340"/>
      <c r="AK33" s="340"/>
      <c r="AL33" s="340"/>
      <c r="AM33" s="342" t="str">
        <f>T33</f>
        <v xml:space="preserve"> M</v>
      </c>
      <c r="AN33" s="342"/>
      <c r="AO33" s="342"/>
      <c r="AP33" s="342"/>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103" t="s">
        <v>0</v>
      </c>
      <c r="BN33" s="155"/>
      <c r="BO33" s="155"/>
      <c r="BP33" s="155"/>
      <c r="BQ33" s="155"/>
      <c r="BR33" s="155"/>
      <c r="BS33" s="155"/>
      <c r="BT33" s="155"/>
      <c r="BU33" s="155"/>
      <c r="BV33" s="155"/>
      <c r="BW33" s="155"/>
      <c r="BX33" s="155"/>
      <c r="BY33" s="155"/>
      <c r="BZ33" s="155"/>
      <c r="CA33" s="155"/>
      <c r="CB33" s="155"/>
      <c r="CC33" s="155"/>
      <c r="CD33" s="155"/>
      <c r="CE33" s="155"/>
      <c r="CF33" s="155"/>
      <c r="CG33" s="155"/>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162"/>
      <c r="B34" s="162"/>
      <c r="C34" s="162"/>
      <c r="D34" s="162"/>
      <c r="E34" s="162"/>
      <c r="F34" s="162"/>
      <c r="G34" s="162" t="s">
        <v>426</v>
      </c>
      <c r="H34" s="162"/>
      <c r="I34" s="162"/>
      <c r="J34" s="162"/>
      <c r="K34" s="162"/>
      <c r="L34" s="162"/>
      <c r="M34" s="90" t="s">
        <v>0</v>
      </c>
      <c r="N34" s="355"/>
      <c r="O34" s="355"/>
      <c r="P34" s="355"/>
      <c r="Q34" s="355"/>
      <c r="R34" s="355"/>
      <c r="S34" s="355"/>
      <c r="T34" s="358" t="str">
        <f>T33</f>
        <v xml:space="preserve"> M</v>
      </c>
      <c r="U34" s="358"/>
      <c r="V34" s="358"/>
      <c r="W34" s="358"/>
      <c r="X34" s="351"/>
      <c r="Y34" s="351"/>
      <c r="Z34" s="351"/>
      <c r="AA34" s="351"/>
      <c r="AB34" s="351"/>
      <c r="AC34" s="351"/>
      <c r="AD34" s="353" t="s">
        <v>428</v>
      </c>
      <c r="AE34" s="353"/>
      <c r="AF34" s="353"/>
      <c r="AG34" s="90" t="s">
        <v>0</v>
      </c>
      <c r="AH34" s="162"/>
      <c r="AI34" s="162"/>
      <c r="AJ34" s="162"/>
      <c r="AK34" s="162"/>
      <c r="AL34" s="162"/>
      <c r="AM34" s="162"/>
      <c r="AN34" s="162"/>
      <c r="AO34" s="162"/>
      <c r="AP34" s="16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103" t="s">
        <v>0</v>
      </c>
      <c r="BN34" s="162"/>
      <c r="BO34" s="162"/>
      <c r="BP34" s="162"/>
      <c r="BQ34" s="162"/>
      <c r="BR34" s="162"/>
      <c r="BS34" s="162"/>
      <c r="BT34" s="162"/>
      <c r="BU34" s="162"/>
      <c r="BV34" s="162"/>
      <c r="BW34" s="162"/>
      <c r="BX34" s="162"/>
      <c r="BY34" s="162"/>
      <c r="BZ34" s="162"/>
      <c r="CA34" s="162"/>
      <c r="CB34" s="162"/>
      <c r="CC34" s="162"/>
      <c r="CD34" s="162"/>
      <c r="CE34" s="162"/>
      <c r="CF34" s="162"/>
      <c r="CG34" s="16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7"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IF(P17="","",P17)</f>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333"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8">IF(A18="","",A18)</f>
        <v/>
      </c>
      <c r="B37" s="346"/>
      <c r="C37" s="346"/>
      <c r="D37" s="346"/>
      <c r="E37" s="346"/>
      <c r="F37" s="346"/>
      <c r="G37" s="346"/>
      <c r="H37" s="346"/>
      <c r="I37" s="318" t="str">
        <f t="shared" ref="I37:I48" si="39">IF(I18="","",I18)</f>
        <v/>
      </c>
      <c r="J37" s="318"/>
      <c r="K37" s="318"/>
      <c r="L37" s="318"/>
      <c r="M37" s="318"/>
      <c r="N37" s="318"/>
      <c r="O37" s="318"/>
      <c r="P37" s="313"/>
      <c r="Q37" s="313"/>
      <c r="R37" s="313"/>
      <c r="S37" s="313"/>
      <c r="T37" s="313"/>
      <c r="U37" s="308" t="str">
        <f t="shared" ref="U37:U47" si="40">IF(U18="","",U18)</f>
        <v/>
      </c>
      <c r="V37" s="308"/>
      <c r="W37" s="308"/>
      <c r="X37" s="308"/>
      <c r="Y37" s="308"/>
      <c r="Z37" s="308"/>
      <c r="AA37" s="308"/>
      <c r="AB37" s="308"/>
      <c r="AC37" s="309"/>
      <c r="AD37" s="308"/>
      <c r="AE37" s="308"/>
      <c r="AF37" s="308"/>
      <c r="AG37" s="308"/>
      <c r="AH37" s="308"/>
      <c r="AI37" s="308"/>
      <c r="AJ37" s="308"/>
      <c r="AK37" s="308"/>
      <c r="AL37" s="308"/>
      <c r="AM37" s="308"/>
      <c r="AN37" s="308"/>
      <c r="AO37" s="308"/>
      <c r="AP37" s="308"/>
      <c r="AQ37" s="308"/>
      <c r="AR37" s="308"/>
      <c r="AS37" s="308"/>
      <c r="AT37" s="308"/>
      <c r="AU37" s="308"/>
      <c r="AV37" s="308"/>
      <c r="AW37" s="308"/>
      <c r="AX37" s="308"/>
      <c r="AY37" s="312"/>
      <c r="AZ37" s="312"/>
      <c r="BA37" s="312"/>
      <c r="BB37" s="312"/>
      <c r="BC37" s="312"/>
      <c r="BD37" s="311" t="str">
        <f>IF(OR(AJ37="",AT37=""),"",AJ37-AT37)</f>
        <v/>
      </c>
      <c r="BE37" s="311"/>
      <c r="BF37" s="311"/>
      <c r="BG37" s="311"/>
      <c r="BH37" s="311"/>
      <c r="BI37" s="310" t="str">
        <f t="shared" ref="BI37:BI48" si="41">IF(OR(AY37="",P37=""),"",IF($CN$53=1,DW37,IF($CN$53=2,DY37,IF($CN$53=3,EA37,IF($CN$53=4,DX37,IF($CN$53=5,DZ37,IF($CN$53=6,EB37)))))))</f>
        <v/>
      </c>
      <c r="BJ37" s="310"/>
      <c r="BK37" s="310"/>
      <c r="BL37" s="310"/>
      <c r="BM37" s="310"/>
      <c r="BN37" s="311" t="str">
        <f t="shared" ref="BN37:BN48" si="42">IF(OR(BD37="",BI37=""),"",BD37*BI37)</f>
        <v/>
      </c>
      <c r="BO37" s="311"/>
      <c r="BP37" s="311"/>
      <c r="BQ37" s="311"/>
      <c r="BR37" s="311"/>
      <c r="BS37" s="332" t="str">
        <f t="shared" ref="BS37:BS48" si="43">IF(OR(BD37="",P37="",BI37=""),"",ROUND((DS37-0.0011),4))</f>
        <v/>
      </c>
      <c r="BT37" s="332"/>
      <c r="BU37" s="332"/>
      <c r="BV37" s="332"/>
      <c r="BW37" s="332"/>
      <c r="BX37" s="311" t="str">
        <f t="shared" ref="BX37:BX48" si="44">IF(OR(BD37="",P37="",BI37=""),"",IF($AJ$17=$CN$34,ROUND(BN37*BS37,3),ROUND(CS37*BI37*BS37,3)))</f>
        <v/>
      </c>
      <c r="BY37" s="311"/>
      <c r="BZ37" s="311"/>
      <c r="CA37" s="311"/>
      <c r="CB37" s="311"/>
      <c r="CC37" s="320" t="str">
        <f t="shared" ref="CC37:CC48" si="45">IF(OR(BD37="",P37="",BI37=""),"",IF($AJ$17=$CN$34,ROUND(BN37*DQ37,3),ROUND(CS37*BI37*DQ37,3)))</f>
        <v/>
      </c>
      <c r="CD37" s="321"/>
      <c r="CE37" s="321"/>
      <c r="CF37" s="321"/>
      <c r="CG37" s="322"/>
      <c r="CH37" s="55"/>
      <c r="CP37" s="107">
        <f t="shared" ref="CP37:CP48" si="46">IF(OR(AY37="",BD37=""),0,AY37*BD37)</f>
        <v>0</v>
      </c>
      <c r="CR37" s="28" t="e">
        <f t="shared" ref="CR37:CR48" si="47">IF($BD$17=$CN$35,BD37,(BD37*6.28981))</f>
        <v>#VALUE!</v>
      </c>
      <c r="CS37" s="29" t="str">
        <f t="shared" ref="CS37:CS48" si="48">IF($BD$17=$CN$34,BD37,(BD37/6.28981))</f>
        <v/>
      </c>
      <c r="CU37" s="30">
        <f t="shared" ref="CU37:CU48" si="49">IF($AY$17=$CN$40,AY37,(AY37*1.8+32))</f>
        <v>32</v>
      </c>
      <c r="CV37" s="31">
        <f t="shared" ref="CV37:CV48" si="50">ROUND(CU37*2,0)/2</f>
        <v>32</v>
      </c>
      <c r="CW37" s="32">
        <f>ROUND(CU37,1)</f>
        <v>32</v>
      </c>
      <c r="CX37" s="33">
        <f>(1.8*((((CW37-32)/1.8)-((-0.148759+((-0.267408+((1.08076+((1.269056+((-4.089591+((-1.871251+((7.438081+(-3.536296*(((CW37-32)/1.8)/630)))*(((CW37-32)/1.8)/630)))*(((CW37-32)/1.8)/630)))*(((CW37-32)/1.8)/630)))*(((CW37-32)/1.8)/630)))*(((CW37-32)/1.8)/630)))*(((CW37-32)/1.8)/630)))*(((CW37-32)/1.8)/630)))))+32</f>
        <v>32</v>
      </c>
      <c r="CY37" s="26"/>
      <c r="CZ37" s="30">
        <f t="shared" ref="CZ37:CZ48" si="51">IF($AY$17=$CN$39,AY37,(AY37-32)/1.8)</f>
        <v>0</v>
      </c>
      <c r="DA37" s="28">
        <f t="shared" ref="DA37:DA48" si="52">ROUND(CZ37*4,0)/4</f>
        <v>0</v>
      </c>
      <c r="DB37" s="34">
        <f>ROUND(CZ37,1)</f>
        <v>0</v>
      </c>
      <c r="DC37" s="33">
        <f>DB37-((-0.148759+((-0.267408+((1.08076+((1.269056+((-4.089591+((-1.871251+((7.438081+(-3.536296*(DB37/630)))*(DB37/630)))*(DB37/630)))*(DB37/630)))*(DB37/630)))*(DB37/630)))*(DB37/630)))*(DB37/630))</f>
        <v>0</v>
      </c>
      <c r="DD37" s="35"/>
      <c r="DE37" s="30" t="e">
        <f t="shared" ref="DE37:DE48" si="53">IF($P$16=$CN$18,P37,(141.5/DK37)-131.5)</f>
        <v>#DIV/0!</v>
      </c>
      <c r="DF37" s="31" t="e">
        <f t="shared" ref="DF37:DF48" si="54">ROUND(DE37*2,0)/2</f>
        <v>#DIV/0!</v>
      </c>
      <c r="DG37" s="32" t="e">
        <f>ROUND(DE37,1)</f>
        <v>#DIV/0!</v>
      </c>
      <c r="DH37" s="33" t="e">
        <f>(141.5/(DG37+131.5))*999.016</f>
        <v>#DIV/0!</v>
      </c>
      <c r="DI37" s="33" t="e">
        <f>DH37*(1+((EXP(((0.01374979547/2)*(((103.872/DH37)+0.2701)*(1/DH37)))*(1+(0.8*((0.01374979547/2)*(((103.872/DH37)+0.2701)*(1/DH37))))))-1)/(1+(((0.01374979547/2)*(((103.872/DH37)+0.2701)*(1/DH37)))*(1+(1.6*((0.01374979547/2)*(((103.872/DH37)+0.2701)*(1/DH37)))))*(((2*103.872)+(0.2701+DH37))/(103.872+(0.2701*DH37)))))))</f>
        <v>#DIV/0!</v>
      </c>
      <c r="DK37" s="36" t="e">
        <f t="shared" ref="DK37:DK48" si="55">IF($P$16=$CN$19,P37,IF($P$16=$CN$18,141.5/(P37+131.5),DQ37*ROUND(EXP(-(186.9696/(((TRUNC(5*(DQ37*100)+0.5)/5)*0.01)*1000)^2+0.4862/(((TRUNC(5*(DQ37*100)+0.5)/5)*0.01)*1000))*(0.56)*(1+0.8*(186.9696/(((TRUNC(5*(DQ37*100)+0.5)/5)*0.01)*1000)^2+0.4862/(((TRUNC(5*(DQ37*100)+0.5)/5)*0.01)*1000))*0.56)),4)/0.999012))</f>
        <v>#DIV/0!</v>
      </c>
      <c r="DL37" s="37" t="e">
        <f>ROUND(DK37*5,2)/5</f>
        <v>#DIV/0!</v>
      </c>
      <c r="DM37" s="38" t="e">
        <f>ROUND(DK37,4)</f>
        <v>#DIV/0!</v>
      </c>
      <c r="DN37" s="33" t="e">
        <f>DM37*999.016</f>
        <v>#DIV/0!</v>
      </c>
      <c r="DO37" s="33" t="e">
        <f>DN37*(1+((EXP(((0.01374979547/2)*(((103.872/DN37)+0.2701)*(1/DN37)))*(1+(0.8*((0.01374979547/2)*(((103.872/DN37)+0.2701)*(1/DN37))))))-1)/(1+(((0.01374979547/2)*(((103.872/DN37)+0.2701)*(1/DN37)))*(1+(1.6*((0.01374979547/2)*(((103.872/DN37)+0.2701)*(1/DN37)))))*(((2*103.872)+(0.2701+DN37))/(103.872+(0.2701*DN37)))))))</f>
        <v>#DIV/0!</v>
      </c>
      <c r="DQ37" s="36">
        <f t="shared" ref="DQ37:DQ48" si="56">IF($P$16=$CN$20,P37,DK37*0.999012*ROUND(EXP(-((103.872/((((TRUNC(5*(DK37*100)+0.5)/5)*0.01)*999.012)^2))+(0.2701/(((TRUNC(5*(DK37*100)+0.5)/5)*0.01)*999.012)))*(-1)*(1+(0.8*((103.872/((((TRUNC(5*(DK37*100)+0.5)/5)*0.01)*999.012)^2))+(0.2701/(((TRUNC(5*(DK37*100)+0.5)/5)*0.01)*999.012)))*(-1)))),4))</f>
        <v>0</v>
      </c>
      <c r="DR37" s="39">
        <f>ROUND(DQ37*5,2)/5</f>
        <v>0</v>
      </c>
      <c r="DS37" s="38">
        <f>ROUND(DQ37,4)</f>
        <v>0</v>
      </c>
      <c r="DT37" s="33">
        <f>DS37*1000</f>
        <v>0</v>
      </c>
      <c r="DU37" s="33" t="e">
        <f>DT37*(1+((EXP(((0.01374979547/2)*(((186.9696/DT37)+0.4862)*(1/DT37)))*(1+(0.8*((0.01374979547/2)*(((186.9696/DT37)+0.4862)*(1/DT37))))))-1)/(1+(((0.01374979547/2)*(((186.9696/DT37)+0.4862)*(1/DT37)))*(1+(1.6*((0.01374979547/2)*(((186.9696/DT37)+0.4862)*(1/DT37)))))*(((2*186.9696)+(0.4862+DT37))/(186.9696+(0.4862*DT37)))))))</f>
        <v>#DIV/0!</v>
      </c>
      <c r="DW37" s="38" t="e">
        <f>ROUND(EXP(-((103.872/(((141.5/(DF37+131.5))*999.012)^2))+(0.2701/((141.5/(DF37+131.5))*999.012)))*(CV37-60)*(1+(0.8*((103.872/(((141.5/(DF37+131.5))*999.012)^2))+(0.2701/((141.5/(DF37+131.5))*999.012)))*(CV37-60)))),4)</f>
        <v>#DIV/0!</v>
      </c>
      <c r="DX37" s="40" t="e">
        <f>ROUND(EXP(-(((103.872/DI37)+0.2701)*(1/DI37))*(CX37-60.0068749)*(1+(0.8*(((103.872/DI37)+0.2701)*(1/DI37))*((CX37-60.0068749)+0.01374979547)))),5)</f>
        <v>#DIV/0!</v>
      </c>
      <c r="DY37" s="36" t="e">
        <f>ROUND(EXP(-((103.872/((DL37*999.012)^2))+(0.2701/(DL37*999.012)))*(CV37-60)*(1+(0.8*((103.872/((DL37*999.012)^2))+(0.2701/(DL37*999.012)))*(CV37-60)))),4)</f>
        <v>#DIV/0!</v>
      </c>
      <c r="DZ37" s="40" t="e">
        <f>ROUND(EXP(-(((103.872/DO37)+0.2701)*(1/DO37))*(CX37-60.0068749)*(1+(0.8*(((103.872/DO37)+0.2701)*(1/DO37))*((CX37-60.0068749)+0.01374979547)))),5)</f>
        <v>#DIV/0!</v>
      </c>
      <c r="EA37" s="36" t="e">
        <f>ROUND(EXP(-((186.9696/((DR37*1000)^2))+(0.4862/(DR37*1000)))*(DA37-15)*(1+(0.8*((186.9696/((DR37*1000)^2))+(0.4862/(DR37*1000)))*(DA37-15)))),4)</f>
        <v>#DIV/0!</v>
      </c>
      <c r="EB37" s="40" t="e">
        <f>ROUND(EXP(-((((186.9696/DU37)+0.4862)*(1/DU37)))*(DC37-15.00367851)*(1+(0.8*((((186.9696/DU37)+0.4862)*(1/DU37)))*((DC37-15.00367851)+0.01374979547)))),5)</f>
        <v>#DIV/0!</v>
      </c>
    </row>
    <row r="38" spans="1:132" ht="11.45" customHeight="1" x14ac:dyDescent="0.2">
      <c r="A38" s="346" t="str">
        <f t="shared" si="38"/>
        <v/>
      </c>
      <c r="B38" s="346"/>
      <c r="C38" s="346"/>
      <c r="D38" s="346"/>
      <c r="E38" s="346"/>
      <c r="F38" s="346"/>
      <c r="G38" s="346"/>
      <c r="H38" s="346"/>
      <c r="I38" s="318" t="str">
        <f t="shared" si="39"/>
        <v/>
      </c>
      <c r="J38" s="318"/>
      <c r="K38" s="318"/>
      <c r="L38" s="318"/>
      <c r="M38" s="318"/>
      <c r="N38" s="318"/>
      <c r="O38" s="318"/>
      <c r="P38" s="313"/>
      <c r="Q38" s="313"/>
      <c r="R38" s="313"/>
      <c r="S38" s="313"/>
      <c r="T38" s="313"/>
      <c r="U38" s="308" t="str">
        <f t="shared" si="40"/>
        <v/>
      </c>
      <c r="V38" s="308"/>
      <c r="W38" s="308"/>
      <c r="X38" s="308"/>
      <c r="Y38" s="308"/>
      <c r="Z38" s="308"/>
      <c r="AA38" s="308"/>
      <c r="AB38" s="308"/>
      <c r="AC38" s="309"/>
      <c r="AD38" s="308"/>
      <c r="AE38" s="308"/>
      <c r="AF38" s="308"/>
      <c r="AG38" s="308"/>
      <c r="AH38" s="308"/>
      <c r="AI38" s="308"/>
      <c r="AJ38" s="308"/>
      <c r="AK38" s="308"/>
      <c r="AL38" s="308"/>
      <c r="AM38" s="308"/>
      <c r="AN38" s="308"/>
      <c r="AO38" s="308"/>
      <c r="AP38" s="308"/>
      <c r="AQ38" s="308"/>
      <c r="AR38" s="308"/>
      <c r="AS38" s="308"/>
      <c r="AT38" s="308"/>
      <c r="AU38" s="308"/>
      <c r="AV38" s="308"/>
      <c r="AW38" s="308"/>
      <c r="AX38" s="308"/>
      <c r="AY38" s="312"/>
      <c r="AZ38" s="312"/>
      <c r="BA38" s="312"/>
      <c r="BB38" s="312"/>
      <c r="BC38" s="312"/>
      <c r="BD38" s="311" t="str">
        <f t="shared" ref="BD38:BD48" si="57">IF(OR(AJ38="",AT38=""),"",AJ38-AT38)</f>
        <v/>
      </c>
      <c r="BE38" s="311"/>
      <c r="BF38" s="311"/>
      <c r="BG38" s="311"/>
      <c r="BH38" s="311"/>
      <c r="BI38" s="310" t="str">
        <f t="shared" si="41"/>
        <v/>
      </c>
      <c r="BJ38" s="310"/>
      <c r="BK38" s="310"/>
      <c r="BL38" s="310"/>
      <c r="BM38" s="310"/>
      <c r="BN38" s="311" t="str">
        <f t="shared" si="42"/>
        <v/>
      </c>
      <c r="BO38" s="311"/>
      <c r="BP38" s="311"/>
      <c r="BQ38" s="311"/>
      <c r="BR38" s="311"/>
      <c r="BS38" s="332" t="str">
        <f t="shared" si="43"/>
        <v/>
      </c>
      <c r="BT38" s="332"/>
      <c r="BU38" s="332"/>
      <c r="BV38" s="332"/>
      <c r="BW38" s="332"/>
      <c r="BX38" s="311" t="str">
        <f t="shared" si="44"/>
        <v/>
      </c>
      <c r="BY38" s="311"/>
      <c r="BZ38" s="311"/>
      <c r="CA38" s="311"/>
      <c r="CB38" s="311"/>
      <c r="CC38" s="320" t="str">
        <f t="shared" si="45"/>
        <v/>
      </c>
      <c r="CD38" s="321"/>
      <c r="CE38" s="321"/>
      <c r="CF38" s="321"/>
      <c r="CG38" s="322"/>
      <c r="CH38" s="55"/>
      <c r="CN38" s="1" t="s">
        <v>220</v>
      </c>
      <c r="CP38" s="87">
        <f t="shared" si="46"/>
        <v>0</v>
      </c>
      <c r="CR38" s="28" t="e">
        <f t="shared" si="47"/>
        <v>#VALUE!</v>
      </c>
      <c r="CS38" s="29" t="str">
        <f t="shared" si="48"/>
        <v/>
      </c>
      <c r="CU38" s="28">
        <f t="shared" si="49"/>
        <v>32</v>
      </c>
      <c r="CV38" s="31">
        <f t="shared" si="50"/>
        <v>32</v>
      </c>
      <c r="CW38" s="32">
        <f>ROUND(CU38,1)</f>
        <v>32</v>
      </c>
      <c r="CX38" s="32">
        <f t="shared" ref="CX38:CX48" si="58">(1.8*((((CW38-32)/1.8)-((-0.148759+((-0.267408+((1.08076+((1.269056+((-4.089591+((-1.871251+((7.438081+(-3.536296*(((CW38-32)/1.8)/630)))*(((CW38-32)/1.8)/630)))*(((CW38-32)/1.8)/630)))*(((CW38-32)/1.8)/630)))*(((CW38-32)/1.8)/630)))*(((CW38-32)/1.8)/630)))*(((CW38-32)/1.8)/630)))*(((CW38-32)/1.8)/630)))))+32</f>
        <v>32</v>
      </c>
      <c r="CY38" s="26"/>
      <c r="CZ38" s="28">
        <f t="shared" si="51"/>
        <v>0</v>
      </c>
      <c r="DA38" s="28">
        <f t="shared" si="52"/>
        <v>0</v>
      </c>
      <c r="DB38" s="34">
        <f>ROUND(CZ38,1)</f>
        <v>0</v>
      </c>
      <c r="DC38" s="32">
        <f t="shared" ref="DC38:DC48" si="59">DB38-((-0.148759+((-0.267408+((1.08076+((1.269056+((-4.089591+((-1.871251+((7.438081+(-3.536296*(DB38/630)))*(DB38/630)))*(DB38/630)))*(DB38/630)))*(DB38/630)))*(DB38/630)))*(DB38/630)))*(DB38/630))</f>
        <v>0</v>
      </c>
      <c r="DD38" s="35"/>
      <c r="DE38" s="28" t="e">
        <f t="shared" si="53"/>
        <v>#DIV/0!</v>
      </c>
      <c r="DF38" s="31" t="e">
        <f t="shared" si="54"/>
        <v>#DIV/0!</v>
      </c>
      <c r="DG38" s="32" t="e">
        <f>ROUND(DE38,1)</f>
        <v>#DIV/0!</v>
      </c>
      <c r="DH38" s="32" t="e">
        <f t="shared" ref="DH38:DH48" si="60">(141.5/(DG38+131.5))*999.016</f>
        <v>#DIV/0!</v>
      </c>
      <c r="DI38" s="32" t="e">
        <f t="shared" ref="DI38:DI48" si="61">DH38*(1+((EXP(((0.01374979547/2)*(((103.872/DH38)+0.2701)*(1/DH38)))*(1+(0.8*((0.01374979547/2)*(((103.872/DH38)+0.2701)*(1/DH38))))))-1)/(1+(((0.01374979547/2)*(((103.872/DH38)+0.2701)*(1/DH38)))*(1+(1.6*((0.01374979547/2)*(((103.872/DH38)+0.2701)*(1/DH38)))))*(((2*103.872)+(0.2701+DH38))/(103.872+(0.2701*DH38)))))))</f>
        <v>#DIV/0!</v>
      </c>
      <c r="DK38" s="38" t="e">
        <f t="shared" si="55"/>
        <v>#DIV/0!</v>
      </c>
      <c r="DL38" s="41" t="e">
        <f>ROUND(DK38*5,2)/5</f>
        <v>#DIV/0!</v>
      </c>
      <c r="DM38" s="38" t="e">
        <f>ROUND(DK38,4)</f>
        <v>#DIV/0!</v>
      </c>
      <c r="DN38" s="32" t="e">
        <f t="shared" ref="DN38:DN48" si="62">DM38*999.016</f>
        <v>#DIV/0!</v>
      </c>
      <c r="DO38" s="32" t="e">
        <f>DN38*(1+((EXP(((0.01374979547/2)*(((103.872/DN38)+0.2701)*(1/DN38)))*(1+(0.8*((0.01374979547/2)*(((103.872/DN38)+0.2701)*(1/DN38))))))-1)/(1+(((0.01374979547/2)*(((103.872/DN38)+0.2701)*(1/DN38)))*(1+(1.6*((0.01374979547/2)*(((103.872/DN38)+0.2701)*(1/DN38)))))*(((2*103.872)+(0.2701+DN38))/(103.872+(0.2701*DN38)))))))</f>
        <v>#DIV/0!</v>
      </c>
      <c r="DQ38" s="38">
        <f t="shared" si="56"/>
        <v>0</v>
      </c>
      <c r="DR38" s="29">
        <f>ROUND(DQ38*5,2)/5</f>
        <v>0</v>
      </c>
      <c r="DS38" s="38">
        <f>ROUND(DQ38,4)</f>
        <v>0</v>
      </c>
      <c r="DT38" s="32">
        <f t="shared" ref="DT38:DT48" si="63">DS38*1000</f>
        <v>0</v>
      </c>
      <c r="DU38" s="32" t="e">
        <f t="shared" ref="DU38:DU48" si="64">DT38*(1+((EXP(((0.01374979547/2)*(((186.9696/DT38)+0.4862)*(1/DT38)))*(1+(0.8*((0.01374979547/2)*(((186.9696/DT38)+0.4862)*(1/DT38))))))-1)/(1+(((0.01374979547/2)*(((186.9696/DT38)+0.4862)*(1/DT38)))*(1+(1.6*((0.01374979547/2)*(((186.9696/DT38)+0.4862)*(1/DT38)))))*(((2*186.9696)+(0.4862+DT38))/(186.9696+(0.4862*DT38)))))))</f>
        <v>#DIV/0!</v>
      </c>
      <c r="DW38" s="38" t="e">
        <f>ROUND(EXP(-((103.872/(((141.5/(DF38+131.5))*999.012)^2))+(0.2701/((141.5/(DF38+131.5))*999.012)))*(CV38-60)*(1+(0.8*((103.872/(((141.5/(DF38+131.5))*999.012)^2))+(0.2701/((141.5/(DF38+131.5))*999.012)))*(CV38-60)))),4)</f>
        <v>#DIV/0!</v>
      </c>
      <c r="DX38" s="42" t="e">
        <f>ROUND(EXP(-(((103.872/DI38)+0.2701)*(1/DI38))*(CX38-60.0068749)*(1+(0.8*(((103.872/DI38)+0.2701)*(1/DI38))*((CX38-60.0068749)+0.01374979547)))),5)</f>
        <v>#DIV/0!</v>
      </c>
      <c r="DY38" s="38" t="e">
        <f>ROUND(EXP(-((103.872/((DL38*999.012)^2))+(0.2701/(DL38*999.012)))*(CV38-60)*(1+(0.8*((103.872/((DL38*999.012)^2))+(0.2701/(DL38*999.012)))*(CV38-60)))),4)</f>
        <v>#DIV/0!</v>
      </c>
      <c r="DZ38" s="42" t="e">
        <f>ROUND(EXP(-(((103.872/DO38)+0.2701)*(1/DO38))*(CX38-60.0068749)*(1+(0.8*(((103.872/DO38)+0.2701)*(1/DO38))*((CX38-60.0068749)+0.01374979547)))),5)</f>
        <v>#DIV/0!</v>
      </c>
      <c r="EA38" s="38" t="e">
        <f>ROUND(EXP(-((186.9696/((DR38*1000)^2))+(0.4862/(DR38*1000)))*(DA38-15)*(1+(0.8*((186.9696/((DR38*1000)^2))+(0.4862/(DR38*1000)))*(DA38-15)))),4)</f>
        <v>#DIV/0!</v>
      </c>
      <c r="EB38" s="42" t="e">
        <f>ROUND(EXP(-((((186.9696/DU38)+0.4862)*(1/DU38)))*(DC38-15.00367851)*(1+(0.8*((((186.9696/DU38)+0.4862)*(1/DU38)))*((DC38-15.00367851)+0.01374979547)))),5)</f>
        <v>#DIV/0!</v>
      </c>
    </row>
    <row r="39" spans="1:132" ht="11.45" customHeight="1" x14ac:dyDescent="0.2">
      <c r="A39" s="346" t="str">
        <f t="shared" si="38"/>
        <v/>
      </c>
      <c r="B39" s="346"/>
      <c r="C39" s="346"/>
      <c r="D39" s="346"/>
      <c r="E39" s="346"/>
      <c r="F39" s="346"/>
      <c r="G39" s="346"/>
      <c r="H39" s="346"/>
      <c r="I39" s="318" t="str">
        <f t="shared" si="39"/>
        <v/>
      </c>
      <c r="J39" s="318"/>
      <c r="K39" s="318"/>
      <c r="L39" s="318"/>
      <c r="M39" s="318"/>
      <c r="N39" s="318"/>
      <c r="O39" s="318"/>
      <c r="P39" s="313"/>
      <c r="Q39" s="313"/>
      <c r="R39" s="313"/>
      <c r="S39" s="313"/>
      <c r="T39" s="313"/>
      <c r="U39" s="308" t="str">
        <f t="shared" si="40"/>
        <v/>
      </c>
      <c r="V39" s="308"/>
      <c r="W39" s="308"/>
      <c r="X39" s="308"/>
      <c r="Y39" s="308"/>
      <c r="Z39" s="308"/>
      <c r="AA39" s="308"/>
      <c r="AB39" s="308"/>
      <c r="AC39" s="309"/>
      <c r="AD39" s="308"/>
      <c r="AE39" s="308"/>
      <c r="AF39" s="308"/>
      <c r="AG39" s="308"/>
      <c r="AH39" s="308"/>
      <c r="AI39" s="308"/>
      <c r="AJ39" s="308"/>
      <c r="AK39" s="308"/>
      <c r="AL39" s="308"/>
      <c r="AM39" s="308"/>
      <c r="AN39" s="308"/>
      <c r="AO39" s="308"/>
      <c r="AP39" s="308"/>
      <c r="AQ39" s="308"/>
      <c r="AR39" s="308"/>
      <c r="AS39" s="308"/>
      <c r="AT39" s="308"/>
      <c r="AU39" s="308"/>
      <c r="AV39" s="308"/>
      <c r="AW39" s="308"/>
      <c r="AX39" s="308"/>
      <c r="AY39" s="312"/>
      <c r="AZ39" s="312"/>
      <c r="BA39" s="312"/>
      <c r="BB39" s="312"/>
      <c r="BC39" s="312"/>
      <c r="BD39" s="311" t="str">
        <f t="shared" si="57"/>
        <v/>
      </c>
      <c r="BE39" s="311"/>
      <c r="BF39" s="311"/>
      <c r="BG39" s="311"/>
      <c r="BH39" s="311"/>
      <c r="BI39" s="310" t="str">
        <f t="shared" si="41"/>
        <v/>
      </c>
      <c r="BJ39" s="310"/>
      <c r="BK39" s="310"/>
      <c r="BL39" s="310"/>
      <c r="BM39" s="310"/>
      <c r="BN39" s="311" t="str">
        <f t="shared" si="42"/>
        <v/>
      </c>
      <c r="BO39" s="311"/>
      <c r="BP39" s="311"/>
      <c r="BQ39" s="311"/>
      <c r="BR39" s="311"/>
      <c r="BS39" s="332" t="str">
        <f t="shared" si="43"/>
        <v/>
      </c>
      <c r="BT39" s="332"/>
      <c r="BU39" s="332"/>
      <c r="BV39" s="332"/>
      <c r="BW39" s="332"/>
      <c r="BX39" s="311" t="str">
        <f t="shared" si="44"/>
        <v/>
      </c>
      <c r="BY39" s="311"/>
      <c r="BZ39" s="311"/>
      <c r="CA39" s="311"/>
      <c r="CB39" s="311"/>
      <c r="CC39" s="320" t="str">
        <f t="shared" si="45"/>
        <v/>
      </c>
      <c r="CD39" s="321"/>
      <c r="CE39" s="321"/>
      <c r="CF39" s="321"/>
      <c r="CG39" s="322"/>
      <c r="CH39" s="55"/>
      <c r="CI39" s="323" t="s">
        <v>176</v>
      </c>
      <c r="CJ39" s="324"/>
      <c r="CK39" s="324"/>
      <c r="CL39" s="325"/>
      <c r="CN39" s="107" t="s">
        <v>56</v>
      </c>
      <c r="CP39" s="87">
        <f t="shared" si="46"/>
        <v>0</v>
      </c>
      <c r="CR39" s="28" t="e">
        <f t="shared" si="47"/>
        <v>#VALUE!</v>
      </c>
      <c r="CS39" s="29" t="str">
        <f t="shared" si="48"/>
        <v/>
      </c>
      <c r="CU39" s="28">
        <f t="shared" si="49"/>
        <v>32</v>
      </c>
      <c r="CV39" s="31">
        <f>ROUND(CU39*2,0)/2</f>
        <v>32</v>
      </c>
      <c r="CW39" s="32">
        <f t="shared" ref="CW39:CW47" si="65">ROUND(CU39,1)</f>
        <v>32</v>
      </c>
      <c r="CX39" s="32">
        <f t="shared" si="58"/>
        <v>32</v>
      </c>
      <c r="CY39" s="26"/>
      <c r="CZ39" s="28">
        <f t="shared" si="51"/>
        <v>0</v>
      </c>
      <c r="DA39" s="28">
        <f t="shared" si="52"/>
        <v>0</v>
      </c>
      <c r="DB39" s="34">
        <f t="shared" ref="DB39:DB47" si="66">ROUND(CZ39,1)</f>
        <v>0</v>
      </c>
      <c r="DC39" s="32">
        <f t="shared" si="59"/>
        <v>0</v>
      </c>
      <c r="DD39" s="35"/>
      <c r="DE39" s="28" t="e">
        <f t="shared" si="53"/>
        <v>#DIV/0!</v>
      </c>
      <c r="DF39" s="31" t="e">
        <f t="shared" si="54"/>
        <v>#DIV/0!</v>
      </c>
      <c r="DG39" s="32" t="e">
        <f t="shared" ref="DG39:DG47" si="67">ROUND(DE39,1)</f>
        <v>#DIV/0!</v>
      </c>
      <c r="DH39" s="32" t="e">
        <f t="shared" si="60"/>
        <v>#DIV/0!</v>
      </c>
      <c r="DI39" s="32" t="e">
        <f t="shared" si="61"/>
        <v>#DIV/0!</v>
      </c>
      <c r="DK39" s="38" t="e">
        <f t="shared" si="55"/>
        <v>#DIV/0!</v>
      </c>
      <c r="DL39" s="41" t="e">
        <f t="shared" ref="DL39:DL47" si="68">ROUND(DK39*5,2)/5</f>
        <v>#DIV/0!</v>
      </c>
      <c r="DM39" s="38" t="e">
        <f t="shared" ref="DM39:DM47" si="69">ROUND(DK39,4)</f>
        <v>#DIV/0!</v>
      </c>
      <c r="DN39" s="32" t="e">
        <f t="shared" si="62"/>
        <v>#DIV/0!</v>
      </c>
      <c r="DO39" s="32" t="e">
        <f t="shared" ref="DO39:DO47" si="70">DN39*(1+((EXP(((0.01374979547/2)*(((103.872/DN39)+0.2701)*(1/DN39)))*(1+(0.8*((0.01374979547/2)*(((103.872/DN39)+0.2701)*(1/DN39))))))-1)/(1+(((0.01374979547/2)*(((103.872/DN39)+0.2701)*(1/DN39)))*(1+(1.6*((0.01374979547/2)*(((103.872/DN39)+0.2701)*(1/DN39)))))*(((2*103.872)+(0.2701+DN39))/(103.872+(0.2701*DN39)))))))</f>
        <v>#DIV/0!</v>
      </c>
      <c r="DQ39" s="38">
        <f t="shared" si="56"/>
        <v>0</v>
      </c>
      <c r="DR39" s="29">
        <f t="shared" ref="DR39:DR47" si="71">ROUND(DQ39*5,2)/5</f>
        <v>0</v>
      </c>
      <c r="DS39" s="38">
        <f t="shared" ref="DS39:DS47" si="72">ROUND(DQ39,4)</f>
        <v>0</v>
      </c>
      <c r="DT39" s="32">
        <f t="shared" si="63"/>
        <v>0</v>
      </c>
      <c r="DU39" s="32" t="e">
        <f t="shared" si="64"/>
        <v>#DIV/0!</v>
      </c>
      <c r="DW39" s="38" t="e">
        <f t="shared" ref="DW39:DW47" si="73">ROUND(EXP(-((103.872/(((141.5/(DF39+131.5))*999.012)^2))+(0.2701/((141.5/(DF39+131.5))*999.012)))*(CV39-60)*(1+(0.8*((103.872/(((141.5/(DF39+131.5))*999.012)^2))+(0.2701/((141.5/(DF39+131.5))*999.012)))*(CV39-60)))),4)</f>
        <v>#DIV/0!</v>
      </c>
      <c r="DX39" s="42" t="e">
        <f t="shared" ref="DX39:DX47" si="74">ROUND(EXP(-(((103.872/DI39)+0.2701)*(1/DI39))*(CX39-60.0068749)*(1+(0.8*(((103.872/DI39)+0.2701)*(1/DI39))*((CX39-60.0068749)+0.01374979547)))),5)</f>
        <v>#DIV/0!</v>
      </c>
      <c r="DY39" s="38" t="e">
        <f t="shared" ref="DY39:DY47" si="75">ROUND(EXP(-((103.872/((DL39*999.012)^2))+(0.2701/(DL39*999.012)))*(CV39-60)*(1+(0.8*((103.872/((DL39*999.012)^2))+(0.2701/(DL39*999.012)))*(CV39-60)))),4)</f>
        <v>#DIV/0!</v>
      </c>
      <c r="DZ39" s="42" t="e">
        <f t="shared" ref="DZ39:DZ47" si="76">ROUND(EXP(-(((103.872/DO39)+0.2701)*(1/DO39))*(CX39-60.0068749)*(1+(0.8*(((103.872/DO39)+0.2701)*(1/DO39))*((CX39-60.0068749)+0.01374979547)))),5)</f>
        <v>#DIV/0!</v>
      </c>
      <c r="EA39" s="38" t="e">
        <f t="shared" ref="EA39:EA47" si="77">ROUND(EXP(-((186.9696/((DR39*1000)^2))+(0.4862/(DR39*1000)))*(DA39-15)*(1+(0.8*((186.9696/((DR39*1000)^2))+(0.4862/(DR39*1000)))*(DA39-15)))),4)</f>
        <v>#DIV/0!</v>
      </c>
      <c r="EB39" s="42" t="e">
        <f t="shared" ref="EB39:EB47" si="78">ROUND(EXP(-((((186.9696/DU39)+0.4862)*(1/DU39)))*(DC39-15.00367851)*(1+(0.8*((((186.9696/DU39)+0.4862)*(1/DU39)))*((DC39-15.00367851)+0.01374979547)))),5)</f>
        <v>#DIV/0!</v>
      </c>
    </row>
    <row r="40" spans="1:132" ht="11.45" customHeight="1" x14ac:dyDescent="0.2">
      <c r="A40" s="346" t="str">
        <f t="shared" si="38"/>
        <v/>
      </c>
      <c r="B40" s="346"/>
      <c r="C40" s="346"/>
      <c r="D40" s="346"/>
      <c r="E40" s="346"/>
      <c r="F40" s="346"/>
      <c r="G40" s="346"/>
      <c r="H40" s="346"/>
      <c r="I40" s="318" t="str">
        <f t="shared" si="39"/>
        <v/>
      </c>
      <c r="J40" s="318"/>
      <c r="K40" s="318"/>
      <c r="L40" s="318"/>
      <c r="M40" s="318"/>
      <c r="N40" s="318"/>
      <c r="O40" s="318"/>
      <c r="P40" s="313"/>
      <c r="Q40" s="313"/>
      <c r="R40" s="313"/>
      <c r="S40" s="313"/>
      <c r="T40" s="313"/>
      <c r="U40" s="308" t="str">
        <f t="shared" si="40"/>
        <v/>
      </c>
      <c r="V40" s="308"/>
      <c r="W40" s="308"/>
      <c r="X40" s="308"/>
      <c r="Y40" s="308"/>
      <c r="Z40" s="308"/>
      <c r="AA40" s="308"/>
      <c r="AB40" s="308"/>
      <c r="AC40" s="309"/>
      <c r="AD40" s="308"/>
      <c r="AE40" s="308"/>
      <c r="AF40" s="308"/>
      <c r="AG40" s="308"/>
      <c r="AH40" s="308"/>
      <c r="AI40" s="308"/>
      <c r="AJ40" s="308"/>
      <c r="AK40" s="308"/>
      <c r="AL40" s="308"/>
      <c r="AM40" s="308"/>
      <c r="AN40" s="308"/>
      <c r="AO40" s="308"/>
      <c r="AP40" s="308"/>
      <c r="AQ40" s="308"/>
      <c r="AR40" s="308"/>
      <c r="AS40" s="308"/>
      <c r="AT40" s="308"/>
      <c r="AU40" s="308"/>
      <c r="AV40" s="308"/>
      <c r="AW40" s="308"/>
      <c r="AX40" s="308"/>
      <c r="AY40" s="312"/>
      <c r="AZ40" s="312"/>
      <c r="BA40" s="312"/>
      <c r="BB40" s="312"/>
      <c r="BC40" s="312"/>
      <c r="BD40" s="311" t="str">
        <f t="shared" si="57"/>
        <v/>
      </c>
      <c r="BE40" s="311"/>
      <c r="BF40" s="311"/>
      <c r="BG40" s="311"/>
      <c r="BH40" s="311"/>
      <c r="BI40" s="310" t="str">
        <f t="shared" si="41"/>
        <v/>
      </c>
      <c r="BJ40" s="310"/>
      <c r="BK40" s="310"/>
      <c r="BL40" s="310"/>
      <c r="BM40" s="310"/>
      <c r="BN40" s="311" t="str">
        <f t="shared" si="42"/>
        <v/>
      </c>
      <c r="BO40" s="311"/>
      <c r="BP40" s="311"/>
      <c r="BQ40" s="311"/>
      <c r="BR40" s="311"/>
      <c r="BS40" s="332" t="str">
        <f t="shared" si="43"/>
        <v/>
      </c>
      <c r="BT40" s="332"/>
      <c r="BU40" s="332"/>
      <c r="BV40" s="332"/>
      <c r="BW40" s="332"/>
      <c r="BX40" s="311" t="str">
        <f t="shared" si="44"/>
        <v/>
      </c>
      <c r="BY40" s="311"/>
      <c r="BZ40" s="311"/>
      <c r="CA40" s="311"/>
      <c r="CB40" s="311"/>
      <c r="CC40" s="320" t="str">
        <f t="shared" si="45"/>
        <v/>
      </c>
      <c r="CD40" s="321"/>
      <c r="CE40" s="321"/>
      <c r="CF40" s="321"/>
      <c r="CG40" s="322"/>
      <c r="CH40" s="55"/>
      <c r="CI40" s="326"/>
      <c r="CJ40" s="327"/>
      <c r="CK40" s="327"/>
      <c r="CL40" s="328"/>
      <c r="CN40" s="2" t="s">
        <v>57</v>
      </c>
      <c r="CP40" s="87">
        <f t="shared" si="46"/>
        <v>0</v>
      </c>
      <c r="CR40" s="28" t="e">
        <f t="shared" si="47"/>
        <v>#VALUE!</v>
      </c>
      <c r="CS40" s="29" t="str">
        <f t="shared" si="48"/>
        <v/>
      </c>
      <c r="CU40" s="28">
        <f t="shared" si="49"/>
        <v>32</v>
      </c>
      <c r="CV40" s="31">
        <f t="shared" si="50"/>
        <v>32</v>
      </c>
      <c r="CW40" s="32">
        <f>ROUND(CU40,1)</f>
        <v>32</v>
      </c>
      <c r="CX40" s="32">
        <f>(1.8*((((CW40-32)/1.8)-((-0.148759+((-0.267408+((1.08076+((1.269056+((-4.089591+((-1.871251+((7.438081+(-3.536296*(((CW40-32)/1.8)/630)))*(((CW40-32)/1.8)/630)))*(((CW40-32)/1.8)/630)))*(((CW40-32)/1.8)/630)))*(((CW40-32)/1.8)/630)))*(((CW40-32)/1.8)/630)))*(((CW40-32)/1.8)/630)))*(((CW40-32)/1.8)/630)))))+32</f>
        <v>32</v>
      </c>
      <c r="CY40" s="26"/>
      <c r="CZ40" s="28">
        <f t="shared" si="51"/>
        <v>0</v>
      </c>
      <c r="DA40" s="28">
        <f t="shared" si="52"/>
        <v>0</v>
      </c>
      <c r="DB40" s="34">
        <f t="shared" si="66"/>
        <v>0</v>
      </c>
      <c r="DC40" s="32">
        <f t="shared" si="59"/>
        <v>0</v>
      </c>
      <c r="DD40" s="35"/>
      <c r="DE40" s="28" t="e">
        <f t="shared" si="53"/>
        <v>#DIV/0!</v>
      </c>
      <c r="DF40" s="31" t="e">
        <f t="shared" si="54"/>
        <v>#DIV/0!</v>
      </c>
      <c r="DG40" s="32" t="e">
        <f t="shared" si="67"/>
        <v>#DIV/0!</v>
      </c>
      <c r="DH40" s="32" t="e">
        <f t="shared" si="60"/>
        <v>#DIV/0!</v>
      </c>
      <c r="DI40" s="32" t="e">
        <f t="shared" si="61"/>
        <v>#DIV/0!</v>
      </c>
      <c r="DK40" s="38" t="e">
        <f t="shared" si="55"/>
        <v>#DIV/0!</v>
      </c>
      <c r="DL40" s="41" t="e">
        <f t="shared" si="68"/>
        <v>#DIV/0!</v>
      </c>
      <c r="DM40" s="38" t="e">
        <f t="shared" si="69"/>
        <v>#DIV/0!</v>
      </c>
      <c r="DN40" s="32" t="e">
        <f t="shared" si="62"/>
        <v>#DIV/0!</v>
      </c>
      <c r="DO40" s="32" t="e">
        <f t="shared" si="70"/>
        <v>#DIV/0!</v>
      </c>
      <c r="DQ40" s="38">
        <f t="shared" si="56"/>
        <v>0</v>
      </c>
      <c r="DR40" s="29">
        <f t="shared" si="71"/>
        <v>0</v>
      </c>
      <c r="DS40" s="38">
        <f t="shared" si="72"/>
        <v>0</v>
      </c>
      <c r="DT40" s="32">
        <f t="shared" si="63"/>
        <v>0</v>
      </c>
      <c r="DU40" s="32" t="e">
        <f t="shared" si="64"/>
        <v>#DIV/0!</v>
      </c>
      <c r="DW40" s="38" t="e">
        <f t="shared" si="73"/>
        <v>#DIV/0!</v>
      </c>
      <c r="DX40" s="42" t="e">
        <f t="shared" si="74"/>
        <v>#DIV/0!</v>
      </c>
      <c r="DY40" s="38" t="e">
        <f t="shared" si="75"/>
        <v>#DIV/0!</v>
      </c>
      <c r="DZ40" s="42" t="e">
        <f t="shared" si="76"/>
        <v>#DIV/0!</v>
      </c>
      <c r="EA40" s="38" t="e">
        <f t="shared" si="77"/>
        <v>#DIV/0!</v>
      </c>
      <c r="EB40" s="42" t="e">
        <f t="shared" si="78"/>
        <v>#DIV/0!</v>
      </c>
    </row>
    <row r="41" spans="1:132" ht="11.45" customHeight="1" x14ac:dyDescent="0.2">
      <c r="A41" s="346" t="str">
        <f t="shared" si="38"/>
        <v/>
      </c>
      <c r="B41" s="346"/>
      <c r="C41" s="346"/>
      <c r="D41" s="346"/>
      <c r="E41" s="346"/>
      <c r="F41" s="346"/>
      <c r="G41" s="346"/>
      <c r="H41" s="346"/>
      <c r="I41" s="318" t="str">
        <f t="shared" si="39"/>
        <v/>
      </c>
      <c r="J41" s="318"/>
      <c r="K41" s="318"/>
      <c r="L41" s="318"/>
      <c r="M41" s="318"/>
      <c r="N41" s="318"/>
      <c r="O41" s="318"/>
      <c r="P41" s="313"/>
      <c r="Q41" s="313"/>
      <c r="R41" s="313"/>
      <c r="S41" s="313"/>
      <c r="T41" s="313"/>
      <c r="U41" s="308" t="str">
        <f t="shared" si="40"/>
        <v/>
      </c>
      <c r="V41" s="308"/>
      <c r="W41" s="308"/>
      <c r="X41" s="308"/>
      <c r="Y41" s="308"/>
      <c r="Z41" s="308"/>
      <c r="AA41" s="308"/>
      <c r="AB41" s="308"/>
      <c r="AC41" s="309"/>
      <c r="AD41" s="308"/>
      <c r="AE41" s="308"/>
      <c r="AF41" s="308"/>
      <c r="AG41" s="308"/>
      <c r="AH41" s="308"/>
      <c r="AI41" s="308"/>
      <c r="AJ41" s="308"/>
      <c r="AK41" s="308"/>
      <c r="AL41" s="308"/>
      <c r="AM41" s="308"/>
      <c r="AN41" s="308"/>
      <c r="AO41" s="308"/>
      <c r="AP41" s="308"/>
      <c r="AQ41" s="308"/>
      <c r="AR41" s="308"/>
      <c r="AS41" s="308"/>
      <c r="AT41" s="308"/>
      <c r="AU41" s="308"/>
      <c r="AV41" s="308"/>
      <c r="AW41" s="308"/>
      <c r="AX41" s="308"/>
      <c r="AY41" s="312"/>
      <c r="AZ41" s="312"/>
      <c r="BA41" s="312"/>
      <c r="BB41" s="312"/>
      <c r="BC41" s="312"/>
      <c r="BD41" s="311" t="str">
        <f>IF(OR(AJ41="",AT41=""),"",AJ41-AT41)</f>
        <v/>
      </c>
      <c r="BE41" s="311"/>
      <c r="BF41" s="311"/>
      <c r="BG41" s="311"/>
      <c r="BH41" s="311"/>
      <c r="BI41" s="310" t="str">
        <f t="shared" si="41"/>
        <v/>
      </c>
      <c r="BJ41" s="310"/>
      <c r="BK41" s="310"/>
      <c r="BL41" s="310"/>
      <c r="BM41" s="310"/>
      <c r="BN41" s="311" t="str">
        <f>IF(OR(BD41="",BI41=""),"",BD41*BI41)</f>
        <v/>
      </c>
      <c r="BO41" s="311"/>
      <c r="BP41" s="311"/>
      <c r="BQ41" s="311"/>
      <c r="BR41" s="311"/>
      <c r="BS41" s="332" t="str">
        <f t="shared" si="43"/>
        <v/>
      </c>
      <c r="BT41" s="332"/>
      <c r="BU41" s="332"/>
      <c r="BV41" s="332"/>
      <c r="BW41" s="332"/>
      <c r="BX41" s="311" t="str">
        <f t="shared" si="44"/>
        <v/>
      </c>
      <c r="BY41" s="311"/>
      <c r="BZ41" s="311"/>
      <c r="CA41" s="311"/>
      <c r="CB41" s="311"/>
      <c r="CC41" s="320" t="str">
        <f t="shared" si="45"/>
        <v/>
      </c>
      <c r="CD41" s="321"/>
      <c r="CE41" s="321"/>
      <c r="CF41" s="321"/>
      <c r="CG41" s="322"/>
      <c r="CH41" s="55"/>
      <c r="CI41" s="108" t="s">
        <v>170</v>
      </c>
      <c r="CJ41" s="109"/>
      <c r="CK41" s="43" t="e">
        <f>AVERAGE(AY37:BC48)</f>
        <v>#DIV/0!</v>
      </c>
      <c r="CL41" s="21" t="s">
        <v>174</v>
      </c>
      <c r="CP41" s="87">
        <f t="shared" si="46"/>
        <v>0</v>
      </c>
      <c r="CR41" s="28" t="e">
        <f t="shared" si="47"/>
        <v>#VALUE!</v>
      </c>
      <c r="CS41" s="29" t="str">
        <f t="shared" si="48"/>
        <v/>
      </c>
      <c r="CU41" s="28">
        <f t="shared" si="49"/>
        <v>32</v>
      </c>
      <c r="CV41" s="31">
        <f t="shared" si="50"/>
        <v>32</v>
      </c>
      <c r="CW41" s="32">
        <f>ROUND(CU41,1)</f>
        <v>32</v>
      </c>
      <c r="CX41" s="32">
        <f t="shared" si="58"/>
        <v>32</v>
      </c>
      <c r="CY41" s="26"/>
      <c r="CZ41" s="28">
        <f t="shared" si="51"/>
        <v>0</v>
      </c>
      <c r="DA41" s="28">
        <f t="shared" si="52"/>
        <v>0</v>
      </c>
      <c r="DB41" s="34">
        <f>ROUND(CZ41,1)</f>
        <v>0</v>
      </c>
      <c r="DC41" s="32">
        <f t="shared" si="59"/>
        <v>0</v>
      </c>
      <c r="DD41" s="35"/>
      <c r="DE41" s="28" t="e">
        <f t="shared" si="53"/>
        <v>#DIV/0!</v>
      </c>
      <c r="DF41" s="31" t="e">
        <f>ROUND(DE41*2,0)/2</f>
        <v>#DIV/0!</v>
      </c>
      <c r="DG41" s="32" t="e">
        <f>ROUND(DE41,1)</f>
        <v>#DIV/0!</v>
      </c>
      <c r="DH41" s="32" t="e">
        <f t="shared" si="60"/>
        <v>#DIV/0!</v>
      </c>
      <c r="DI41" s="32" t="e">
        <f t="shared" si="61"/>
        <v>#DIV/0!</v>
      </c>
      <c r="DK41" s="38" t="e">
        <f t="shared" si="55"/>
        <v>#DIV/0!</v>
      </c>
      <c r="DL41" s="41" t="e">
        <f t="shared" si="68"/>
        <v>#DIV/0!</v>
      </c>
      <c r="DM41" s="38" t="e">
        <f>ROUND(DK41,4)</f>
        <v>#DIV/0!</v>
      </c>
      <c r="DN41" s="32" t="e">
        <f t="shared" si="62"/>
        <v>#DIV/0!</v>
      </c>
      <c r="DO41" s="32" t="e">
        <f t="shared" si="70"/>
        <v>#DIV/0!</v>
      </c>
      <c r="DQ41" s="38">
        <f t="shared" si="56"/>
        <v>0</v>
      </c>
      <c r="DR41" s="29">
        <f t="shared" si="71"/>
        <v>0</v>
      </c>
      <c r="DS41" s="38">
        <f>ROUND(DQ41,4)</f>
        <v>0</v>
      </c>
      <c r="DT41" s="32">
        <f t="shared" si="63"/>
        <v>0</v>
      </c>
      <c r="DU41" s="32" t="e">
        <f t="shared" si="64"/>
        <v>#DIV/0!</v>
      </c>
      <c r="DW41" s="38" t="e">
        <f>ROUND(EXP(-((103.872/(((141.5/(DF41+131.5))*999.012)^2))+(0.2701/((141.5/(DF41+131.5))*999.012)))*(CV41-60)*(1+(0.8*((103.872/(((141.5/(DF41+131.5))*999.012)^2))+(0.2701/((141.5/(DF41+131.5))*999.012)))*(CV41-60)))),4)</f>
        <v>#DIV/0!</v>
      </c>
      <c r="DX41" s="42" t="e">
        <f>ROUND(EXP(-(((103.872/DI41)+0.2701)*(1/DI41))*(CX41-60.0068749)*(1+(0.8*(((103.872/DI41)+0.2701)*(1/DI41))*((CX41-60.0068749)+0.01374979547)))),5)</f>
        <v>#DIV/0!</v>
      </c>
      <c r="DY41" s="38" t="e">
        <f>ROUND(EXP(-((103.872/((DL41*999.012)^2))+(0.2701/(DL41*999.012)))*(CV41-60)*(1+(0.8*((103.872/((DL41*999.012)^2))+(0.2701/(DL41*999.012)))*(CV41-60)))),4)</f>
        <v>#DIV/0!</v>
      </c>
      <c r="DZ41" s="42" t="e">
        <f>ROUND(EXP(-(((103.872/DO41)+0.2701)*(1/DO41))*(CX41-60.0068749)*(1+(0.8*(((103.872/DO41)+0.2701)*(1/DO41))*((CX41-60.0068749)+0.01374979547)))),5)</f>
        <v>#DIV/0!</v>
      </c>
      <c r="EA41" s="38" t="e">
        <f>ROUND(EXP(-((186.9696/((DR41*1000)^2))+(0.4862/(DR41*1000)))*(DA41-15)*(1+(0.8*((186.9696/((DR41*1000)^2))+(0.4862/(DR41*1000)))*(DA41-15)))),4)</f>
        <v>#DIV/0!</v>
      </c>
      <c r="EB41" s="42" t="e">
        <f>ROUND(EXP(-((((186.9696/DU41)+0.4862)*(1/DU41)))*(DC41-15.00367851)*(1+(0.8*((((186.9696/DU41)+0.4862)*(1/DU41)))*((DC41-15.00367851)+0.01374979547)))),5)</f>
        <v>#DIV/0!</v>
      </c>
    </row>
    <row r="42" spans="1:132" ht="11.45" customHeight="1" x14ac:dyDescent="0.2">
      <c r="A42" s="346" t="str">
        <f t="shared" si="38"/>
        <v/>
      </c>
      <c r="B42" s="346"/>
      <c r="C42" s="346"/>
      <c r="D42" s="346"/>
      <c r="E42" s="346"/>
      <c r="F42" s="346"/>
      <c r="G42" s="346"/>
      <c r="H42" s="346"/>
      <c r="I42" s="318" t="str">
        <f t="shared" si="39"/>
        <v/>
      </c>
      <c r="J42" s="318"/>
      <c r="K42" s="318"/>
      <c r="L42" s="318"/>
      <c r="M42" s="318"/>
      <c r="N42" s="318"/>
      <c r="O42" s="318"/>
      <c r="P42" s="313"/>
      <c r="Q42" s="313"/>
      <c r="R42" s="313"/>
      <c r="S42" s="313"/>
      <c r="T42" s="313"/>
      <c r="U42" s="308" t="str">
        <f t="shared" si="40"/>
        <v/>
      </c>
      <c r="V42" s="308"/>
      <c r="W42" s="308"/>
      <c r="X42" s="308"/>
      <c r="Y42" s="308"/>
      <c r="Z42" s="308"/>
      <c r="AA42" s="308"/>
      <c r="AB42" s="308"/>
      <c r="AC42" s="309"/>
      <c r="AD42" s="308"/>
      <c r="AE42" s="308"/>
      <c r="AF42" s="308"/>
      <c r="AG42" s="308"/>
      <c r="AH42" s="308"/>
      <c r="AI42" s="308"/>
      <c r="AJ42" s="308"/>
      <c r="AK42" s="308"/>
      <c r="AL42" s="308"/>
      <c r="AM42" s="308"/>
      <c r="AN42" s="308"/>
      <c r="AO42" s="308"/>
      <c r="AP42" s="308"/>
      <c r="AQ42" s="308"/>
      <c r="AR42" s="308"/>
      <c r="AS42" s="308"/>
      <c r="AT42" s="308"/>
      <c r="AU42" s="308"/>
      <c r="AV42" s="308"/>
      <c r="AW42" s="308"/>
      <c r="AX42" s="308"/>
      <c r="AY42" s="312"/>
      <c r="AZ42" s="312"/>
      <c r="BA42" s="312"/>
      <c r="BB42" s="312"/>
      <c r="BC42" s="312"/>
      <c r="BD42" s="311" t="str">
        <f>IF(OR(AJ42="",AT42=""),"",AJ42-AT42)</f>
        <v/>
      </c>
      <c r="BE42" s="311"/>
      <c r="BF42" s="311"/>
      <c r="BG42" s="311"/>
      <c r="BH42" s="311"/>
      <c r="BI42" s="310" t="str">
        <f t="shared" si="41"/>
        <v/>
      </c>
      <c r="BJ42" s="310"/>
      <c r="BK42" s="310"/>
      <c r="BL42" s="310"/>
      <c r="BM42" s="310"/>
      <c r="BN42" s="311" t="str">
        <f>IF(OR(BD42="",BI42=""),"",BD42*BI42)</f>
        <v/>
      </c>
      <c r="BO42" s="311"/>
      <c r="BP42" s="311"/>
      <c r="BQ42" s="311"/>
      <c r="BR42" s="311"/>
      <c r="BS42" s="332" t="str">
        <f t="shared" si="43"/>
        <v/>
      </c>
      <c r="BT42" s="332"/>
      <c r="BU42" s="332"/>
      <c r="BV42" s="332"/>
      <c r="BW42" s="332"/>
      <c r="BX42" s="311" t="str">
        <f t="shared" si="44"/>
        <v/>
      </c>
      <c r="BY42" s="311"/>
      <c r="BZ42" s="311"/>
      <c r="CA42" s="311"/>
      <c r="CB42" s="311"/>
      <c r="CC42" s="320" t="str">
        <f t="shared" si="45"/>
        <v/>
      </c>
      <c r="CD42" s="321"/>
      <c r="CE42" s="321"/>
      <c r="CF42" s="321"/>
      <c r="CG42" s="322"/>
      <c r="CH42" s="55"/>
      <c r="CI42" s="9" t="s">
        <v>171</v>
      </c>
      <c r="CJ42" s="10"/>
      <c r="CK42" s="44" t="e">
        <f>SUM(CP37:CP48)/BD49</f>
        <v>#VALUE!</v>
      </c>
      <c r="CL42" s="11" t="s">
        <v>174</v>
      </c>
      <c r="CP42" s="87">
        <f t="shared" si="46"/>
        <v>0</v>
      </c>
      <c r="CR42" s="28" t="e">
        <f t="shared" si="47"/>
        <v>#VALUE!</v>
      </c>
      <c r="CS42" s="29" t="str">
        <f t="shared" si="48"/>
        <v/>
      </c>
      <c r="CU42" s="28">
        <f t="shared" si="49"/>
        <v>32</v>
      </c>
      <c r="CV42" s="31">
        <f t="shared" si="50"/>
        <v>32</v>
      </c>
      <c r="CW42" s="32">
        <f>ROUND(CU42,1)</f>
        <v>32</v>
      </c>
      <c r="CX42" s="32">
        <f t="shared" si="58"/>
        <v>32</v>
      </c>
      <c r="CY42" s="26"/>
      <c r="CZ42" s="28">
        <f t="shared" si="51"/>
        <v>0</v>
      </c>
      <c r="DA42" s="28">
        <f t="shared" si="52"/>
        <v>0</v>
      </c>
      <c r="DB42" s="34">
        <f>ROUND(CZ42,1)</f>
        <v>0</v>
      </c>
      <c r="DC42" s="32">
        <f t="shared" si="59"/>
        <v>0</v>
      </c>
      <c r="DD42" s="35"/>
      <c r="DE42" s="28" t="e">
        <f t="shared" si="53"/>
        <v>#DIV/0!</v>
      </c>
      <c r="DF42" s="31" t="e">
        <f t="shared" si="54"/>
        <v>#DIV/0!</v>
      </c>
      <c r="DG42" s="32" t="e">
        <f>ROUND(DE42,1)</f>
        <v>#DIV/0!</v>
      </c>
      <c r="DH42" s="32" t="e">
        <f t="shared" si="60"/>
        <v>#DIV/0!</v>
      </c>
      <c r="DI42" s="32" t="e">
        <f t="shared" si="61"/>
        <v>#DIV/0!</v>
      </c>
      <c r="DK42" s="38" t="e">
        <f t="shared" si="55"/>
        <v>#DIV/0!</v>
      </c>
      <c r="DL42" s="41" t="e">
        <f t="shared" si="68"/>
        <v>#DIV/0!</v>
      </c>
      <c r="DM42" s="38" t="e">
        <f>ROUND(DK42,4)</f>
        <v>#DIV/0!</v>
      </c>
      <c r="DN42" s="32" t="e">
        <f t="shared" si="62"/>
        <v>#DIV/0!</v>
      </c>
      <c r="DO42" s="32" t="e">
        <f t="shared" si="70"/>
        <v>#DIV/0!</v>
      </c>
      <c r="DQ42" s="38">
        <f t="shared" si="56"/>
        <v>0</v>
      </c>
      <c r="DR42" s="29">
        <f t="shared" si="71"/>
        <v>0</v>
      </c>
      <c r="DS42" s="38">
        <f>ROUND(DQ42,4)</f>
        <v>0</v>
      </c>
      <c r="DT42" s="32">
        <f t="shared" si="63"/>
        <v>0</v>
      </c>
      <c r="DU42" s="32" t="e">
        <f t="shared" si="64"/>
        <v>#DIV/0!</v>
      </c>
      <c r="DW42" s="38" t="e">
        <f>ROUND(EXP(-((103.872/(((141.5/(DF42+131.5))*999.012)^2))+(0.2701/((141.5/(DF42+131.5))*999.012)))*(CV42-60)*(1+(0.8*((103.872/(((141.5/(DF42+131.5))*999.012)^2))+(0.2701/((141.5/(DF42+131.5))*999.012)))*(CV42-60)))),4)</f>
        <v>#DIV/0!</v>
      </c>
      <c r="DX42" s="42" t="e">
        <f>ROUND(EXP(-(((103.872/DI42)+0.2701)*(1/DI42))*(CX42-60.0068749)*(1+(0.8*(((103.872/DI42)+0.2701)*(1/DI42))*((CX42-60.0068749)+0.01374979547)))),5)</f>
        <v>#DIV/0!</v>
      </c>
      <c r="DY42" s="38" t="e">
        <f>ROUND(EXP(-((103.872/((DL42*999.012)^2))+(0.2701/(DL42*999.012)))*(CV42-60)*(1+(0.8*((103.872/((DL42*999.012)^2))+(0.2701/(DL42*999.012)))*(CV42-60)))),4)</f>
        <v>#DIV/0!</v>
      </c>
      <c r="DZ42" s="42" t="e">
        <f>ROUND(EXP(-(((103.872/DO42)+0.2701)*(1/DO42))*(CX42-60.0068749)*(1+(0.8*(((103.872/DO42)+0.2701)*(1/DO42))*((CX42-60.0068749)+0.01374979547)))),5)</f>
        <v>#DIV/0!</v>
      </c>
      <c r="EA42" s="38" t="e">
        <f>ROUND(EXP(-((186.9696/((DR42*1000)^2))+(0.4862/(DR42*1000)))*(DA42-15)*(1+(0.8*((186.9696/((DR42*1000)^2))+(0.4862/(DR42*1000)))*(DA42-15)))),4)</f>
        <v>#DIV/0!</v>
      </c>
      <c r="EB42" s="42" t="e">
        <f>ROUND(EXP(-((((186.9696/DU42)+0.4862)*(1/DU42)))*(DC42-15.00367851)*(1+(0.8*((((186.9696/DU42)+0.4862)*(1/DU42)))*((DC42-15.00367851)+0.01374979547)))),5)</f>
        <v>#DIV/0!</v>
      </c>
    </row>
    <row r="43" spans="1:132" ht="11.45" customHeight="1" x14ac:dyDescent="0.2">
      <c r="A43" s="346" t="str">
        <f t="shared" si="38"/>
        <v/>
      </c>
      <c r="B43" s="346"/>
      <c r="C43" s="346"/>
      <c r="D43" s="346"/>
      <c r="E43" s="346"/>
      <c r="F43" s="346"/>
      <c r="G43" s="346"/>
      <c r="H43" s="346"/>
      <c r="I43" s="318" t="str">
        <f t="shared" si="39"/>
        <v/>
      </c>
      <c r="J43" s="318"/>
      <c r="K43" s="318"/>
      <c r="L43" s="318"/>
      <c r="M43" s="318"/>
      <c r="N43" s="318"/>
      <c r="O43" s="318"/>
      <c r="P43" s="313"/>
      <c r="Q43" s="313"/>
      <c r="R43" s="313"/>
      <c r="S43" s="313"/>
      <c r="T43" s="313"/>
      <c r="U43" s="308" t="str">
        <f t="shared" si="40"/>
        <v/>
      </c>
      <c r="V43" s="308"/>
      <c r="W43" s="308"/>
      <c r="X43" s="308"/>
      <c r="Y43" s="308"/>
      <c r="Z43" s="308"/>
      <c r="AA43" s="308"/>
      <c r="AB43" s="308"/>
      <c r="AC43" s="309"/>
      <c r="AD43" s="308"/>
      <c r="AE43" s="308"/>
      <c r="AF43" s="308"/>
      <c r="AG43" s="308"/>
      <c r="AH43" s="308"/>
      <c r="AI43" s="308"/>
      <c r="AJ43" s="308"/>
      <c r="AK43" s="308"/>
      <c r="AL43" s="308"/>
      <c r="AM43" s="308"/>
      <c r="AN43" s="308"/>
      <c r="AO43" s="308"/>
      <c r="AP43" s="308"/>
      <c r="AQ43" s="308"/>
      <c r="AR43" s="308"/>
      <c r="AS43" s="308"/>
      <c r="AT43" s="308"/>
      <c r="AU43" s="308"/>
      <c r="AV43" s="308"/>
      <c r="AW43" s="308"/>
      <c r="AX43" s="308"/>
      <c r="AY43" s="312"/>
      <c r="AZ43" s="312"/>
      <c r="BA43" s="312"/>
      <c r="BB43" s="312"/>
      <c r="BC43" s="312"/>
      <c r="BD43" s="311" t="str">
        <f t="shared" si="57"/>
        <v/>
      </c>
      <c r="BE43" s="311"/>
      <c r="BF43" s="311"/>
      <c r="BG43" s="311"/>
      <c r="BH43" s="311"/>
      <c r="BI43" s="310" t="str">
        <f t="shared" si="41"/>
        <v/>
      </c>
      <c r="BJ43" s="310"/>
      <c r="BK43" s="310"/>
      <c r="BL43" s="310"/>
      <c r="BM43" s="310"/>
      <c r="BN43" s="311" t="str">
        <f t="shared" si="42"/>
        <v/>
      </c>
      <c r="BO43" s="311"/>
      <c r="BP43" s="311"/>
      <c r="BQ43" s="311"/>
      <c r="BR43" s="311"/>
      <c r="BS43" s="332" t="str">
        <f t="shared" si="43"/>
        <v/>
      </c>
      <c r="BT43" s="332"/>
      <c r="BU43" s="332"/>
      <c r="BV43" s="332"/>
      <c r="BW43" s="332"/>
      <c r="BX43" s="311" t="str">
        <f t="shared" si="44"/>
        <v/>
      </c>
      <c r="BY43" s="311"/>
      <c r="BZ43" s="311"/>
      <c r="CA43" s="311"/>
      <c r="CB43" s="311"/>
      <c r="CC43" s="320" t="str">
        <f t="shared" si="45"/>
        <v/>
      </c>
      <c r="CD43" s="321"/>
      <c r="CE43" s="321"/>
      <c r="CF43" s="321"/>
      <c r="CG43" s="322"/>
      <c r="CH43" s="55"/>
      <c r="CN43" s="1" t="s">
        <v>219</v>
      </c>
      <c r="CP43" s="87">
        <f t="shared" si="46"/>
        <v>0</v>
      </c>
      <c r="CR43" s="28" t="e">
        <f t="shared" si="47"/>
        <v>#VALUE!</v>
      </c>
      <c r="CS43" s="29" t="str">
        <f t="shared" si="48"/>
        <v/>
      </c>
      <c r="CU43" s="28">
        <f t="shared" si="49"/>
        <v>32</v>
      </c>
      <c r="CV43" s="31">
        <f t="shared" si="50"/>
        <v>32</v>
      </c>
      <c r="CW43" s="32">
        <f t="shared" si="65"/>
        <v>32</v>
      </c>
      <c r="CX43" s="32">
        <f t="shared" si="58"/>
        <v>32</v>
      </c>
      <c r="CY43" s="26"/>
      <c r="CZ43" s="28">
        <f t="shared" si="51"/>
        <v>0</v>
      </c>
      <c r="DA43" s="28">
        <f t="shared" si="52"/>
        <v>0</v>
      </c>
      <c r="DB43" s="34">
        <f t="shared" si="66"/>
        <v>0</v>
      </c>
      <c r="DC43" s="32">
        <f t="shared" si="59"/>
        <v>0</v>
      </c>
      <c r="DD43" s="35"/>
      <c r="DE43" s="28" t="e">
        <f t="shared" si="53"/>
        <v>#DIV/0!</v>
      </c>
      <c r="DF43" s="31" t="e">
        <f>ROUND(DE43*2,0)/2</f>
        <v>#DIV/0!</v>
      </c>
      <c r="DG43" s="32" t="e">
        <f t="shared" si="67"/>
        <v>#DIV/0!</v>
      </c>
      <c r="DH43" s="32" t="e">
        <f t="shared" si="60"/>
        <v>#DIV/0!</v>
      </c>
      <c r="DI43" s="32" t="e">
        <f t="shared" si="61"/>
        <v>#DIV/0!</v>
      </c>
      <c r="DK43" s="38" t="e">
        <f t="shared" si="55"/>
        <v>#DIV/0!</v>
      </c>
      <c r="DL43" s="41" t="e">
        <f t="shared" si="68"/>
        <v>#DIV/0!</v>
      </c>
      <c r="DM43" s="38" t="e">
        <f t="shared" si="69"/>
        <v>#DIV/0!</v>
      </c>
      <c r="DN43" s="32" t="e">
        <f t="shared" si="62"/>
        <v>#DIV/0!</v>
      </c>
      <c r="DO43" s="32" t="e">
        <f t="shared" si="70"/>
        <v>#DIV/0!</v>
      </c>
      <c r="DQ43" s="38">
        <f t="shared" si="56"/>
        <v>0</v>
      </c>
      <c r="DR43" s="29">
        <f t="shared" si="71"/>
        <v>0</v>
      </c>
      <c r="DS43" s="38">
        <f t="shared" si="72"/>
        <v>0</v>
      </c>
      <c r="DT43" s="32">
        <f t="shared" si="63"/>
        <v>0</v>
      </c>
      <c r="DU43" s="32" t="e">
        <f t="shared" si="64"/>
        <v>#DIV/0!</v>
      </c>
      <c r="DW43" s="38" t="e">
        <f t="shared" si="73"/>
        <v>#DIV/0!</v>
      </c>
      <c r="DX43" s="42" t="e">
        <f t="shared" si="74"/>
        <v>#DIV/0!</v>
      </c>
      <c r="DY43" s="38" t="e">
        <f t="shared" si="75"/>
        <v>#DIV/0!</v>
      </c>
      <c r="DZ43" s="42" t="e">
        <f t="shared" si="76"/>
        <v>#DIV/0!</v>
      </c>
      <c r="EA43" s="38" t="e">
        <f t="shared" si="77"/>
        <v>#DIV/0!</v>
      </c>
      <c r="EB43" s="42" t="e">
        <f t="shared" si="78"/>
        <v>#DIV/0!</v>
      </c>
    </row>
    <row r="44" spans="1:132" ht="11.45" customHeight="1" x14ac:dyDescent="0.2">
      <c r="A44" s="346" t="str">
        <f t="shared" si="38"/>
        <v/>
      </c>
      <c r="B44" s="346"/>
      <c r="C44" s="346"/>
      <c r="D44" s="346"/>
      <c r="E44" s="346"/>
      <c r="F44" s="346"/>
      <c r="G44" s="346"/>
      <c r="H44" s="346"/>
      <c r="I44" s="318" t="str">
        <f t="shared" si="39"/>
        <v/>
      </c>
      <c r="J44" s="318"/>
      <c r="K44" s="318"/>
      <c r="L44" s="318"/>
      <c r="M44" s="318"/>
      <c r="N44" s="318"/>
      <c r="O44" s="318"/>
      <c r="P44" s="313"/>
      <c r="Q44" s="313"/>
      <c r="R44" s="313"/>
      <c r="S44" s="313"/>
      <c r="T44" s="313"/>
      <c r="U44" s="308" t="str">
        <f t="shared" si="40"/>
        <v/>
      </c>
      <c r="V44" s="308"/>
      <c r="W44" s="308"/>
      <c r="X44" s="308"/>
      <c r="Y44" s="308"/>
      <c r="Z44" s="308"/>
      <c r="AA44" s="308"/>
      <c r="AB44" s="308"/>
      <c r="AC44" s="309"/>
      <c r="AD44" s="308"/>
      <c r="AE44" s="308"/>
      <c r="AF44" s="308"/>
      <c r="AG44" s="308"/>
      <c r="AH44" s="308"/>
      <c r="AI44" s="308"/>
      <c r="AJ44" s="308"/>
      <c r="AK44" s="308"/>
      <c r="AL44" s="308"/>
      <c r="AM44" s="308"/>
      <c r="AN44" s="308"/>
      <c r="AO44" s="308"/>
      <c r="AP44" s="308"/>
      <c r="AQ44" s="308"/>
      <c r="AR44" s="308"/>
      <c r="AS44" s="308"/>
      <c r="AT44" s="308"/>
      <c r="AU44" s="308"/>
      <c r="AV44" s="308"/>
      <c r="AW44" s="308"/>
      <c r="AX44" s="308"/>
      <c r="AY44" s="312"/>
      <c r="AZ44" s="312"/>
      <c r="BA44" s="312"/>
      <c r="BB44" s="312"/>
      <c r="BC44" s="312"/>
      <c r="BD44" s="311" t="str">
        <f t="shared" si="57"/>
        <v/>
      </c>
      <c r="BE44" s="311"/>
      <c r="BF44" s="311"/>
      <c r="BG44" s="311"/>
      <c r="BH44" s="311"/>
      <c r="BI44" s="310" t="str">
        <f t="shared" si="41"/>
        <v/>
      </c>
      <c r="BJ44" s="310"/>
      <c r="BK44" s="310"/>
      <c r="BL44" s="310"/>
      <c r="BM44" s="310"/>
      <c r="BN44" s="311" t="str">
        <f t="shared" si="42"/>
        <v/>
      </c>
      <c r="BO44" s="311"/>
      <c r="BP44" s="311"/>
      <c r="BQ44" s="311"/>
      <c r="BR44" s="311"/>
      <c r="BS44" s="332" t="str">
        <f t="shared" si="43"/>
        <v/>
      </c>
      <c r="BT44" s="332"/>
      <c r="BU44" s="332"/>
      <c r="BV44" s="332"/>
      <c r="BW44" s="332"/>
      <c r="BX44" s="311" t="str">
        <f t="shared" si="44"/>
        <v/>
      </c>
      <c r="BY44" s="311"/>
      <c r="BZ44" s="311"/>
      <c r="CA44" s="311"/>
      <c r="CB44" s="311"/>
      <c r="CC44" s="320" t="str">
        <f t="shared" si="45"/>
        <v/>
      </c>
      <c r="CD44" s="321"/>
      <c r="CE44" s="321"/>
      <c r="CF44" s="321"/>
      <c r="CG44" s="322"/>
      <c r="CH44" s="55"/>
      <c r="CI44" s="323" t="s">
        <v>511</v>
      </c>
      <c r="CJ44" s="324"/>
      <c r="CK44" s="324"/>
      <c r="CL44" s="325"/>
      <c r="CN44" s="107" t="s">
        <v>199</v>
      </c>
      <c r="CP44" s="87">
        <f t="shared" si="46"/>
        <v>0</v>
      </c>
      <c r="CR44" s="28" t="e">
        <f t="shared" si="47"/>
        <v>#VALUE!</v>
      </c>
      <c r="CS44" s="29" t="str">
        <f t="shared" si="48"/>
        <v/>
      </c>
      <c r="CU44" s="28">
        <f t="shared" si="49"/>
        <v>32</v>
      </c>
      <c r="CV44" s="31">
        <f t="shared" si="50"/>
        <v>32</v>
      </c>
      <c r="CW44" s="32">
        <f t="shared" si="65"/>
        <v>32</v>
      </c>
      <c r="CX44" s="32">
        <f t="shared" si="58"/>
        <v>32</v>
      </c>
      <c r="CY44" s="26"/>
      <c r="CZ44" s="28">
        <f t="shared" si="51"/>
        <v>0</v>
      </c>
      <c r="DA44" s="28">
        <f t="shared" si="52"/>
        <v>0</v>
      </c>
      <c r="DB44" s="34">
        <f t="shared" si="66"/>
        <v>0</v>
      </c>
      <c r="DC44" s="32">
        <f t="shared" si="59"/>
        <v>0</v>
      </c>
      <c r="DD44" s="35"/>
      <c r="DE44" s="28" t="e">
        <f t="shared" si="53"/>
        <v>#DIV/0!</v>
      </c>
      <c r="DF44" s="31" t="e">
        <f t="shared" si="54"/>
        <v>#DIV/0!</v>
      </c>
      <c r="DG44" s="32" t="e">
        <f t="shared" si="67"/>
        <v>#DIV/0!</v>
      </c>
      <c r="DH44" s="32" t="e">
        <f t="shared" si="60"/>
        <v>#DIV/0!</v>
      </c>
      <c r="DI44" s="32" t="e">
        <f t="shared" si="61"/>
        <v>#DIV/0!</v>
      </c>
      <c r="DK44" s="38" t="e">
        <f t="shared" si="55"/>
        <v>#DIV/0!</v>
      </c>
      <c r="DL44" s="41" t="e">
        <f t="shared" si="68"/>
        <v>#DIV/0!</v>
      </c>
      <c r="DM44" s="38" t="e">
        <f t="shared" si="69"/>
        <v>#DIV/0!</v>
      </c>
      <c r="DN44" s="32" t="e">
        <f t="shared" si="62"/>
        <v>#DIV/0!</v>
      </c>
      <c r="DO44" s="32" t="e">
        <f t="shared" si="70"/>
        <v>#DIV/0!</v>
      </c>
      <c r="DQ44" s="38">
        <f t="shared" si="56"/>
        <v>0</v>
      </c>
      <c r="DR44" s="29">
        <f t="shared" si="71"/>
        <v>0</v>
      </c>
      <c r="DS44" s="38">
        <f t="shared" si="72"/>
        <v>0</v>
      </c>
      <c r="DT44" s="32">
        <f t="shared" si="63"/>
        <v>0</v>
      </c>
      <c r="DU44" s="32" t="e">
        <f t="shared" si="64"/>
        <v>#DIV/0!</v>
      </c>
      <c r="DW44" s="38" t="e">
        <f t="shared" si="73"/>
        <v>#DIV/0!</v>
      </c>
      <c r="DX44" s="42" t="e">
        <f t="shared" si="74"/>
        <v>#DIV/0!</v>
      </c>
      <c r="DY44" s="38" t="e">
        <f t="shared" si="75"/>
        <v>#DIV/0!</v>
      </c>
      <c r="DZ44" s="42" t="e">
        <f t="shared" si="76"/>
        <v>#DIV/0!</v>
      </c>
      <c r="EA44" s="38" t="e">
        <f t="shared" si="77"/>
        <v>#DIV/0!</v>
      </c>
      <c r="EB44" s="42" t="e">
        <f t="shared" si="78"/>
        <v>#DIV/0!</v>
      </c>
    </row>
    <row r="45" spans="1:132" ht="11.45" customHeight="1" x14ac:dyDescent="0.2">
      <c r="A45" s="346" t="str">
        <f t="shared" si="38"/>
        <v/>
      </c>
      <c r="B45" s="346"/>
      <c r="C45" s="346"/>
      <c r="D45" s="346"/>
      <c r="E45" s="346"/>
      <c r="F45" s="346"/>
      <c r="G45" s="346"/>
      <c r="H45" s="346"/>
      <c r="I45" s="318" t="str">
        <f t="shared" si="39"/>
        <v/>
      </c>
      <c r="J45" s="318"/>
      <c r="K45" s="318"/>
      <c r="L45" s="318"/>
      <c r="M45" s="318"/>
      <c r="N45" s="318"/>
      <c r="O45" s="318"/>
      <c r="P45" s="313"/>
      <c r="Q45" s="313"/>
      <c r="R45" s="313"/>
      <c r="S45" s="313"/>
      <c r="T45" s="313"/>
      <c r="U45" s="308" t="str">
        <f t="shared" si="40"/>
        <v/>
      </c>
      <c r="V45" s="308"/>
      <c r="W45" s="308"/>
      <c r="X45" s="308"/>
      <c r="Y45" s="308"/>
      <c r="Z45" s="308"/>
      <c r="AA45" s="308"/>
      <c r="AB45" s="308"/>
      <c r="AC45" s="309"/>
      <c r="AD45" s="308"/>
      <c r="AE45" s="308"/>
      <c r="AF45" s="308"/>
      <c r="AG45" s="308"/>
      <c r="AH45" s="308"/>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t="str">
        <f t="shared" si="57"/>
        <v/>
      </c>
      <c r="BE45" s="311"/>
      <c r="BF45" s="311"/>
      <c r="BG45" s="311"/>
      <c r="BH45" s="311"/>
      <c r="BI45" s="310" t="str">
        <f t="shared" si="41"/>
        <v/>
      </c>
      <c r="BJ45" s="310"/>
      <c r="BK45" s="310"/>
      <c r="BL45" s="310"/>
      <c r="BM45" s="310"/>
      <c r="BN45" s="311" t="str">
        <f>IF(OR(BD45="",BI45=""),"",BD45*BI45)</f>
        <v/>
      </c>
      <c r="BO45" s="311"/>
      <c r="BP45" s="311"/>
      <c r="BQ45" s="311"/>
      <c r="BR45" s="311"/>
      <c r="BS45" s="332" t="str">
        <f t="shared" si="43"/>
        <v/>
      </c>
      <c r="BT45" s="332"/>
      <c r="BU45" s="332"/>
      <c r="BV45" s="332"/>
      <c r="BW45" s="332"/>
      <c r="BX45" s="311" t="str">
        <f t="shared" si="44"/>
        <v/>
      </c>
      <c r="BY45" s="311"/>
      <c r="BZ45" s="311"/>
      <c r="CA45" s="311"/>
      <c r="CB45" s="311"/>
      <c r="CC45" s="320" t="str">
        <f t="shared" si="45"/>
        <v/>
      </c>
      <c r="CD45" s="321"/>
      <c r="CE45" s="321"/>
      <c r="CF45" s="321"/>
      <c r="CG45" s="322"/>
      <c r="CH45" s="55"/>
      <c r="CI45" s="326"/>
      <c r="CJ45" s="327"/>
      <c r="CK45" s="327"/>
      <c r="CL45" s="328"/>
      <c r="CN45" s="87" t="s">
        <v>200</v>
      </c>
      <c r="CP45" s="87">
        <f t="shared" si="46"/>
        <v>0</v>
      </c>
      <c r="CR45" s="28" t="e">
        <f t="shared" si="47"/>
        <v>#VALUE!</v>
      </c>
      <c r="CS45" s="29" t="str">
        <f t="shared" si="48"/>
        <v/>
      </c>
      <c r="CU45" s="28">
        <f t="shared" si="49"/>
        <v>32</v>
      </c>
      <c r="CV45" s="31">
        <f t="shared" si="50"/>
        <v>32</v>
      </c>
      <c r="CW45" s="32">
        <f t="shared" si="65"/>
        <v>32</v>
      </c>
      <c r="CX45" s="32">
        <f t="shared" si="58"/>
        <v>32</v>
      </c>
      <c r="CY45" s="26"/>
      <c r="CZ45" s="28">
        <f t="shared" si="51"/>
        <v>0</v>
      </c>
      <c r="DA45" s="28">
        <f t="shared" si="52"/>
        <v>0</v>
      </c>
      <c r="DB45" s="34">
        <f t="shared" si="66"/>
        <v>0</v>
      </c>
      <c r="DC45" s="32">
        <f t="shared" si="59"/>
        <v>0</v>
      </c>
      <c r="DD45" s="35"/>
      <c r="DE45" s="28" t="e">
        <f t="shared" si="53"/>
        <v>#DIV/0!</v>
      </c>
      <c r="DF45" s="31" t="e">
        <f t="shared" si="54"/>
        <v>#DIV/0!</v>
      </c>
      <c r="DG45" s="32" t="e">
        <f t="shared" si="67"/>
        <v>#DIV/0!</v>
      </c>
      <c r="DH45" s="32" t="e">
        <f t="shared" si="60"/>
        <v>#DIV/0!</v>
      </c>
      <c r="DI45" s="32" t="e">
        <f>DH45*(1+((EXP(((0.01374979547/2)*(((103.872/DH45)+0.2701)*(1/DH45)))*(1+(0.8*((0.01374979547/2)*(((103.872/DH45)+0.2701)*(1/DH45))))))-1)/(1+(((0.01374979547/2)*(((103.872/DH45)+0.2701)*(1/DH45)))*(1+(1.6*((0.01374979547/2)*(((103.872/DH45)+0.2701)*(1/DH45)))))*(((2*103.872)+(0.2701+DH45))/(103.872+(0.2701*DH45)))))))</f>
        <v>#DIV/0!</v>
      </c>
      <c r="DK45" s="38" t="e">
        <f t="shared" si="55"/>
        <v>#DIV/0!</v>
      </c>
      <c r="DL45" s="41" t="e">
        <f t="shared" si="68"/>
        <v>#DIV/0!</v>
      </c>
      <c r="DM45" s="38" t="e">
        <f t="shared" si="69"/>
        <v>#DIV/0!</v>
      </c>
      <c r="DN45" s="32" t="e">
        <f t="shared" si="62"/>
        <v>#DIV/0!</v>
      </c>
      <c r="DO45" s="32" t="e">
        <f t="shared" si="70"/>
        <v>#DIV/0!</v>
      </c>
      <c r="DQ45" s="38">
        <f t="shared" si="56"/>
        <v>0</v>
      </c>
      <c r="DR45" s="29">
        <f t="shared" si="71"/>
        <v>0</v>
      </c>
      <c r="DS45" s="38">
        <f t="shared" si="72"/>
        <v>0</v>
      </c>
      <c r="DT45" s="32">
        <f t="shared" si="63"/>
        <v>0</v>
      </c>
      <c r="DU45" s="32" t="e">
        <f t="shared" si="64"/>
        <v>#DIV/0!</v>
      </c>
      <c r="DW45" s="38" t="e">
        <f t="shared" si="73"/>
        <v>#DIV/0!</v>
      </c>
      <c r="DX45" s="42" t="e">
        <f t="shared" si="74"/>
        <v>#DIV/0!</v>
      </c>
      <c r="DY45" s="38" t="e">
        <f t="shared" si="75"/>
        <v>#DIV/0!</v>
      </c>
      <c r="DZ45" s="42" t="e">
        <f t="shared" si="76"/>
        <v>#DIV/0!</v>
      </c>
      <c r="EA45" s="38" t="e">
        <f t="shared" si="77"/>
        <v>#DIV/0!</v>
      </c>
      <c r="EB45" s="42" t="e">
        <f t="shared" si="78"/>
        <v>#DIV/0!</v>
      </c>
    </row>
    <row r="46" spans="1:132" ht="11.45" customHeight="1" x14ac:dyDescent="0.2">
      <c r="A46" s="346" t="str">
        <f t="shared" si="38"/>
        <v/>
      </c>
      <c r="B46" s="346"/>
      <c r="C46" s="346"/>
      <c r="D46" s="346"/>
      <c r="E46" s="346"/>
      <c r="F46" s="346"/>
      <c r="G46" s="346"/>
      <c r="H46" s="346"/>
      <c r="I46" s="318" t="str">
        <f t="shared" si="39"/>
        <v/>
      </c>
      <c r="J46" s="318"/>
      <c r="K46" s="318"/>
      <c r="L46" s="318"/>
      <c r="M46" s="318"/>
      <c r="N46" s="318"/>
      <c r="O46" s="318"/>
      <c r="P46" s="313"/>
      <c r="Q46" s="313"/>
      <c r="R46" s="313"/>
      <c r="S46" s="313"/>
      <c r="T46" s="313"/>
      <c r="U46" s="308" t="str">
        <f t="shared" si="40"/>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si="57"/>
        <v/>
      </c>
      <c r="BE46" s="311"/>
      <c r="BF46" s="311"/>
      <c r="BG46" s="311"/>
      <c r="BH46" s="311"/>
      <c r="BI46" s="310" t="str">
        <f t="shared" si="41"/>
        <v/>
      </c>
      <c r="BJ46" s="310"/>
      <c r="BK46" s="310"/>
      <c r="BL46" s="310"/>
      <c r="BM46" s="310"/>
      <c r="BN46" s="311" t="str">
        <f t="shared" si="42"/>
        <v/>
      </c>
      <c r="BO46" s="311"/>
      <c r="BP46" s="311"/>
      <c r="BQ46" s="311"/>
      <c r="BR46" s="311"/>
      <c r="BS46" s="332" t="str">
        <f t="shared" si="43"/>
        <v/>
      </c>
      <c r="BT46" s="332"/>
      <c r="BU46" s="332"/>
      <c r="BV46" s="332"/>
      <c r="BW46" s="332"/>
      <c r="BX46" s="311" t="str">
        <f t="shared" si="44"/>
        <v/>
      </c>
      <c r="BY46" s="311"/>
      <c r="BZ46" s="311"/>
      <c r="CA46" s="311"/>
      <c r="CB46" s="311"/>
      <c r="CC46" s="320" t="str">
        <f t="shared" si="45"/>
        <v/>
      </c>
      <c r="CD46" s="321"/>
      <c r="CE46" s="321"/>
      <c r="CF46" s="321"/>
      <c r="CG46" s="322"/>
      <c r="CH46" s="55"/>
      <c r="CI46" s="108" t="s">
        <v>506</v>
      </c>
      <c r="CJ46" s="109"/>
      <c r="CK46" s="139"/>
      <c r="CL46" s="21" t="s">
        <v>453</v>
      </c>
      <c r="CN46" s="87" t="s">
        <v>201</v>
      </c>
      <c r="CP46" s="87">
        <f t="shared" si="46"/>
        <v>0</v>
      </c>
      <c r="CR46" s="28" t="e">
        <f t="shared" si="47"/>
        <v>#VALUE!</v>
      </c>
      <c r="CS46" s="29" t="str">
        <f t="shared" si="48"/>
        <v/>
      </c>
      <c r="CU46" s="28">
        <f t="shared" si="49"/>
        <v>32</v>
      </c>
      <c r="CV46" s="31">
        <f t="shared" si="50"/>
        <v>32</v>
      </c>
      <c r="CW46" s="32">
        <f t="shared" si="65"/>
        <v>32</v>
      </c>
      <c r="CX46" s="32">
        <f t="shared" si="58"/>
        <v>32</v>
      </c>
      <c r="CY46" s="26"/>
      <c r="CZ46" s="28">
        <f t="shared" si="51"/>
        <v>0</v>
      </c>
      <c r="DA46" s="28">
        <f t="shared" si="52"/>
        <v>0</v>
      </c>
      <c r="DB46" s="34">
        <f t="shared" si="66"/>
        <v>0</v>
      </c>
      <c r="DC46" s="32">
        <f t="shared" si="59"/>
        <v>0</v>
      </c>
      <c r="DD46" s="35"/>
      <c r="DE46" s="28" t="e">
        <f t="shared" si="53"/>
        <v>#DIV/0!</v>
      </c>
      <c r="DF46" s="31" t="e">
        <f t="shared" si="54"/>
        <v>#DIV/0!</v>
      </c>
      <c r="DG46" s="32" t="e">
        <f t="shared" si="67"/>
        <v>#DIV/0!</v>
      </c>
      <c r="DH46" s="32" t="e">
        <f t="shared" si="60"/>
        <v>#DIV/0!</v>
      </c>
      <c r="DI46" s="32" t="e">
        <f t="shared" si="61"/>
        <v>#DIV/0!</v>
      </c>
      <c r="DK46" s="38" t="e">
        <f t="shared" si="55"/>
        <v>#DIV/0!</v>
      </c>
      <c r="DL46" s="41" t="e">
        <f t="shared" si="68"/>
        <v>#DIV/0!</v>
      </c>
      <c r="DM46" s="38" t="e">
        <f t="shared" si="69"/>
        <v>#DIV/0!</v>
      </c>
      <c r="DN46" s="32" t="e">
        <f t="shared" si="62"/>
        <v>#DIV/0!</v>
      </c>
      <c r="DO46" s="32" t="e">
        <f t="shared" si="70"/>
        <v>#DIV/0!</v>
      </c>
      <c r="DQ46" s="38">
        <f t="shared" si="56"/>
        <v>0</v>
      </c>
      <c r="DR46" s="29">
        <f t="shared" si="71"/>
        <v>0</v>
      </c>
      <c r="DS46" s="38">
        <f t="shared" si="72"/>
        <v>0</v>
      </c>
      <c r="DT46" s="32">
        <f t="shared" si="63"/>
        <v>0</v>
      </c>
      <c r="DU46" s="32" t="e">
        <f t="shared" si="64"/>
        <v>#DIV/0!</v>
      </c>
      <c r="DW46" s="38" t="e">
        <f t="shared" si="73"/>
        <v>#DIV/0!</v>
      </c>
      <c r="DX46" s="42" t="e">
        <f t="shared" si="74"/>
        <v>#DIV/0!</v>
      </c>
      <c r="DY46" s="38" t="e">
        <f t="shared" si="75"/>
        <v>#DIV/0!</v>
      </c>
      <c r="DZ46" s="42" t="e">
        <f t="shared" si="76"/>
        <v>#DIV/0!</v>
      </c>
      <c r="EA46" s="38" t="e">
        <f t="shared" si="77"/>
        <v>#DIV/0!</v>
      </c>
      <c r="EB46" s="42" t="e">
        <f t="shared" si="78"/>
        <v>#DIV/0!</v>
      </c>
    </row>
    <row r="47" spans="1:132" ht="11.45" customHeight="1" x14ac:dyDescent="0.2">
      <c r="A47" s="346" t="str">
        <f t="shared" si="38"/>
        <v/>
      </c>
      <c r="B47" s="346"/>
      <c r="C47" s="346"/>
      <c r="D47" s="346"/>
      <c r="E47" s="346"/>
      <c r="F47" s="346"/>
      <c r="G47" s="346"/>
      <c r="H47" s="346"/>
      <c r="I47" s="318" t="str">
        <f t="shared" si="39"/>
        <v/>
      </c>
      <c r="J47" s="318"/>
      <c r="K47" s="318"/>
      <c r="L47" s="318"/>
      <c r="M47" s="318"/>
      <c r="N47" s="318"/>
      <c r="O47" s="318"/>
      <c r="P47" s="313"/>
      <c r="Q47" s="313"/>
      <c r="R47" s="313"/>
      <c r="S47" s="313"/>
      <c r="T47" s="313"/>
      <c r="U47" s="308" t="str">
        <f t="shared" si="40"/>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7"/>
        <v/>
      </c>
      <c r="BE47" s="311"/>
      <c r="BF47" s="311"/>
      <c r="BG47" s="311"/>
      <c r="BH47" s="311"/>
      <c r="BI47" s="310" t="str">
        <f t="shared" si="41"/>
        <v/>
      </c>
      <c r="BJ47" s="310"/>
      <c r="BK47" s="310"/>
      <c r="BL47" s="310"/>
      <c r="BM47" s="310"/>
      <c r="BN47" s="311" t="str">
        <f t="shared" si="42"/>
        <v/>
      </c>
      <c r="BO47" s="311"/>
      <c r="BP47" s="311"/>
      <c r="BQ47" s="311"/>
      <c r="BR47" s="311"/>
      <c r="BS47" s="332" t="str">
        <f t="shared" si="43"/>
        <v/>
      </c>
      <c r="BT47" s="332"/>
      <c r="BU47" s="332"/>
      <c r="BV47" s="332"/>
      <c r="BW47" s="332"/>
      <c r="BX47" s="311" t="str">
        <f t="shared" si="44"/>
        <v/>
      </c>
      <c r="BY47" s="311"/>
      <c r="BZ47" s="311"/>
      <c r="CA47" s="311"/>
      <c r="CB47" s="311"/>
      <c r="CC47" s="320" t="str">
        <f t="shared" si="45"/>
        <v/>
      </c>
      <c r="CD47" s="321"/>
      <c r="CE47" s="321"/>
      <c r="CF47" s="321"/>
      <c r="CG47" s="322"/>
      <c r="CH47" s="55"/>
      <c r="CI47" s="5" t="s">
        <v>507</v>
      </c>
      <c r="CK47" s="22"/>
      <c r="CL47" s="7" t="s">
        <v>453</v>
      </c>
      <c r="CN47" s="87" t="s">
        <v>202</v>
      </c>
      <c r="CP47" s="87">
        <f t="shared" si="46"/>
        <v>0</v>
      </c>
      <c r="CR47" s="28" t="e">
        <f t="shared" si="47"/>
        <v>#VALUE!</v>
      </c>
      <c r="CS47" s="29" t="str">
        <f t="shared" si="48"/>
        <v/>
      </c>
      <c r="CU47" s="28">
        <f t="shared" si="49"/>
        <v>32</v>
      </c>
      <c r="CV47" s="31">
        <f t="shared" si="50"/>
        <v>32</v>
      </c>
      <c r="CW47" s="32">
        <f t="shared" si="65"/>
        <v>32</v>
      </c>
      <c r="CX47" s="32">
        <f t="shared" si="58"/>
        <v>32</v>
      </c>
      <c r="CY47" s="26"/>
      <c r="CZ47" s="28">
        <f t="shared" si="51"/>
        <v>0</v>
      </c>
      <c r="DA47" s="28">
        <f t="shared" si="52"/>
        <v>0</v>
      </c>
      <c r="DB47" s="34">
        <f t="shared" si="66"/>
        <v>0</v>
      </c>
      <c r="DC47" s="32">
        <f t="shared" si="59"/>
        <v>0</v>
      </c>
      <c r="DD47" s="35"/>
      <c r="DE47" s="28" t="e">
        <f t="shared" si="53"/>
        <v>#DIV/0!</v>
      </c>
      <c r="DF47" s="31" t="e">
        <f t="shared" si="54"/>
        <v>#DIV/0!</v>
      </c>
      <c r="DG47" s="32" t="e">
        <f t="shared" si="67"/>
        <v>#DIV/0!</v>
      </c>
      <c r="DH47" s="32" t="e">
        <f t="shared" si="60"/>
        <v>#DIV/0!</v>
      </c>
      <c r="DI47" s="32" t="e">
        <f t="shared" si="61"/>
        <v>#DIV/0!</v>
      </c>
      <c r="DK47" s="38" t="e">
        <f t="shared" si="55"/>
        <v>#DIV/0!</v>
      </c>
      <c r="DL47" s="41" t="e">
        <f t="shared" si="68"/>
        <v>#DIV/0!</v>
      </c>
      <c r="DM47" s="38" t="e">
        <f t="shared" si="69"/>
        <v>#DIV/0!</v>
      </c>
      <c r="DN47" s="32" t="e">
        <f t="shared" si="62"/>
        <v>#DIV/0!</v>
      </c>
      <c r="DO47" s="32" t="e">
        <f t="shared" si="70"/>
        <v>#DIV/0!</v>
      </c>
      <c r="DQ47" s="38">
        <f t="shared" si="56"/>
        <v>0</v>
      </c>
      <c r="DR47" s="29">
        <f t="shared" si="71"/>
        <v>0</v>
      </c>
      <c r="DS47" s="38">
        <f t="shared" si="72"/>
        <v>0</v>
      </c>
      <c r="DT47" s="32">
        <f t="shared" si="63"/>
        <v>0</v>
      </c>
      <c r="DU47" s="32" t="e">
        <f t="shared" si="64"/>
        <v>#DIV/0!</v>
      </c>
      <c r="DW47" s="38" t="e">
        <f t="shared" si="73"/>
        <v>#DIV/0!</v>
      </c>
      <c r="DX47" s="42" t="e">
        <f t="shared" si="74"/>
        <v>#DIV/0!</v>
      </c>
      <c r="DY47" s="38" t="e">
        <f t="shared" si="75"/>
        <v>#DIV/0!</v>
      </c>
      <c r="DZ47" s="42" t="e">
        <f t="shared" si="76"/>
        <v>#DIV/0!</v>
      </c>
      <c r="EA47" s="38" t="e">
        <f t="shared" si="77"/>
        <v>#DIV/0!</v>
      </c>
      <c r="EB47" s="42" t="e">
        <f t="shared" si="78"/>
        <v>#DIV/0!</v>
      </c>
    </row>
    <row r="48" spans="1:132" ht="11.45" customHeight="1" x14ac:dyDescent="0.2">
      <c r="A48" s="346" t="str">
        <f t="shared" si="38"/>
        <v/>
      </c>
      <c r="B48" s="346"/>
      <c r="C48" s="346"/>
      <c r="D48" s="346"/>
      <c r="E48" s="346"/>
      <c r="F48" s="346"/>
      <c r="G48" s="346"/>
      <c r="H48" s="346"/>
      <c r="I48" s="318" t="str">
        <f t="shared" si="39"/>
        <v/>
      </c>
      <c r="J48" s="318"/>
      <c r="K48" s="318"/>
      <c r="L48" s="318"/>
      <c r="M48" s="318"/>
      <c r="N48" s="318"/>
      <c r="O48" s="318"/>
      <c r="P48" s="313"/>
      <c r="Q48" s="313"/>
      <c r="R48" s="313"/>
      <c r="S48" s="313"/>
      <c r="T48" s="313"/>
      <c r="U48" s="308" t="str">
        <f>IF(U29="","",U29)</f>
        <v/>
      </c>
      <c r="V48" s="308"/>
      <c r="W48" s="308"/>
      <c r="X48" s="308"/>
      <c r="Y48" s="308"/>
      <c r="Z48" s="308"/>
      <c r="AA48" s="308"/>
      <c r="AB48" s="308"/>
      <c r="AC48" s="313"/>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7"/>
        <v/>
      </c>
      <c r="BE48" s="311"/>
      <c r="BF48" s="311"/>
      <c r="BG48" s="311"/>
      <c r="BH48" s="311"/>
      <c r="BI48" s="310" t="str">
        <f t="shared" si="41"/>
        <v/>
      </c>
      <c r="BJ48" s="310"/>
      <c r="BK48" s="310"/>
      <c r="BL48" s="310"/>
      <c r="BM48" s="310"/>
      <c r="BN48" s="311" t="str">
        <f t="shared" si="42"/>
        <v/>
      </c>
      <c r="BO48" s="311"/>
      <c r="BP48" s="311"/>
      <c r="BQ48" s="311"/>
      <c r="BR48" s="311"/>
      <c r="BS48" s="332" t="str">
        <f t="shared" si="43"/>
        <v/>
      </c>
      <c r="BT48" s="332"/>
      <c r="BU48" s="332"/>
      <c r="BV48" s="332"/>
      <c r="BW48" s="332"/>
      <c r="BX48" s="311" t="str">
        <f t="shared" si="44"/>
        <v/>
      </c>
      <c r="BY48" s="311"/>
      <c r="BZ48" s="311"/>
      <c r="CA48" s="311"/>
      <c r="CB48" s="311"/>
      <c r="CC48" s="320" t="str">
        <f t="shared" si="45"/>
        <v/>
      </c>
      <c r="CD48" s="321"/>
      <c r="CE48" s="321"/>
      <c r="CF48" s="321"/>
      <c r="CG48" s="322"/>
      <c r="CH48" s="55"/>
      <c r="CI48" s="5" t="s">
        <v>508</v>
      </c>
      <c r="CK48" s="35"/>
      <c r="CL48" s="7" t="s">
        <v>512</v>
      </c>
      <c r="CN48" s="87" t="s">
        <v>203</v>
      </c>
      <c r="CP48" s="2">
        <f t="shared" si="46"/>
        <v>0</v>
      </c>
      <c r="CR48" s="45" t="e">
        <f t="shared" si="47"/>
        <v>#VALUE!</v>
      </c>
      <c r="CS48" s="46" t="str">
        <f t="shared" si="48"/>
        <v/>
      </c>
      <c r="CU48" s="45">
        <f t="shared" si="49"/>
        <v>32</v>
      </c>
      <c r="CV48" s="47">
        <f t="shared" si="50"/>
        <v>32</v>
      </c>
      <c r="CW48" s="48">
        <f>ROUND(CU48,1)</f>
        <v>32</v>
      </c>
      <c r="CX48" s="48">
        <f t="shared" si="58"/>
        <v>32</v>
      </c>
      <c r="CZ48" s="45">
        <f t="shared" si="51"/>
        <v>0</v>
      </c>
      <c r="DA48" s="45">
        <f t="shared" si="52"/>
        <v>0</v>
      </c>
      <c r="DB48" s="49">
        <f>ROUND(CZ48,1)</f>
        <v>0</v>
      </c>
      <c r="DC48" s="48">
        <f t="shared" si="59"/>
        <v>0</v>
      </c>
      <c r="DD48" s="35"/>
      <c r="DE48" s="45" t="e">
        <f t="shared" si="53"/>
        <v>#DIV/0!</v>
      </c>
      <c r="DF48" s="47" t="e">
        <f t="shared" si="54"/>
        <v>#DIV/0!</v>
      </c>
      <c r="DG48" s="48" t="e">
        <f>ROUND(DE48,1)</f>
        <v>#DIV/0!</v>
      </c>
      <c r="DH48" s="48" t="e">
        <f t="shared" si="60"/>
        <v>#DIV/0!</v>
      </c>
      <c r="DI48" s="48" t="e">
        <f t="shared" si="61"/>
        <v>#DIV/0!</v>
      </c>
      <c r="DK48" s="50" t="e">
        <f t="shared" si="55"/>
        <v>#DIV/0!</v>
      </c>
      <c r="DL48" s="51" t="e">
        <f>ROUND(DK48*5,2)/5</f>
        <v>#DIV/0!</v>
      </c>
      <c r="DM48" s="50" t="e">
        <f>ROUND(DK48,4)</f>
        <v>#DIV/0!</v>
      </c>
      <c r="DN48" s="48" t="e">
        <f t="shared" si="62"/>
        <v>#DIV/0!</v>
      </c>
      <c r="DO48" s="48" t="e">
        <f>DN48*(1+((EXP(((0.01374979547/2)*(((103.872/DN48)+0.2701)*(1/DN48)))*(1+(0.8*((0.01374979547/2)*(((103.872/DN48)+0.2701)*(1/DN48))))))-1)/(1+(((0.01374979547/2)*(((103.872/DN48)+0.2701)*(1/DN48)))*(1+(1.6*((0.01374979547/2)*(((103.872/DN48)+0.2701)*(1/DN48)))))*(((2*103.872)+(0.2701+DN48))/(103.872+(0.2701*DN48)))))))</f>
        <v>#DIV/0!</v>
      </c>
      <c r="DQ48" s="50">
        <f t="shared" si="56"/>
        <v>0</v>
      </c>
      <c r="DR48" s="46">
        <f>ROUND(DQ48*5,2)/5</f>
        <v>0</v>
      </c>
      <c r="DS48" s="50">
        <f>ROUND(DQ48,4)</f>
        <v>0</v>
      </c>
      <c r="DT48" s="48">
        <f t="shared" si="63"/>
        <v>0</v>
      </c>
      <c r="DU48" s="48" t="e">
        <f t="shared" si="64"/>
        <v>#DIV/0!</v>
      </c>
      <c r="DW48" s="50" t="e">
        <f>ROUND(EXP(-((103.872/(((141.5/(DF48+131.5))*999.012)^2))+(0.2701/((141.5/(DF48+131.5))*999.012)))*(CV48-60)*(1+(0.8*((103.872/(((141.5/(DF48+131.5))*999.012)^2))+(0.2701/((141.5/(DF48+131.5))*999.012)))*(CV48-60)))),4)</f>
        <v>#DIV/0!</v>
      </c>
      <c r="DX48" s="52" t="e">
        <f>ROUND(EXP(-(((103.872/DI48)+0.2701)*(1/DI48))*(CX48-60.0068749)*(1+(0.8*(((103.872/DI48)+0.2701)*(1/DI48))*((CX48-60.0068749)+0.01374979547)))),5)</f>
        <v>#DIV/0!</v>
      </c>
      <c r="DY48" s="50" t="e">
        <f>ROUND(EXP(-((103.872/((DL48*999.012)^2))+(0.2701/(DL48*999.012)))*(CV48-60)*(1+(0.8*((103.872/((DL48*999.012)^2))+(0.2701/(DL48*999.012)))*(CV48-60)))),4)</f>
        <v>#DIV/0!</v>
      </c>
      <c r="DZ48" s="52" t="e">
        <f>ROUND(EXP(-(((103.872/DO48)+0.2701)*(1/DO48))*(CX48-60.0068749)*(1+(0.8*(((103.872/DO48)+0.2701)*(1/DO48))*((CX48-60.0068749)+0.01374979547)))),5)</f>
        <v>#DIV/0!</v>
      </c>
      <c r="EA48" s="50" t="e">
        <f>ROUND(EXP(-((186.9696/((DR48*1000)^2))+(0.4862/(DR48*1000)))*(DA48-15)*(1+(0.8*((186.9696/((DR48*1000)^2))+(0.4862/(DR48*1000)))*(DA48-15)))),4)</f>
        <v>#DIV/0!</v>
      </c>
      <c r="EB48" s="52" t="e">
        <f>ROUND(EXP(-((((186.9696/DU48)+0.4862)*(1/DU48)))*(DC48-15.00367851)*(1+(0.8*((((186.9696/DU48)+0.4862)*(1/DU48)))*((DC48-15.00367851)+0.01374979547)))),5)</f>
        <v>#DIV/0!</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91"/>
      <c r="AD49" s="159"/>
      <c r="AE49" s="341" t="s">
        <v>212</v>
      </c>
      <c r="AF49" s="341"/>
      <c r="AG49" s="341"/>
      <c r="AH49" s="341"/>
      <c r="AI49" s="341"/>
      <c r="AJ49" s="320" t="str">
        <f>IF(COUNT(AJ37:AN48)=0,"",ROUND(SUM(AJ37:AN48),3))</f>
        <v/>
      </c>
      <c r="AK49" s="321"/>
      <c r="AL49" s="321"/>
      <c r="AM49" s="321"/>
      <c r="AN49" s="322"/>
      <c r="AO49" s="341" t="s">
        <v>214</v>
      </c>
      <c r="AP49" s="341"/>
      <c r="AQ49" s="341"/>
      <c r="AR49" s="341"/>
      <c r="AS49" s="341"/>
      <c r="AT49" s="320" t="str">
        <f>IF(COUNT(AT37:AX48)=0,"",ROUND(SUM(AT37:AX48),3))</f>
        <v/>
      </c>
      <c r="AU49" s="321"/>
      <c r="AV49" s="321"/>
      <c r="AW49" s="321"/>
      <c r="AX49" s="322"/>
      <c r="AY49" s="341" t="s">
        <v>211</v>
      </c>
      <c r="AZ49" s="341"/>
      <c r="BA49" s="341"/>
      <c r="BB49" s="341"/>
      <c r="BC49" s="341"/>
      <c r="BD49" s="320" t="str">
        <f>IF(COUNT(BD37:BH48)=0,"",ROUND(SUM(BD37:BH48),3))</f>
        <v/>
      </c>
      <c r="BE49" s="321"/>
      <c r="BF49" s="321"/>
      <c r="BG49" s="321"/>
      <c r="BH49" s="322"/>
      <c r="BI49" s="341" t="s">
        <v>210</v>
      </c>
      <c r="BJ49" s="341"/>
      <c r="BK49" s="341"/>
      <c r="BL49" s="341"/>
      <c r="BM49" s="341"/>
      <c r="BN49" s="320" t="str">
        <f>IF(COUNT(BN37:BR48)=0,"",ROUND(SUM(BN37:BR48),3))</f>
        <v/>
      </c>
      <c r="BO49" s="321"/>
      <c r="BP49" s="321"/>
      <c r="BQ49" s="321"/>
      <c r="BR49" s="322"/>
      <c r="BS49" s="341" t="s">
        <v>209</v>
      </c>
      <c r="BT49" s="341"/>
      <c r="BU49" s="341"/>
      <c r="BV49" s="341"/>
      <c r="BW49" s="341"/>
      <c r="BX49" s="320" t="str">
        <f>IF(COUNT(BX37:CB48)=0,"",ROUND(SUM(BX37:CB48),3))</f>
        <v/>
      </c>
      <c r="BY49" s="321"/>
      <c r="BZ49" s="321"/>
      <c r="CA49" s="321"/>
      <c r="CB49" s="322"/>
      <c r="CC49" s="320" t="str">
        <f>IF(COUNT(CC37:CG48)=0,"",ROUND(SUM(CC37:CG48),3))</f>
        <v/>
      </c>
      <c r="CD49" s="321"/>
      <c r="CE49" s="321"/>
      <c r="CF49" s="321"/>
      <c r="CG49" s="322"/>
      <c r="CI49" s="5" t="s">
        <v>509</v>
      </c>
      <c r="CK49" s="91"/>
      <c r="CL49" s="7" t="s">
        <v>512</v>
      </c>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c r="CI50" s="137" t="s">
        <v>510</v>
      </c>
      <c r="CJ50" s="138"/>
      <c r="CK50" s="140" t="str">
        <f>IF(OR(CK46="",CK47="",CK48="",CK49=""),"",((CK46*CK48)+((CK47-CK46)*CK49))/CK47)</f>
        <v/>
      </c>
      <c r="CL50" s="11" t="s">
        <v>512</v>
      </c>
    </row>
    <row r="51" spans="1:131" ht="11.45" hidden="1" customHeight="1" x14ac:dyDescent="0.2">
      <c r="A51" s="389" t="s">
        <v>437</v>
      </c>
      <c r="B51" s="389"/>
      <c r="C51" s="389"/>
      <c r="D51" s="389"/>
      <c r="E51" s="389"/>
      <c r="F51" s="389"/>
      <c r="G51" s="389"/>
      <c r="H51" s="389"/>
      <c r="I51" s="389"/>
      <c r="J51" s="389"/>
      <c r="K51" s="389"/>
      <c r="L51" s="389"/>
      <c r="M51" s="389"/>
      <c r="N51" s="389"/>
      <c r="O51" s="389"/>
      <c r="P51" s="389"/>
      <c r="Q51" s="389"/>
      <c r="R51" s="389"/>
      <c r="S51" s="389"/>
      <c r="T51" s="389"/>
      <c r="U51" s="389"/>
      <c r="V51" s="389" t="s">
        <v>438</v>
      </c>
      <c r="W51" s="389"/>
      <c r="X51" s="389"/>
      <c r="Y51" s="389"/>
      <c r="Z51" s="389"/>
      <c r="AA51" s="389"/>
      <c r="AB51" s="389"/>
      <c r="AC51" s="389"/>
      <c r="AD51" s="389"/>
      <c r="AE51" s="389"/>
      <c r="AF51" s="389"/>
      <c r="AG51" s="389"/>
      <c r="AH51" s="389"/>
      <c r="AI51" s="389"/>
      <c r="AJ51" s="389"/>
      <c r="AK51" s="389"/>
      <c r="AL51" s="389"/>
      <c r="AM51" s="389"/>
      <c r="AN51" s="389"/>
      <c r="AO51" s="389"/>
      <c r="AP51" s="389"/>
      <c r="AQ51" s="389" t="s">
        <v>439</v>
      </c>
      <c r="AR51" s="389"/>
      <c r="AS51" s="389"/>
      <c r="AT51" s="389"/>
      <c r="AU51" s="389"/>
      <c r="AV51" s="389"/>
      <c r="AW51" s="389"/>
      <c r="AX51" s="389"/>
      <c r="AY51" s="389"/>
      <c r="AZ51" s="389"/>
      <c r="BA51" s="389"/>
      <c r="BB51" s="389"/>
      <c r="BC51" s="389"/>
      <c r="BD51" s="389"/>
      <c r="BE51" s="389"/>
      <c r="BF51" s="389"/>
      <c r="BG51" s="389"/>
      <c r="BH51" s="389"/>
      <c r="BI51" s="389"/>
      <c r="BJ51" s="389"/>
      <c r="BK51" s="389"/>
      <c r="BL51" s="389" t="s">
        <v>440</v>
      </c>
      <c r="BM51" s="389"/>
      <c r="BN51" s="389"/>
      <c r="BO51" s="389"/>
      <c r="BP51" s="389"/>
      <c r="BQ51" s="389"/>
      <c r="BR51" s="389"/>
      <c r="BS51" s="389"/>
      <c r="BT51" s="389"/>
      <c r="BU51" s="389"/>
      <c r="BV51" s="389"/>
      <c r="BW51" s="389"/>
      <c r="BX51" s="389"/>
      <c r="BY51" s="389"/>
      <c r="BZ51" s="389"/>
      <c r="CA51" s="389"/>
      <c r="CB51" s="389"/>
      <c r="CC51" s="389"/>
      <c r="CD51" s="389"/>
      <c r="CE51" s="389"/>
      <c r="CF51" s="389"/>
      <c r="CG51" s="389"/>
    </row>
    <row r="52" spans="1:131" ht="11.45" hidden="1" customHeight="1" x14ac:dyDescent="0.2">
      <c r="A52" s="332">
        <f>IF('Bunker Certificate 1'!U25="","",'Bunker Certificate 1'!U25)</f>
        <v>0.83579999999999999</v>
      </c>
      <c r="B52" s="332"/>
      <c r="C52" s="332"/>
      <c r="D52" s="332"/>
      <c r="E52" s="332"/>
      <c r="F52" s="332"/>
      <c r="G52" s="332"/>
      <c r="H52" s="332"/>
      <c r="I52" s="332"/>
      <c r="J52" s="332"/>
      <c r="K52" s="332"/>
      <c r="L52" s="332"/>
      <c r="M52" s="332"/>
      <c r="N52" s="332"/>
      <c r="O52" s="332"/>
      <c r="P52" s="332"/>
      <c r="Q52" s="332"/>
      <c r="R52" s="332"/>
      <c r="S52" s="332"/>
      <c r="T52" s="332"/>
      <c r="U52" s="332"/>
      <c r="V52" s="311" t="str">
        <f>IF(OR(AQ52="",BL52=""),"",BL52/AQ52)</f>
        <v/>
      </c>
      <c r="W52" s="311"/>
      <c r="X52" s="311"/>
      <c r="Y52" s="311"/>
      <c r="Z52" s="311"/>
      <c r="AA52" s="311"/>
      <c r="AB52" s="311"/>
      <c r="AC52" s="311"/>
      <c r="AD52" s="311"/>
      <c r="AE52" s="311"/>
      <c r="AF52" s="311"/>
      <c r="AG52" s="311"/>
      <c r="AH52" s="311"/>
      <c r="AI52" s="311"/>
      <c r="AJ52" s="311"/>
      <c r="AK52" s="311"/>
      <c r="AL52" s="311"/>
      <c r="AM52" s="311"/>
      <c r="AN52" s="311"/>
      <c r="AO52" s="311"/>
      <c r="AP52" s="311"/>
      <c r="AQ52" s="332">
        <f>IF(A52="","",A52-0.0011)</f>
        <v>0.8347</v>
      </c>
      <c r="AR52" s="332"/>
      <c r="AS52" s="332"/>
      <c r="AT52" s="332"/>
      <c r="AU52" s="332"/>
      <c r="AV52" s="332"/>
      <c r="AW52" s="332"/>
      <c r="AX52" s="332"/>
      <c r="AY52" s="332"/>
      <c r="AZ52" s="332"/>
      <c r="BA52" s="332"/>
      <c r="BB52" s="332"/>
      <c r="BC52" s="332"/>
      <c r="BD52" s="332"/>
      <c r="BE52" s="332"/>
      <c r="BF52" s="332"/>
      <c r="BG52" s="332"/>
      <c r="BH52" s="332"/>
      <c r="BI52" s="332"/>
      <c r="BJ52" s="332"/>
      <c r="BK52" s="332"/>
      <c r="BL52" s="311" t="str">
        <f>IF(BR11="","",BR11)</f>
        <v/>
      </c>
      <c r="BM52" s="311"/>
      <c r="BN52" s="311"/>
      <c r="BO52" s="311"/>
      <c r="BP52" s="311"/>
      <c r="BQ52" s="311"/>
      <c r="BR52" s="311"/>
      <c r="BS52" s="311"/>
      <c r="BT52" s="311"/>
      <c r="BU52" s="311"/>
      <c r="BV52" s="311"/>
      <c r="BW52" s="311"/>
      <c r="BX52" s="311"/>
      <c r="BY52" s="311"/>
      <c r="BZ52" s="311"/>
      <c r="CA52" s="311"/>
      <c r="CB52" s="311"/>
      <c r="CC52" s="311"/>
      <c r="CD52" s="311"/>
      <c r="CE52" s="311"/>
      <c r="CF52" s="311"/>
      <c r="CG52" s="311"/>
      <c r="CN52" s="1" t="s">
        <v>222</v>
      </c>
    </row>
    <row r="53" spans="1:131" ht="11.45" hidden="1" customHeight="1" x14ac:dyDescent="0.2">
      <c r="A53" s="159" t="s">
        <v>441</v>
      </c>
      <c r="B53" s="159"/>
      <c r="C53" s="159"/>
      <c r="D53" s="159"/>
      <c r="E53" s="90" t="s">
        <v>0</v>
      </c>
      <c r="F53" s="198"/>
      <c r="G53" s="198"/>
      <c r="H53" s="198"/>
      <c r="I53" s="198"/>
      <c r="J53" s="198"/>
      <c r="K53" s="198"/>
      <c r="L53" s="198"/>
      <c r="M53" s="198"/>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N53" s="100">
        <f>IF(BI17=CN44,1,IF(BI17=CN45,2,IF(BI17=CN46,3,IF(BI17=CN47,4,IF(BI17=CN48,5,6)))))</f>
        <v>6</v>
      </c>
    </row>
    <row r="54" spans="1:131" ht="11.45" customHeight="1" x14ac:dyDescent="0.2">
      <c r="A54" s="154"/>
      <c r="B54" s="154"/>
      <c r="C54" s="215" t="str">
        <f>IF('Data Entry'!N29="","",'Data Entry'!N29)&amp;IF(OR('Data Entry'!N29="",'Data Entry'!N30=""),""," / Licence No")&amp; IF('Data Entry'!N30="","",'Data Entry'!N30)</f>
        <v>MEHMET EROĞLU</v>
      </c>
      <c r="D54" s="215"/>
      <c r="E54" s="215"/>
      <c r="F54" s="215"/>
      <c r="G54" s="215"/>
      <c r="H54" s="215"/>
      <c r="I54" s="215"/>
      <c r="J54" s="215"/>
      <c r="K54" s="215"/>
      <c r="L54" s="215"/>
      <c r="M54" s="215"/>
      <c r="N54" s="215"/>
      <c r="O54" s="215"/>
      <c r="P54" s="215"/>
      <c r="Q54" s="154"/>
      <c r="R54" s="154"/>
      <c r="S54" s="154"/>
      <c r="T54" s="154"/>
      <c r="U54" s="154"/>
      <c r="V54" s="154"/>
      <c r="W54" s="154"/>
      <c r="X54" s="154"/>
      <c r="Y54" s="154"/>
      <c r="Z54" s="154"/>
      <c r="AA54" s="154"/>
      <c r="AB54" s="154"/>
      <c r="AC54" s="154"/>
      <c r="AD54" s="154"/>
      <c r="AE54" s="154"/>
      <c r="AF54" s="154"/>
      <c r="AG54" s="154"/>
      <c r="AH54" s="154"/>
      <c r="AI54" s="154"/>
      <c r="AJ54" s="154"/>
      <c r="AK54" s="215" t="str">
        <f>IF('Data Entry'!N13="","",'Data Entry'!N13)</f>
        <v/>
      </c>
      <c r="AL54" s="215"/>
      <c r="AM54" s="215"/>
      <c r="AN54" s="215"/>
      <c r="AO54" s="215"/>
      <c r="AP54" s="215"/>
      <c r="AQ54" s="215"/>
      <c r="AR54" s="215"/>
      <c r="AS54" s="215"/>
      <c r="AT54" s="215"/>
      <c r="AU54" s="215"/>
      <c r="AV54" s="215"/>
      <c r="AW54" s="215"/>
      <c r="AX54" s="215"/>
      <c r="AY54" s="154"/>
      <c r="AZ54" s="154"/>
      <c r="BA54" s="154"/>
      <c r="BB54" s="154"/>
      <c r="BC54" s="154"/>
      <c r="BD54" s="154"/>
      <c r="BE54" s="154"/>
      <c r="BF54" s="154"/>
      <c r="BG54" s="154"/>
      <c r="BH54" s="154"/>
      <c r="BI54" s="154"/>
      <c r="BJ54" s="154"/>
      <c r="BK54" s="154"/>
      <c r="BL54" s="154"/>
      <c r="BM54" s="154"/>
      <c r="BN54" s="154"/>
      <c r="BO54" s="154"/>
      <c r="BP54" s="154"/>
      <c r="BQ54" s="154"/>
      <c r="BR54" s="215" t="str">
        <f>IF('Data Entry'!N9="","",'Data Entry'!N9)</f>
        <v/>
      </c>
      <c r="BS54" s="215"/>
      <c r="BT54" s="215"/>
      <c r="BU54" s="215"/>
      <c r="BV54" s="215"/>
      <c r="BW54" s="215"/>
      <c r="BX54" s="215"/>
      <c r="BY54" s="215"/>
      <c r="BZ54" s="215"/>
      <c r="CA54" s="215"/>
      <c r="CB54" s="215"/>
      <c r="CC54" s="215"/>
      <c r="CD54" s="215"/>
      <c r="CE54" s="215"/>
      <c r="CF54" s="375"/>
      <c r="CG54" s="375"/>
      <c r="CN54" s="91"/>
    </row>
    <row r="55" spans="1:131" ht="11.45" customHeight="1" x14ac:dyDescent="0.2">
      <c r="A55" s="154"/>
      <c r="B55" s="154"/>
      <c r="C55" s="215"/>
      <c r="D55" s="215"/>
      <c r="E55" s="215"/>
      <c r="F55" s="215"/>
      <c r="G55" s="215"/>
      <c r="H55" s="215"/>
      <c r="I55" s="215"/>
      <c r="J55" s="215"/>
      <c r="K55" s="215"/>
      <c r="L55" s="215"/>
      <c r="M55" s="215"/>
      <c r="N55" s="215"/>
      <c r="O55" s="215"/>
      <c r="P55" s="215"/>
      <c r="Q55" s="154"/>
      <c r="R55" s="154"/>
      <c r="S55" s="154"/>
      <c r="T55" s="154"/>
      <c r="U55" s="154"/>
      <c r="V55" s="154"/>
      <c r="W55" s="154"/>
      <c r="X55" s="154"/>
      <c r="Y55" s="154"/>
      <c r="Z55" s="154"/>
      <c r="AA55" s="154"/>
      <c r="AB55" s="154"/>
      <c r="AC55" s="154"/>
      <c r="AD55" s="154"/>
      <c r="AE55" s="154"/>
      <c r="AF55" s="154"/>
      <c r="AG55" s="154"/>
      <c r="AH55" s="154"/>
      <c r="AI55" s="154"/>
      <c r="AJ55" s="154"/>
      <c r="AK55" s="215"/>
      <c r="AL55" s="215"/>
      <c r="AM55" s="215"/>
      <c r="AN55" s="215"/>
      <c r="AO55" s="215"/>
      <c r="AP55" s="215"/>
      <c r="AQ55" s="215"/>
      <c r="AR55" s="215"/>
      <c r="AS55" s="215"/>
      <c r="AT55" s="215"/>
      <c r="AU55" s="215"/>
      <c r="AV55" s="215"/>
      <c r="AW55" s="215"/>
      <c r="AX55" s="215"/>
      <c r="AY55" s="154"/>
      <c r="AZ55" s="154"/>
      <c r="BA55" s="154"/>
      <c r="BB55" s="154"/>
      <c r="BC55" s="154"/>
      <c r="BD55" s="154"/>
      <c r="BE55" s="154"/>
      <c r="BF55" s="154"/>
      <c r="BG55" s="154"/>
      <c r="BH55" s="154"/>
      <c r="BI55" s="154"/>
      <c r="BJ55" s="154"/>
      <c r="BK55" s="154"/>
      <c r="BL55" s="154"/>
      <c r="BM55" s="154"/>
      <c r="BN55" s="154"/>
      <c r="BO55" s="154"/>
      <c r="BP55" s="154"/>
      <c r="BQ55" s="154"/>
      <c r="BR55" s="215"/>
      <c r="BS55" s="215"/>
      <c r="BT55" s="215"/>
      <c r="BU55" s="215"/>
      <c r="BV55" s="215"/>
      <c r="BW55" s="215"/>
      <c r="BX55" s="215"/>
      <c r="BY55" s="215"/>
      <c r="BZ55" s="215"/>
      <c r="CA55" s="215"/>
      <c r="CB55" s="215"/>
      <c r="CC55" s="215"/>
      <c r="CD55" s="215"/>
      <c r="CE55" s="215"/>
      <c r="CF55" s="375"/>
      <c r="CG55" s="375"/>
    </row>
    <row r="56" spans="1:131" ht="11.45" customHeight="1" x14ac:dyDescent="0.2">
      <c r="A56" s="154"/>
      <c r="B56" s="154"/>
      <c r="C56" s="216"/>
      <c r="D56" s="216"/>
      <c r="E56" s="216"/>
      <c r="F56" s="216"/>
      <c r="G56" s="216"/>
      <c r="H56" s="216"/>
      <c r="I56" s="216"/>
      <c r="J56" s="216"/>
      <c r="K56" s="216"/>
      <c r="L56" s="216"/>
      <c r="M56" s="216"/>
      <c r="N56" s="216"/>
      <c r="O56" s="216"/>
      <c r="P56" s="216"/>
      <c r="Q56" s="154"/>
      <c r="R56" s="154"/>
      <c r="S56" s="154"/>
      <c r="T56" s="154"/>
      <c r="U56" s="154"/>
      <c r="V56" s="154"/>
      <c r="W56" s="154"/>
      <c r="X56" s="154"/>
      <c r="Y56" s="154"/>
      <c r="Z56" s="154"/>
      <c r="AA56" s="154"/>
      <c r="AB56" s="154"/>
      <c r="AC56" s="154"/>
      <c r="AD56" s="154"/>
      <c r="AE56" s="154"/>
      <c r="AF56" s="154"/>
      <c r="AG56" s="154"/>
      <c r="AH56" s="154"/>
      <c r="AI56" s="154"/>
      <c r="AJ56" s="154"/>
      <c r="AK56" s="216"/>
      <c r="AL56" s="216"/>
      <c r="AM56" s="216"/>
      <c r="AN56" s="216"/>
      <c r="AO56" s="216"/>
      <c r="AP56" s="216"/>
      <c r="AQ56" s="216"/>
      <c r="AR56" s="216"/>
      <c r="AS56" s="216"/>
      <c r="AT56" s="216"/>
      <c r="AU56" s="216"/>
      <c r="AV56" s="216"/>
      <c r="AW56" s="216"/>
      <c r="AX56" s="216"/>
      <c r="AY56" s="154"/>
      <c r="AZ56" s="154"/>
      <c r="BA56" s="154"/>
      <c r="BB56" s="154"/>
      <c r="BC56" s="154"/>
      <c r="BD56" s="154"/>
      <c r="BE56" s="154"/>
      <c r="BF56" s="154"/>
      <c r="BG56" s="154"/>
      <c r="BH56" s="154"/>
      <c r="BI56" s="154"/>
      <c r="BJ56" s="154"/>
      <c r="BK56" s="154"/>
      <c r="BL56" s="154"/>
      <c r="BM56" s="154"/>
      <c r="BN56" s="154"/>
      <c r="BO56" s="154"/>
      <c r="BP56" s="154"/>
      <c r="BQ56" s="154"/>
      <c r="BR56" s="216"/>
      <c r="BS56" s="216"/>
      <c r="BT56" s="216"/>
      <c r="BU56" s="216"/>
      <c r="BV56" s="216"/>
      <c r="BW56" s="216"/>
      <c r="BX56" s="216"/>
      <c r="BY56" s="216"/>
      <c r="BZ56" s="216"/>
      <c r="CA56" s="216"/>
      <c r="CB56" s="216"/>
      <c r="CC56" s="216"/>
      <c r="CD56" s="216"/>
      <c r="CE56" s="216"/>
      <c r="CF56" s="375"/>
      <c r="CG56" s="375"/>
      <c r="CN56" s="1" t="s">
        <v>425</v>
      </c>
    </row>
    <row r="57" spans="1:131" ht="11.45" customHeight="1" x14ac:dyDescent="0.2">
      <c r="A57" s="154"/>
      <c r="B57" s="154"/>
      <c r="C57" s="211" t="s">
        <v>184</v>
      </c>
      <c r="D57" s="211"/>
      <c r="E57" s="211"/>
      <c r="F57" s="211"/>
      <c r="G57" s="211"/>
      <c r="H57" s="211"/>
      <c r="I57" s="211"/>
      <c r="J57" s="211"/>
      <c r="K57" s="211"/>
      <c r="L57" s="211"/>
      <c r="M57" s="211"/>
      <c r="N57" s="211"/>
      <c r="O57" s="211"/>
      <c r="P57" s="211"/>
      <c r="Q57" s="154"/>
      <c r="R57" s="154"/>
      <c r="S57" s="154"/>
      <c r="T57" s="154"/>
      <c r="U57" s="154"/>
      <c r="V57" s="154"/>
      <c r="W57" s="154"/>
      <c r="X57" s="154"/>
      <c r="Y57" s="154"/>
      <c r="Z57" s="154"/>
      <c r="AA57" s="154"/>
      <c r="AB57" s="154"/>
      <c r="AC57" s="154"/>
      <c r="AD57" s="154"/>
      <c r="AE57" s="154"/>
      <c r="AF57" s="154"/>
      <c r="AG57" s="154"/>
      <c r="AH57" s="154"/>
      <c r="AI57" s="154"/>
      <c r="AJ57" s="154"/>
      <c r="AK57" s="218" t="s">
        <v>51</v>
      </c>
      <c r="AL57" s="218"/>
      <c r="AM57" s="218"/>
      <c r="AN57" s="218"/>
      <c r="AO57" s="218"/>
      <c r="AP57" s="218"/>
      <c r="AQ57" s="218"/>
      <c r="AR57" s="218"/>
      <c r="AS57" s="218"/>
      <c r="AT57" s="218"/>
      <c r="AU57" s="218"/>
      <c r="AV57" s="218"/>
      <c r="AW57" s="218"/>
      <c r="AX57" s="218"/>
      <c r="AY57" s="154"/>
      <c r="AZ57" s="154"/>
      <c r="BA57" s="154"/>
      <c r="BB57" s="154"/>
      <c r="BC57" s="154"/>
      <c r="BD57" s="154"/>
      <c r="BE57" s="154"/>
      <c r="BF57" s="154"/>
      <c r="BG57" s="154"/>
      <c r="BH57" s="154"/>
      <c r="BI57" s="154"/>
      <c r="BJ57" s="154"/>
      <c r="BK57" s="154"/>
      <c r="BL57" s="154"/>
      <c r="BM57" s="154"/>
      <c r="BN57" s="154"/>
      <c r="BO57" s="154"/>
      <c r="BP57" s="154"/>
      <c r="BQ57" s="154"/>
      <c r="BR57" s="218" t="s">
        <v>17</v>
      </c>
      <c r="BS57" s="218"/>
      <c r="BT57" s="218"/>
      <c r="BU57" s="218"/>
      <c r="BV57" s="218"/>
      <c r="BW57" s="218"/>
      <c r="BX57" s="218"/>
      <c r="BY57" s="218"/>
      <c r="BZ57" s="218"/>
      <c r="CA57" s="218"/>
      <c r="CB57" s="218"/>
      <c r="CC57" s="218"/>
      <c r="CD57" s="218"/>
      <c r="CE57" s="218"/>
      <c r="CF57" s="375"/>
      <c r="CG57" s="375"/>
      <c r="CM57" s="91"/>
      <c r="CN57" s="107" t="s">
        <v>429</v>
      </c>
      <c r="CO57" s="91"/>
      <c r="CP57" s="91"/>
      <c r="CQ57" s="91"/>
    </row>
    <row r="58" spans="1:131" ht="11.45" hidden="1" customHeight="1" x14ac:dyDescent="0.2">
      <c r="A58" s="390" t="s">
        <v>442</v>
      </c>
      <c r="B58" s="390"/>
      <c r="C58" s="390"/>
      <c r="D58" s="390"/>
      <c r="E58" s="390" t="s">
        <v>0</v>
      </c>
      <c r="F58" s="374" t="s">
        <v>443</v>
      </c>
      <c r="G58" s="374"/>
      <c r="H58" s="374"/>
      <c r="I58" s="374"/>
      <c r="J58" s="374"/>
      <c r="K58" s="374"/>
      <c r="L58" s="374"/>
      <c r="M58" s="374"/>
      <c r="N58" s="374"/>
      <c r="O58" s="374"/>
      <c r="P58" s="374"/>
      <c r="Q58" s="374"/>
      <c r="R58" s="374"/>
      <c r="S58" s="374"/>
      <c r="T58" s="374"/>
      <c r="U58" s="374"/>
      <c r="V58" s="374"/>
      <c r="W58" s="374"/>
      <c r="X58" s="374"/>
      <c r="Y58" s="374"/>
      <c r="Z58" s="374" t="s">
        <v>438</v>
      </c>
      <c r="AA58" s="374"/>
      <c r="AB58" s="374"/>
      <c r="AC58" s="374"/>
      <c r="AD58" s="374"/>
      <c r="AE58" s="374"/>
      <c r="AF58" s="374"/>
      <c r="AG58" s="374"/>
      <c r="AH58" s="374"/>
      <c r="AI58" s="374"/>
      <c r="AJ58" s="374"/>
      <c r="AK58" s="374"/>
      <c r="AL58" s="374"/>
      <c r="AM58" s="374"/>
      <c r="AN58" s="374"/>
      <c r="AO58" s="374"/>
      <c r="AP58" s="374"/>
      <c r="AQ58" s="374"/>
      <c r="AR58" s="374"/>
      <c r="AS58" s="374"/>
      <c r="AT58" s="374" t="s">
        <v>439</v>
      </c>
      <c r="AU58" s="374"/>
      <c r="AV58" s="374"/>
      <c r="AW58" s="374"/>
      <c r="AX58" s="374"/>
      <c r="AY58" s="374"/>
      <c r="AZ58" s="374"/>
      <c r="BA58" s="374"/>
      <c r="BB58" s="374"/>
      <c r="BC58" s="374"/>
      <c r="BD58" s="374"/>
      <c r="BE58" s="374"/>
      <c r="BF58" s="374"/>
      <c r="BG58" s="374"/>
      <c r="BH58" s="374"/>
      <c r="BI58" s="374"/>
      <c r="BJ58" s="374"/>
      <c r="BK58" s="374"/>
      <c r="BL58" s="374"/>
      <c r="BM58" s="374"/>
      <c r="BN58" s="374" t="s">
        <v>440</v>
      </c>
      <c r="BO58" s="374"/>
      <c r="BP58" s="374"/>
      <c r="BQ58" s="374"/>
      <c r="BR58" s="374"/>
      <c r="BS58" s="374"/>
      <c r="BT58" s="374"/>
      <c r="BU58" s="374"/>
      <c r="BV58" s="374"/>
      <c r="BW58" s="374"/>
      <c r="BX58" s="374"/>
      <c r="BY58" s="374"/>
      <c r="BZ58" s="374"/>
      <c r="CA58" s="374"/>
      <c r="CB58" s="374"/>
      <c r="CC58" s="374"/>
      <c r="CD58" s="374"/>
      <c r="CE58" s="374"/>
      <c r="CF58" s="374"/>
      <c r="CG58" s="374"/>
      <c r="CN58" s="87" t="s">
        <v>430</v>
      </c>
    </row>
    <row r="59" spans="1:131" ht="11.45" hidden="1" customHeight="1" x14ac:dyDescent="0.2">
      <c r="A59" s="390"/>
      <c r="B59" s="390"/>
      <c r="C59" s="390"/>
      <c r="D59" s="390"/>
      <c r="E59" s="390"/>
      <c r="F59" s="313"/>
      <c r="G59" s="313"/>
      <c r="H59" s="313"/>
      <c r="I59" s="313"/>
      <c r="J59" s="313"/>
      <c r="K59" s="313"/>
      <c r="L59" s="313"/>
      <c r="M59" s="313"/>
      <c r="N59" s="313"/>
      <c r="O59" s="313"/>
      <c r="P59" s="313"/>
      <c r="Q59" s="313"/>
      <c r="R59" s="313"/>
      <c r="S59" s="313"/>
      <c r="T59" s="313"/>
      <c r="U59" s="313"/>
      <c r="V59" s="313"/>
      <c r="W59" s="313"/>
      <c r="X59" s="313"/>
      <c r="Y59" s="313"/>
      <c r="Z59" s="308" t="str">
        <f>IF(V52="","",V52)</f>
        <v/>
      </c>
      <c r="AA59" s="308"/>
      <c r="AB59" s="308"/>
      <c r="AC59" s="308"/>
      <c r="AD59" s="308"/>
      <c r="AE59" s="308"/>
      <c r="AF59" s="308"/>
      <c r="AG59" s="308"/>
      <c r="AH59" s="308"/>
      <c r="AI59" s="308"/>
      <c r="AJ59" s="308"/>
      <c r="AK59" s="308"/>
      <c r="AL59" s="308"/>
      <c r="AM59" s="308"/>
      <c r="AN59" s="308"/>
      <c r="AO59" s="308"/>
      <c r="AP59" s="308"/>
      <c r="AQ59" s="308"/>
      <c r="AR59" s="308"/>
      <c r="AS59" s="308"/>
      <c r="AT59" s="313" t="str">
        <f>IF(F59="","",F59-0.0011)</f>
        <v/>
      </c>
      <c r="AU59" s="313"/>
      <c r="AV59" s="313"/>
      <c r="AW59" s="313"/>
      <c r="AX59" s="313"/>
      <c r="AY59" s="313"/>
      <c r="AZ59" s="313"/>
      <c r="BA59" s="313"/>
      <c r="BB59" s="313"/>
      <c r="BC59" s="313"/>
      <c r="BD59" s="313"/>
      <c r="BE59" s="313"/>
      <c r="BF59" s="313"/>
      <c r="BG59" s="313"/>
      <c r="BH59" s="313"/>
      <c r="BI59" s="313"/>
      <c r="BJ59" s="313"/>
      <c r="BK59" s="313"/>
      <c r="BL59" s="313"/>
      <c r="BM59" s="313"/>
      <c r="BN59" s="308" t="str">
        <f>IF(OR(Z59="",AT59=""),"",Z59*AT59)</f>
        <v/>
      </c>
      <c r="BO59" s="308"/>
      <c r="BP59" s="308"/>
      <c r="BQ59" s="308"/>
      <c r="BR59" s="308"/>
      <c r="BS59" s="308"/>
      <c r="BT59" s="308"/>
      <c r="BU59" s="308"/>
      <c r="BV59" s="308"/>
      <c r="BW59" s="308"/>
      <c r="BX59" s="308"/>
      <c r="BY59" s="308"/>
      <c r="BZ59" s="308"/>
      <c r="CA59" s="308"/>
      <c r="CB59" s="308"/>
      <c r="CC59" s="308"/>
      <c r="CD59" s="308"/>
      <c r="CE59" s="308"/>
      <c r="CF59" s="308"/>
      <c r="CG59" s="308"/>
      <c r="CN59" s="87" t="s">
        <v>444</v>
      </c>
      <c r="DW59" s="91"/>
      <c r="DX59" s="91"/>
      <c r="DZ59" s="91"/>
      <c r="EA59" s="91"/>
    </row>
    <row r="60" spans="1:131" ht="11.45" customHeight="1" x14ac:dyDescent="0.2">
      <c r="A60" s="148" t="s">
        <v>472</v>
      </c>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9" t="str">
        <f>'Data Entry'!AK9</f>
        <v>LTS-CUS-F-01 rev 2.0</v>
      </c>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c r="BS60" s="149"/>
      <c r="BT60" s="149"/>
      <c r="BU60" s="149"/>
      <c r="BV60" s="149"/>
      <c r="BW60" s="149"/>
      <c r="BX60" s="149"/>
      <c r="BY60" s="149"/>
      <c r="BZ60" s="149"/>
      <c r="CA60" s="149"/>
      <c r="CB60" s="149"/>
      <c r="CC60" s="149"/>
      <c r="CD60" s="149"/>
      <c r="CE60" s="149"/>
      <c r="CF60" s="149"/>
      <c r="CG60" s="149"/>
      <c r="CN60" s="2" t="s">
        <v>431</v>
      </c>
      <c r="DW60" s="35"/>
      <c r="DX60" s="56"/>
      <c r="DZ60" s="35"/>
      <c r="EA60" s="56"/>
    </row>
    <row r="61" spans="1:131" ht="11.45" customHeight="1" x14ac:dyDescent="0.2">
      <c r="CN61" s="91"/>
      <c r="DW61" s="35"/>
      <c r="DX61" s="56"/>
      <c r="DZ61" s="35"/>
      <c r="EA61" s="56"/>
    </row>
    <row r="62" spans="1:131" ht="11.45" customHeight="1" x14ac:dyDescent="0.2">
      <c r="DW62" s="35"/>
      <c r="DX62" s="56"/>
      <c r="DZ62" s="35"/>
      <c r="EA62" s="56"/>
    </row>
    <row r="63" spans="1:131" ht="11.45" customHeight="1" x14ac:dyDescent="0.2">
      <c r="CN63" s="1" t="s">
        <v>428</v>
      </c>
      <c r="DW63" s="35"/>
      <c r="DX63" s="56"/>
      <c r="DZ63" s="35"/>
      <c r="EA63" s="56"/>
    </row>
    <row r="64" spans="1:131" ht="11.45" customHeight="1" x14ac:dyDescent="0.2">
      <c r="CN64" s="107" t="s">
        <v>432</v>
      </c>
      <c r="DW64" s="35"/>
      <c r="DX64" s="56"/>
      <c r="DZ64" s="35"/>
      <c r="EA64" s="56"/>
    </row>
    <row r="65" spans="92:131" ht="11.45" customHeight="1" x14ac:dyDescent="0.2">
      <c r="CN65" s="2" t="s">
        <v>433</v>
      </c>
      <c r="DW65" s="35"/>
      <c r="DX65" s="56"/>
      <c r="DZ65" s="35"/>
      <c r="EA65" s="56"/>
    </row>
    <row r="66" spans="92:131" ht="11.45" customHeight="1" x14ac:dyDescent="0.2">
      <c r="DW66" s="35"/>
      <c r="DX66" s="56"/>
      <c r="DZ66" s="35"/>
      <c r="EA66" s="56"/>
    </row>
    <row r="67" spans="92:131" ht="11.45" customHeight="1" x14ac:dyDescent="0.2">
      <c r="DW67" s="35"/>
      <c r="DX67" s="56"/>
      <c r="DZ67" s="35"/>
      <c r="EA67" s="56"/>
    </row>
    <row r="68" spans="92:131" ht="11.45" customHeight="1" x14ac:dyDescent="0.2">
      <c r="DW68" s="35"/>
      <c r="DX68" s="56"/>
      <c r="DZ68" s="35"/>
      <c r="EA68" s="56"/>
    </row>
    <row r="69" spans="92:131" ht="11.45" customHeight="1" x14ac:dyDescent="0.2">
      <c r="DW69" s="35"/>
      <c r="DX69" s="56"/>
      <c r="DZ69" s="35"/>
      <c r="EA69" s="56"/>
    </row>
  </sheetData>
  <sheetProtection formatCells="0" selectLockedCells="1"/>
  <mergeCells count="643">
    <mergeCell ref="CI44:CL45"/>
    <mergeCell ref="A60:AN60"/>
    <mergeCell ref="AO60:CG60"/>
    <mergeCell ref="AT59:BM59"/>
    <mergeCell ref="BN59:CG59"/>
    <mergeCell ref="AK57:AX57"/>
    <mergeCell ref="BR57:CE57"/>
    <mergeCell ref="A58:D59"/>
    <mergeCell ref="E58:E59"/>
    <mergeCell ref="F58:Y58"/>
    <mergeCell ref="Z58:AS58"/>
    <mergeCell ref="AT58:BM58"/>
    <mergeCell ref="BN58:CG58"/>
    <mergeCell ref="F59:Y59"/>
    <mergeCell ref="Z59:AS59"/>
    <mergeCell ref="A54:B57"/>
    <mergeCell ref="C54:P56"/>
    <mergeCell ref="Q54:AJ57"/>
    <mergeCell ref="AK54:AX56"/>
    <mergeCell ref="AY54:BQ57"/>
    <mergeCell ref="BR54:CE56"/>
    <mergeCell ref="CF54:CG57"/>
    <mergeCell ref="C57:P57"/>
    <mergeCell ref="A50:CG50"/>
    <mergeCell ref="A52:U52"/>
    <mergeCell ref="A53:D53"/>
    <mergeCell ref="F53:CG53"/>
    <mergeCell ref="CC42:CG42"/>
    <mergeCell ref="CC43:CG43"/>
    <mergeCell ref="P42:T42"/>
    <mergeCell ref="AO42:AS42"/>
    <mergeCell ref="AT42:AX42"/>
    <mergeCell ref="AY42:BC42"/>
    <mergeCell ref="A44:H44"/>
    <mergeCell ref="I44:O44"/>
    <mergeCell ref="P44:T44"/>
    <mergeCell ref="U44:Y44"/>
    <mergeCell ref="Z44:AD44"/>
    <mergeCell ref="BD43:BH43"/>
    <mergeCell ref="BI43:BM43"/>
    <mergeCell ref="A43:H43"/>
    <mergeCell ref="I43:O43"/>
    <mergeCell ref="U43:Y43"/>
    <mergeCell ref="P43:T43"/>
    <mergeCell ref="V52:AP52"/>
    <mergeCell ref="AQ52:BK52"/>
    <mergeCell ref="BL52:CG52"/>
    <mergeCell ref="AT43:AX43"/>
    <mergeCell ref="BS26:BW26"/>
    <mergeCell ref="BN27:BR27"/>
    <mergeCell ref="BS27:BW27"/>
    <mergeCell ref="BS28:BW28"/>
    <mergeCell ref="AY43:BC43"/>
    <mergeCell ref="AJ42:AN42"/>
    <mergeCell ref="A51:U51"/>
    <mergeCell ref="V51:AP51"/>
    <mergeCell ref="AQ51:BK51"/>
    <mergeCell ref="BL51:CG51"/>
    <mergeCell ref="CC49:CG49"/>
    <mergeCell ref="CC38:CG38"/>
    <mergeCell ref="CC39:CG39"/>
    <mergeCell ref="CC40:CG40"/>
    <mergeCell ref="AY39:BC39"/>
    <mergeCell ref="AY40:BC40"/>
    <mergeCell ref="CC44:CG44"/>
    <mergeCell ref="CC45:CG45"/>
    <mergeCell ref="CC46:CG46"/>
    <mergeCell ref="CC47:CG47"/>
    <mergeCell ref="CC48:CG48"/>
    <mergeCell ref="CC41:CG41"/>
    <mergeCell ref="AY27:BC27"/>
    <mergeCell ref="AT26:AX26"/>
    <mergeCell ref="BI19:BM19"/>
    <mergeCell ref="BN19:BR19"/>
    <mergeCell ref="BD20:BH20"/>
    <mergeCell ref="BI20:BM20"/>
    <mergeCell ref="AY21:BC21"/>
    <mergeCell ref="CC37:CG37"/>
    <mergeCell ref="CC35:CG35"/>
    <mergeCell ref="BS25:BW25"/>
    <mergeCell ref="BD25:BH25"/>
    <mergeCell ref="BI25:BM25"/>
    <mergeCell ref="AY23:BC23"/>
    <mergeCell ref="AY24:BC24"/>
    <mergeCell ref="BI24:BM24"/>
    <mergeCell ref="BN24:BR24"/>
    <mergeCell ref="A31:CG31"/>
    <mergeCell ref="CC23:CG23"/>
    <mergeCell ref="AO24:AS24"/>
    <mergeCell ref="CC25:CG25"/>
    <mergeCell ref="CC26:CG26"/>
    <mergeCell ref="CC27:CG27"/>
    <mergeCell ref="CC28:CG28"/>
    <mergeCell ref="CC29:CG29"/>
    <mergeCell ref="BX26:CB26"/>
    <mergeCell ref="BX25:CB25"/>
    <mergeCell ref="CC24:CG24"/>
    <mergeCell ref="BS24:BW24"/>
    <mergeCell ref="BX24:CB24"/>
    <mergeCell ref="BD22:BH22"/>
    <mergeCell ref="BI22:BM22"/>
    <mergeCell ref="BS22:BW22"/>
    <mergeCell ref="BX22:CB22"/>
    <mergeCell ref="BN22:BR22"/>
    <mergeCell ref="AY22:BC22"/>
    <mergeCell ref="CC22:CG22"/>
    <mergeCell ref="BD23:BH23"/>
    <mergeCell ref="BD24:BH24"/>
    <mergeCell ref="CC18:CG18"/>
    <mergeCell ref="BS18:BW18"/>
    <mergeCell ref="BX18:CB18"/>
    <mergeCell ref="BS19:BW19"/>
    <mergeCell ref="BX19:CB19"/>
    <mergeCell ref="BX20:CB20"/>
    <mergeCell ref="BS20:BW20"/>
    <mergeCell ref="BN20:BR20"/>
    <mergeCell ref="CC21:CG21"/>
    <mergeCell ref="BN18:BR18"/>
    <mergeCell ref="BX21:CB21"/>
    <mergeCell ref="BN21:BR21"/>
    <mergeCell ref="BS21:BW21"/>
    <mergeCell ref="A9:J9"/>
    <mergeCell ref="AO18:AS18"/>
    <mergeCell ref="AY18:BC18"/>
    <mergeCell ref="AY20:BC20"/>
    <mergeCell ref="AT20:AX20"/>
    <mergeCell ref="A11:M11"/>
    <mergeCell ref="O11:V11"/>
    <mergeCell ref="W11:AB11"/>
    <mergeCell ref="AC11:AO11"/>
    <mergeCell ref="AE16:AI16"/>
    <mergeCell ref="AJ16:AN16"/>
    <mergeCell ref="AO16:AS16"/>
    <mergeCell ref="AT16:AX16"/>
    <mergeCell ref="AY16:BC16"/>
    <mergeCell ref="A17:H17"/>
    <mergeCell ref="P17:T17"/>
    <mergeCell ref="P19:T19"/>
    <mergeCell ref="P18:T18"/>
    <mergeCell ref="A16:H16"/>
    <mergeCell ref="I16:O17"/>
    <mergeCell ref="P16:T16"/>
    <mergeCell ref="U16:Y16"/>
    <mergeCell ref="Z16:AD16"/>
    <mergeCell ref="AC10:AO10"/>
    <mergeCell ref="BI18:BM18"/>
    <mergeCell ref="U17:Y17"/>
    <mergeCell ref="Z17:AD17"/>
    <mergeCell ref="AE17:AI17"/>
    <mergeCell ref="AT18:AX18"/>
    <mergeCell ref="CN1:EB2"/>
    <mergeCell ref="A6:CG6"/>
    <mergeCell ref="A5:G5"/>
    <mergeCell ref="A4:G4"/>
    <mergeCell ref="A1:BK1"/>
    <mergeCell ref="A7:CG7"/>
    <mergeCell ref="CI7:CL8"/>
    <mergeCell ref="A8:AB8"/>
    <mergeCell ref="AC8:BB8"/>
    <mergeCell ref="U4:W4"/>
    <mergeCell ref="BC8:CG8"/>
    <mergeCell ref="BL1:BP1"/>
    <mergeCell ref="BR1:CG1"/>
    <mergeCell ref="A2:BK2"/>
    <mergeCell ref="BL2:BP2"/>
    <mergeCell ref="BR2:CG2"/>
    <mergeCell ref="I4:T4"/>
    <mergeCell ref="AE4:AG4"/>
    <mergeCell ref="AI4:AN4"/>
    <mergeCell ref="U5:AA5"/>
    <mergeCell ref="Y4:AD4"/>
    <mergeCell ref="A3:BQ3"/>
    <mergeCell ref="BR3:CG3"/>
    <mergeCell ref="BM4:BV4"/>
    <mergeCell ref="CI9:CJ9"/>
    <mergeCell ref="AY10:BB10"/>
    <mergeCell ref="BC10:BP10"/>
    <mergeCell ref="BR10:BY10"/>
    <mergeCell ref="L9:AB9"/>
    <mergeCell ref="AC9:AO9"/>
    <mergeCell ref="AQ9:AX9"/>
    <mergeCell ref="AY9:BB9"/>
    <mergeCell ref="BC9:BP9"/>
    <mergeCell ref="BR9:BY9"/>
    <mergeCell ref="BZ9:CG9"/>
    <mergeCell ref="CI10:CJ10"/>
    <mergeCell ref="AO4:AP5"/>
    <mergeCell ref="AQ4:AZ4"/>
    <mergeCell ref="BB4:BL4"/>
    <mergeCell ref="BX4:CG4"/>
    <mergeCell ref="I5:T5"/>
    <mergeCell ref="AC5:AN5"/>
    <mergeCell ref="A10:J10"/>
    <mergeCell ref="AQ10:AX10"/>
    <mergeCell ref="AQ11:AX11"/>
    <mergeCell ref="AY11:BB11"/>
    <mergeCell ref="BC11:BP11"/>
    <mergeCell ref="BR11:BY11"/>
    <mergeCell ref="A12:CG12"/>
    <mergeCell ref="BZ10:CG10"/>
    <mergeCell ref="BJ13:BP13"/>
    <mergeCell ref="AH15:AL15"/>
    <mergeCell ref="AQ14:AV15"/>
    <mergeCell ref="BB13:BI13"/>
    <mergeCell ref="L10:R10"/>
    <mergeCell ref="S10:U10"/>
    <mergeCell ref="W10:AB10"/>
    <mergeCell ref="BR13:CG13"/>
    <mergeCell ref="BN14:BQ14"/>
    <mergeCell ref="BR14:CG15"/>
    <mergeCell ref="AM14:AP14"/>
    <mergeCell ref="A14:F15"/>
    <mergeCell ref="AO25:AS25"/>
    <mergeCell ref="AJ26:AN26"/>
    <mergeCell ref="P21:T21"/>
    <mergeCell ref="AJ21:AN21"/>
    <mergeCell ref="U21:Y21"/>
    <mergeCell ref="AY36:BC36"/>
    <mergeCell ref="AO30:AS30"/>
    <mergeCell ref="AT30:AX30"/>
    <mergeCell ref="AD33:AF33"/>
    <mergeCell ref="AH33:AL33"/>
    <mergeCell ref="AM33:AP33"/>
    <mergeCell ref="AM34:AP34"/>
    <mergeCell ref="AQ33:AU34"/>
    <mergeCell ref="AV33:BL33"/>
    <mergeCell ref="AV34:BL34"/>
    <mergeCell ref="AJ25:AN25"/>
    <mergeCell ref="AT24:AX24"/>
    <mergeCell ref="BD26:BH26"/>
    <mergeCell ref="BD36:BH36"/>
    <mergeCell ref="BI36:BM36"/>
    <mergeCell ref="BJ32:BP32"/>
    <mergeCell ref="AY25:BC25"/>
    <mergeCell ref="BI26:BM26"/>
    <mergeCell ref="BN26:BR26"/>
    <mergeCell ref="A20:H20"/>
    <mergeCell ref="I20:O20"/>
    <mergeCell ref="U20:Y20"/>
    <mergeCell ref="Z20:AD20"/>
    <mergeCell ref="AE20:AI20"/>
    <mergeCell ref="AJ20:AN20"/>
    <mergeCell ref="AO20:AS20"/>
    <mergeCell ref="P20:T20"/>
    <mergeCell ref="A19:H19"/>
    <mergeCell ref="I19:O19"/>
    <mergeCell ref="U19:Y19"/>
    <mergeCell ref="Z19:AD19"/>
    <mergeCell ref="AE19:AI19"/>
    <mergeCell ref="AO19:AS19"/>
    <mergeCell ref="CI11:CJ11"/>
    <mergeCell ref="AJ38:AN38"/>
    <mergeCell ref="AJ40:AN40"/>
    <mergeCell ref="AT38:AX38"/>
    <mergeCell ref="AY38:BC38"/>
    <mergeCell ref="AO40:AS40"/>
    <mergeCell ref="P39:T39"/>
    <mergeCell ref="P40:T40"/>
    <mergeCell ref="AO39:AS39"/>
    <mergeCell ref="AT39:AX39"/>
    <mergeCell ref="AO38:AS38"/>
    <mergeCell ref="BZ11:CG11"/>
    <mergeCell ref="CC19:CG19"/>
    <mergeCell ref="CC20:CG20"/>
    <mergeCell ref="BD18:BH18"/>
    <mergeCell ref="BN15:BQ15"/>
    <mergeCell ref="CC16:CG16"/>
    <mergeCell ref="BX16:CB16"/>
    <mergeCell ref="AJ18:AN18"/>
    <mergeCell ref="BD19:BH19"/>
    <mergeCell ref="AJ19:AN19"/>
    <mergeCell ref="AY19:BC19"/>
    <mergeCell ref="AT19:AX19"/>
    <mergeCell ref="AJ17:AN17"/>
    <mergeCell ref="AO17:AS17"/>
    <mergeCell ref="AT17:AX17"/>
    <mergeCell ref="AY17:BC17"/>
    <mergeCell ref="BD16:BH16"/>
    <mergeCell ref="BI16:BM16"/>
    <mergeCell ref="BD17:BH17"/>
    <mergeCell ref="BI17:BM17"/>
    <mergeCell ref="BN17:BR17"/>
    <mergeCell ref="DL16:DO16"/>
    <mergeCell ref="DR16:DU16"/>
    <mergeCell ref="DW16:DX16"/>
    <mergeCell ref="DY16:DZ16"/>
    <mergeCell ref="CC17:CG17"/>
    <mergeCell ref="DF16:DI16"/>
    <mergeCell ref="BN16:BR16"/>
    <mergeCell ref="BS16:BW17"/>
    <mergeCell ref="EA16:EB16"/>
    <mergeCell ref="DA16:DC16"/>
    <mergeCell ref="BX17:CB17"/>
    <mergeCell ref="CR16:CS16"/>
    <mergeCell ref="CV16:CX16"/>
    <mergeCell ref="A18:H18"/>
    <mergeCell ref="I18:O18"/>
    <mergeCell ref="U18:Y18"/>
    <mergeCell ref="Z18:AD18"/>
    <mergeCell ref="AE18:AI18"/>
    <mergeCell ref="CI21:CL22"/>
    <mergeCell ref="A23:H23"/>
    <mergeCell ref="I23:O23"/>
    <mergeCell ref="U23:Y23"/>
    <mergeCell ref="Z23:AD23"/>
    <mergeCell ref="AE23:AI23"/>
    <mergeCell ref="BS23:BW23"/>
    <mergeCell ref="BX23:CB23"/>
    <mergeCell ref="BN23:BR23"/>
    <mergeCell ref="BI23:BM23"/>
    <mergeCell ref="A22:H22"/>
    <mergeCell ref="I22:O22"/>
    <mergeCell ref="U22:Y22"/>
    <mergeCell ref="Z22:AD22"/>
    <mergeCell ref="AE22:AI22"/>
    <mergeCell ref="AT21:AX21"/>
    <mergeCell ref="AT22:AX22"/>
    <mergeCell ref="BD21:BH21"/>
    <mergeCell ref="BI21:BM21"/>
    <mergeCell ref="Z21:AD21"/>
    <mergeCell ref="AE21:AI21"/>
    <mergeCell ref="P22:T22"/>
    <mergeCell ref="P24:T24"/>
    <mergeCell ref="P23:T23"/>
    <mergeCell ref="AJ23:AN23"/>
    <mergeCell ref="AO21:AS21"/>
    <mergeCell ref="AO22:AS22"/>
    <mergeCell ref="AJ22:AN22"/>
    <mergeCell ref="AO26:AS26"/>
    <mergeCell ref="AY26:BC26"/>
    <mergeCell ref="AE26:AI26"/>
    <mergeCell ref="AO27:AS27"/>
    <mergeCell ref="BN25:BR25"/>
    <mergeCell ref="AT23:AX23"/>
    <mergeCell ref="A26:H26"/>
    <mergeCell ref="I26:O26"/>
    <mergeCell ref="P26:T26"/>
    <mergeCell ref="U26:Y26"/>
    <mergeCell ref="Z26:AD26"/>
    <mergeCell ref="AT25:AX25"/>
    <mergeCell ref="A25:H25"/>
    <mergeCell ref="I25:O25"/>
    <mergeCell ref="P25:T25"/>
    <mergeCell ref="U25:Y25"/>
    <mergeCell ref="Z25:AD25"/>
    <mergeCell ref="AE25:AI25"/>
    <mergeCell ref="I24:O24"/>
    <mergeCell ref="U24:Y24"/>
    <mergeCell ref="Z24:AD24"/>
    <mergeCell ref="AE24:AI24"/>
    <mergeCell ref="AJ24:AN24"/>
    <mergeCell ref="AO23:AS23"/>
    <mergeCell ref="CI29:CL30"/>
    <mergeCell ref="BN29:BR29"/>
    <mergeCell ref="BS29:BW29"/>
    <mergeCell ref="BX29:CB29"/>
    <mergeCell ref="AY30:BC30"/>
    <mergeCell ref="AE29:AI29"/>
    <mergeCell ref="AO28:AS28"/>
    <mergeCell ref="AT28:AX28"/>
    <mergeCell ref="BD30:BH30"/>
    <mergeCell ref="AJ29:AN29"/>
    <mergeCell ref="AO29:AS29"/>
    <mergeCell ref="AT29:AX29"/>
    <mergeCell ref="AY29:BC29"/>
    <mergeCell ref="BD29:BH29"/>
    <mergeCell ref="AJ28:AN28"/>
    <mergeCell ref="BN28:BR28"/>
    <mergeCell ref="AY28:BC28"/>
    <mergeCell ref="BD28:BH28"/>
    <mergeCell ref="CC30:CG30"/>
    <mergeCell ref="BX28:CB28"/>
    <mergeCell ref="BI28:BM28"/>
    <mergeCell ref="A35:H35"/>
    <mergeCell ref="I35:O36"/>
    <mergeCell ref="P35:T35"/>
    <mergeCell ref="U35:Y35"/>
    <mergeCell ref="Z35:AD35"/>
    <mergeCell ref="AE35:AI35"/>
    <mergeCell ref="AJ36:AN36"/>
    <mergeCell ref="AT36:AX36"/>
    <mergeCell ref="BN30:BR30"/>
    <mergeCell ref="AJ35:AN35"/>
    <mergeCell ref="AO35:AS35"/>
    <mergeCell ref="AT35:AX35"/>
    <mergeCell ref="AY35:BC35"/>
    <mergeCell ref="BN33:BQ33"/>
    <mergeCell ref="BD35:BH35"/>
    <mergeCell ref="BI35:BM35"/>
    <mergeCell ref="G34:L34"/>
    <mergeCell ref="N34:S34"/>
    <mergeCell ref="T34:W34"/>
    <mergeCell ref="AD34:AF34"/>
    <mergeCell ref="N33:S33"/>
    <mergeCell ref="T33:W33"/>
    <mergeCell ref="X33:AC34"/>
    <mergeCell ref="AO36:AS36"/>
    <mergeCell ref="EA35:EB35"/>
    <mergeCell ref="BN35:BR35"/>
    <mergeCell ref="BS35:BW36"/>
    <mergeCell ref="BX35:CB35"/>
    <mergeCell ref="CR35:CS35"/>
    <mergeCell ref="CV35:CX35"/>
    <mergeCell ref="DA35:DC35"/>
    <mergeCell ref="CC36:CG36"/>
    <mergeCell ref="BN34:BQ34"/>
    <mergeCell ref="DF35:DI35"/>
    <mergeCell ref="DL35:DO35"/>
    <mergeCell ref="DR35:DU35"/>
    <mergeCell ref="DW35:DX35"/>
    <mergeCell ref="DY35:DZ35"/>
    <mergeCell ref="BX36:CB36"/>
    <mergeCell ref="BN36:BR36"/>
    <mergeCell ref="A36:H36"/>
    <mergeCell ref="P36:T36"/>
    <mergeCell ref="U36:Y36"/>
    <mergeCell ref="Z36:AD36"/>
    <mergeCell ref="AE36:AI36"/>
    <mergeCell ref="AY37:BC37"/>
    <mergeCell ref="AT37:AX37"/>
    <mergeCell ref="AJ37:AN37"/>
    <mergeCell ref="BS37:BW37"/>
    <mergeCell ref="A37:H37"/>
    <mergeCell ref="I37:O37"/>
    <mergeCell ref="U37:Y37"/>
    <mergeCell ref="Z37:AD37"/>
    <mergeCell ref="AE37:AI37"/>
    <mergeCell ref="P37:T37"/>
    <mergeCell ref="AO37:AS37"/>
    <mergeCell ref="BD37:BH37"/>
    <mergeCell ref="BI37:BM37"/>
    <mergeCell ref="BS38:BW38"/>
    <mergeCell ref="BX38:CB38"/>
    <mergeCell ref="BD38:BH38"/>
    <mergeCell ref="A38:H38"/>
    <mergeCell ref="I38:O38"/>
    <mergeCell ref="U38:Y38"/>
    <mergeCell ref="Z38:AD38"/>
    <mergeCell ref="AE38:AI38"/>
    <mergeCell ref="P38:T38"/>
    <mergeCell ref="A39:H39"/>
    <mergeCell ref="I39:O39"/>
    <mergeCell ref="U39:Y39"/>
    <mergeCell ref="Z39:AD39"/>
    <mergeCell ref="AE39:AI39"/>
    <mergeCell ref="BD39:BH39"/>
    <mergeCell ref="BI39:BM39"/>
    <mergeCell ref="P41:T41"/>
    <mergeCell ref="BD40:BH40"/>
    <mergeCell ref="BD41:BH41"/>
    <mergeCell ref="A40:H40"/>
    <mergeCell ref="I40:O40"/>
    <mergeCell ref="U40:Y40"/>
    <mergeCell ref="Z40:AD40"/>
    <mergeCell ref="AE40:AI40"/>
    <mergeCell ref="BI40:BM40"/>
    <mergeCell ref="AT40:AX40"/>
    <mergeCell ref="AJ39:AN39"/>
    <mergeCell ref="CI39:CL40"/>
    <mergeCell ref="A42:H42"/>
    <mergeCell ref="I42:O42"/>
    <mergeCell ref="U42:Y42"/>
    <mergeCell ref="Z42:AD42"/>
    <mergeCell ref="AE42:AI42"/>
    <mergeCell ref="BD42:BH42"/>
    <mergeCell ref="BI42:BM42"/>
    <mergeCell ref="BI41:BM41"/>
    <mergeCell ref="BN41:BR41"/>
    <mergeCell ref="BS41:BW41"/>
    <mergeCell ref="AO41:AS41"/>
    <mergeCell ref="AT41:AX41"/>
    <mergeCell ref="AY41:BC41"/>
    <mergeCell ref="BX41:CB41"/>
    <mergeCell ref="BN42:BR42"/>
    <mergeCell ref="BS42:BW42"/>
    <mergeCell ref="A41:H41"/>
    <mergeCell ref="I41:O41"/>
    <mergeCell ref="U41:Y41"/>
    <mergeCell ref="Z41:AD41"/>
    <mergeCell ref="AE41:AI41"/>
    <mergeCell ref="AJ41:AN41"/>
    <mergeCell ref="BN39:BR39"/>
    <mergeCell ref="BS43:BW43"/>
    <mergeCell ref="AJ45:AN45"/>
    <mergeCell ref="AO45:AS45"/>
    <mergeCell ref="AT45:AX45"/>
    <mergeCell ref="Z43:AD43"/>
    <mergeCell ref="AE43:AI43"/>
    <mergeCell ref="AJ43:AN43"/>
    <mergeCell ref="BI44:BM44"/>
    <mergeCell ref="BS44:BW44"/>
    <mergeCell ref="AO44:AS44"/>
    <mergeCell ref="AT44:AX44"/>
    <mergeCell ref="AY44:BC44"/>
    <mergeCell ref="AJ44:AN44"/>
    <mergeCell ref="BN44:BR44"/>
    <mergeCell ref="AE44:AI44"/>
    <mergeCell ref="AO43:AS43"/>
    <mergeCell ref="A45:H45"/>
    <mergeCell ref="I45:O45"/>
    <mergeCell ref="P45:T45"/>
    <mergeCell ref="U45:Y45"/>
    <mergeCell ref="Z45:AD45"/>
    <mergeCell ref="BX45:CB45"/>
    <mergeCell ref="BI45:BM45"/>
    <mergeCell ref="BN45:BR45"/>
    <mergeCell ref="Z46:AD46"/>
    <mergeCell ref="AE46:AI46"/>
    <mergeCell ref="BS45:BW45"/>
    <mergeCell ref="AE45:AI45"/>
    <mergeCell ref="P47:T47"/>
    <mergeCell ref="U47:Y47"/>
    <mergeCell ref="AJ46:AN46"/>
    <mergeCell ref="A48:H48"/>
    <mergeCell ref="I48:O48"/>
    <mergeCell ref="P48:T48"/>
    <mergeCell ref="U48:Y48"/>
    <mergeCell ref="Z48:AD48"/>
    <mergeCell ref="A46:H46"/>
    <mergeCell ref="I46:O46"/>
    <mergeCell ref="A47:H47"/>
    <mergeCell ref="I47:O47"/>
    <mergeCell ref="Z47:AD47"/>
    <mergeCell ref="BX49:CB49"/>
    <mergeCell ref="AD15:AF15"/>
    <mergeCell ref="BN47:BR47"/>
    <mergeCell ref="BS47:BW47"/>
    <mergeCell ref="BX47:CB47"/>
    <mergeCell ref="AT49:AX49"/>
    <mergeCell ref="AY49:BC49"/>
    <mergeCell ref="BS49:BW49"/>
    <mergeCell ref="AL13:AN13"/>
    <mergeCell ref="AP13:AW13"/>
    <mergeCell ref="AX13:AZ13"/>
    <mergeCell ref="AM15:AP15"/>
    <mergeCell ref="AW15:BL15"/>
    <mergeCell ref="BR33:CG34"/>
    <mergeCell ref="AH34:AL34"/>
    <mergeCell ref="BD48:BH48"/>
    <mergeCell ref="AY47:BC47"/>
    <mergeCell ref="BD47:BH47"/>
    <mergeCell ref="AE48:AI48"/>
    <mergeCell ref="AJ48:AN48"/>
    <mergeCell ref="AO48:AS48"/>
    <mergeCell ref="AT48:AX48"/>
    <mergeCell ref="AY48:BC48"/>
    <mergeCell ref="BI47:BM47"/>
    <mergeCell ref="BB32:BI32"/>
    <mergeCell ref="BI48:BM48"/>
    <mergeCell ref="BN46:BR46"/>
    <mergeCell ref="BS46:BW46"/>
    <mergeCell ref="BX46:CB46"/>
    <mergeCell ref="AY46:BC46"/>
    <mergeCell ref="BD46:BH46"/>
    <mergeCell ref="BI46:BM46"/>
    <mergeCell ref="BD45:BH45"/>
    <mergeCell ref="AY45:BC45"/>
    <mergeCell ref="BD44:BH44"/>
    <mergeCell ref="BX43:CB43"/>
    <mergeCell ref="BX44:CB44"/>
    <mergeCell ref="BX39:CB39"/>
    <mergeCell ref="BN37:BR37"/>
    <mergeCell ref="BN43:BR43"/>
    <mergeCell ref="BX42:CB42"/>
    <mergeCell ref="BN40:BR40"/>
    <mergeCell ref="BS40:BW40"/>
    <mergeCell ref="BS39:BW39"/>
    <mergeCell ref="BX40:CB40"/>
    <mergeCell ref="BX37:CB37"/>
    <mergeCell ref="BN38:BR38"/>
    <mergeCell ref="BI38:BM38"/>
    <mergeCell ref="BN49:BR49"/>
    <mergeCell ref="BD49:BH49"/>
    <mergeCell ref="BI49:BM49"/>
    <mergeCell ref="A49:AD49"/>
    <mergeCell ref="AE49:AI49"/>
    <mergeCell ref="AJ49:AN49"/>
    <mergeCell ref="A33:F34"/>
    <mergeCell ref="G33:L33"/>
    <mergeCell ref="G15:L15"/>
    <mergeCell ref="N15:S15"/>
    <mergeCell ref="T15:W15"/>
    <mergeCell ref="AO49:AS49"/>
    <mergeCell ref="AE47:AI47"/>
    <mergeCell ref="AJ47:AN47"/>
    <mergeCell ref="AO47:AS47"/>
    <mergeCell ref="AT47:AX47"/>
    <mergeCell ref="AO46:AS46"/>
    <mergeCell ref="AT46:AX46"/>
    <mergeCell ref="P46:T46"/>
    <mergeCell ref="U46:Y46"/>
    <mergeCell ref="BR32:CG32"/>
    <mergeCell ref="BN48:BR48"/>
    <mergeCell ref="BS48:BW48"/>
    <mergeCell ref="BX48:CB48"/>
    <mergeCell ref="A32:AK32"/>
    <mergeCell ref="AL32:AN32"/>
    <mergeCell ref="AP32:AW32"/>
    <mergeCell ref="AX32:AZ32"/>
    <mergeCell ref="N14:S14"/>
    <mergeCell ref="T14:W14"/>
    <mergeCell ref="AW14:BL14"/>
    <mergeCell ref="BI30:BM30"/>
    <mergeCell ref="BI29:BM29"/>
    <mergeCell ref="AE28:AI28"/>
    <mergeCell ref="AJ27:AN27"/>
    <mergeCell ref="A29:H29"/>
    <mergeCell ref="I29:O29"/>
    <mergeCell ref="P29:T29"/>
    <mergeCell ref="U29:Y29"/>
    <mergeCell ref="Z29:AD29"/>
    <mergeCell ref="A28:H28"/>
    <mergeCell ref="I28:O28"/>
    <mergeCell ref="P28:T28"/>
    <mergeCell ref="Z28:AD28"/>
    <mergeCell ref="U28:Y28"/>
    <mergeCell ref="A21:H21"/>
    <mergeCell ref="I21:O21"/>
    <mergeCell ref="A24:H24"/>
    <mergeCell ref="BX5:CG5"/>
    <mergeCell ref="A27:H27"/>
    <mergeCell ref="I27:O27"/>
    <mergeCell ref="X14:AC15"/>
    <mergeCell ref="AD14:AF14"/>
    <mergeCell ref="AH14:AL14"/>
    <mergeCell ref="A30:AD30"/>
    <mergeCell ref="AE30:AI30"/>
    <mergeCell ref="AJ30:AN30"/>
    <mergeCell ref="G14:L14"/>
    <mergeCell ref="AQ5:AZ5"/>
    <mergeCell ref="BB5:BL5"/>
    <mergeCell ref="BM5:BV5"/>
    <mergeCell ref="A13:AK13"/>
    <mergeCell ref="BX27:CB27"/>
    <mergeCell ref="BS30:BW30"/>
    <mergeCell ref="BX30:CB30"/>
    <mergeCell ref="BD27:BH27"/>
    <mergeCell ref="BI27:BM27"/>
    <mergeCell ref="P27:T27"/>
    <mergeCell ref="U27:Y27"/>
    <mergeCell ref="Z27:AD27"/>
    <mergeCell ref="AE27:AI27"/>
    <mergeCell ref="AT27:AX27"/>
  </mergeCells>
  <conditionalFormatting sqref="O11 L9:AB10 AQ9:AX11 BR10 A18:BC29 P37:T48 Z37:BC48 N14:S15 AM15 BN14:BQ15 AH15 BR13 BB4:BL5 BX4:CG5 BB13 AH34:AP34 N33:S34 BB32 BN33:BQ34 BR32 F59 AP32 CK46:CK49">
    <cfRule type="containsBlanks" dxfId="112" priority="2" stopIfTrue="1">
      <formula>LEN(TRIM(A4))=0</formula>
    </cfRule>
  </conditionalFormatting>
  <conditionalFormatting sqref="BR9 BR11 BN30 BX30 BD30 AT30 AJ30 A37:O48 BR54 AK54 C54 U37:Y48 CC30 BD18:CG29 BD37:CG48 BR1:CG2 AH14 AP13 I4:T5 Y4 AC5 AI4 BX49 BN49 BD49 AT49 AJ49 CC49 A52:CG52 Z59:CG59 AH33 CK50">
    <cfRule type="containsBlanks" dxfId="111" priority="1" stopIfTrue="1">
      <formula>LEN(TRIM(A1))=0</formula>
    </cfRule>
  </conditionalFormatting>
  <dataValidations xWindow="217" yWindow="431" count="57">
    <dataValidation type="list" allowBlank="1" showInputMessage="1" showErrorMessage="1" sqref="U17:Y17" xr:uid="{00000000-0002-0000-0700-000000000000}">
      <formula1>$CN$24:$CN$25</formula1>
    </dataValidation>
    <dataValidation type="list" allowBlank="1" showInputMessage="1" showErrorMessage="1" sqref="T14 T33" xr:uid="{00000000-0002-0000-0700-000001000000}">
      <formula1>$CN$8:$CN$9</formula1>
    </dataValidation>
    <dataValidation type="list" allowBlank="1" showInputMessage="1" showErrorMessage="1" sqref="AY17:BC17" xr:uid="{00000000-0002-0000-0700-000002000000}">
      <formula1>$CN$39:$CN$40</formula1>
    </dataValidation>
    <dataValidation type="list" allowBlank="1" showInputMessage="1" showErrorMessage="1" sqref="P16:T16" xr:uid="{00000000-0002-0000-0700-000003000000}">
      <formula1>$CN$18:$CN$20</formula1>
    </dataValidation>
    <dataValidation type="list" allowBlank="1" showInputMessage="1" showErrorMessage="1" sqref="AJ17:AN17" xr:uid="{00000000-0002-0000-0700-000004000000}">
      <formula1>$CN$34:$CN$35</formula1>
    </dataValidation>
    <dataValidation type="list" allowBlank="1" showInputMessage="1" showErrorMessage="1" sqref="Z36:AD36 Z17:AD17 AO17:AS17 AO36:AS36" xr:uid="{00000000-0002-0000-0700-000005000000}">
      <formula1>$CN$29:$CN$30</formula1>
    </dataValidation>
    <dataValidation allowBlank="1" showInputMessage="1" showErrorMessage="1" prompt="Enter the vessel's last port of call" sqref="L9:AB9" xr:uid="{00000000-0002-0000-0700-000006000000}"/>
    <dataValidation allowBlank="1" showInputMessage="1" showErrorMessage="1" prompt="Enter the date vessel sailed from the last port of call" sqref="L10:R10" xr:uid="{00000000-0002-0000-0700-000007000000}"/>
    <dataValidation allowBlank="1" showInputMessage="1" showErrorMessage="1" prompt="Enter the time vessel sailed from the last port of call" sqref="W10:AB10" xr:uid="{00000000-0002-0000-0700-000008000000}"/>
    <dataValidation allowBlank="1" showInputMessage="1" showErrorMessage="1" prompt="Enter the amount of bunkers on departure from the last port of call as advised by the vessel" sqref="O11:V11" xr:uid="{00000000-0002-0000-0700-000009000000}"/>
    <dataValidation allowBlank="1" showInputMessage="1" showErrorMessage="1" prompt="Enter the consumption rate at sea as advised by the vessel" sqref="AQ9:AX9" xr:uid="{00000000-0002-0000-0700-00000A000000}"/>
    <dataValidation allowBlank="1" showInputMessage="1" showErrorMessage="1" prompt="Enter the consumption rate in port as advised by the vessel" sqref="AQ10:AX10" xr:uid="{00000000-0002-0000-0700-00000B000000}"/>
    <dataValidation allowBlank="1" showInputMessage="1" showErrorMessage="1" prompt="Enter the consumption rate at anchorage as advised by the vessel" sqref="AQ11:AX11" xr:uid="{00000000-0002-0000-0700-00000C000000}"/>
    <dataValidation allowBlank="1" showInputMessage="1" showErrorMessage="1" prompt="Enter the quantity of bunkers consumed during the survey" sqref="BR10:BY10" xr:uid="{00000000-0002-0000-0700-00000D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0700-00000E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0700-00000F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0700-000010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0700-000011000000}"/>
    <dataValidation allowBlank="1" showInputMessage="1" showErrorMessage="1" prompt="Enter the name of the vessel tank" sqref="A18:H18" xr:uid="{00000000-0002-0000-0700-000012000000}"/>
    <dataValidation allowBlank="1" showInputMessage="1" showErrorMessage="1" prompt="Enter the grade of fuel within the tank" sqref="I18:O18" xr:uid="{00000000-0002-0000-0700-000013000000}"/>
    <dataValidation allowBlank="1" showInputMessage="1" showErrorMessage="1" promptTitle="Opening Density" prompt="Enter the density/API/specific gravity of the fuel within the tank as advised by the vessel. Ensure that it is correctly stated above." sqref="P18:T23" xr:uid="{00000000-0002-0000-0700-000014000000}"/>
    <dataValidation allowBlank="1" showInputMessage="1" showErrorMessage="1" prompt="Enter the reference height in metres or in Ft&amp;In, this should be available in the vessels calibration tables. Ensure to select the correct units above._x000a_" sqref="U18:Y18" xr:uid="{00000000-0002-0000-0700-000015000000}"/>
    <dataValidation allowBlank="1" showInputMessage="1" showErrorMessage="1" promptTitle="Opening Soundings" prompt="Enter observed innage/ullage figures. Ensure that innage or ullage is correctly stated above." sqref="Z18:AD18" xr:uid="{00000000-0002-0000-0700-000016000000}"/>
    <dataValidation allowBlank="1" showInputMessage="1" showErrorMessage="1" promptTitle="Opening Soundings" prompt="Enter corrected innage/ullage figures. Ensure that innage or ullage is correctly stated above." sqref="AE18:AI18" xr:uid="{00000000-0002-0000-0700-000017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23 AJ37:AN42" xr:uid="{00000000-0002-0000-0700-000018000000}"/>
    <dataValidation allowBlank="1" showInputMessage="1" showErrorMessage="1" promptTitle="Opening Soundings" prompt="Enter if any Free Water (F.W.) was observed during the soundings._x000a__x000a_" sqref="AO18:AS24 AO37:AS42" xr:uid="{00000000-0002-0000-0700-000019000000}"/>
    <dataValidation allowBlank="1" showInputMessage="1" showErrorMessage="1" promptTitle="Opening Soundings" prompt="Calculate the volume of F.W. This can be entered in m³ or barrels, ensure the correct units are selected above." sqref="AT18:AX24 AT37:AX42" xr:uid="{00000000-0002-0000-0700-00001A000000}"/>
    <dataValidation allowBlank="1" showInputMessage="1" showErrorMessage="1" promptTitle="Opening Temperatures" prompt="Enter the temperature of the fuel within the tank in either °C or °F. Ensure the correct units are selected above." sqref="AY18:BC18 AY37:BC37" xr:uid="{00000000-0002-0000-0700-00001B000000}"/>
    <dataValidation allowBlank="1" showInputMessage="1" showErrorMessage="1" promptTitle="Closing Density" prompt="Enter the density/API/specific gravity of the fuel within the tank as advised by the vessel. Ensure that it is correctly stated above." sqref="P38:T42" xr:uid="{00000000-0002-0000-0700-00001C000000}"/>
    <dataValidation allowBlank="1" showInputMessage="1" showErrorMessage="1" promptTitle="Closing soundings" prompt="Enter observed innage/ullage figures. Ensure that innage or ullage is correctly stated above." sqref="Z37:AD37" xr:uid="{00000000-0002-0000-0700-00001D000000}"/>
    <dataValidation allowBlank="1" showInputMessage="1" showErrorMessage="1" promptTitle="Closing Soundings" prompt="Enter corrected innage/ullage figures. Ensure that innage or ullage is correctly stated above." sqref="AE37:AI37" xr:uid="{00000000-0002-0000-0700-00001E000000}"/>
    <dataValidation allowBlank="1" showInputMessage="1" showErrorMessage="1" promptTitle="Closing Soundings" prompt="Enter if any Free Water (F.W.) was observed during the soundings." sqref="AO43:AS43" xr:uid="{00000000-0002-0000-0700-00001F000000}"/>
    <dataValidation allowBlank="1" showInputMessage="1" showErrorMessage="1" promptTitle="Closing Soundings" prompt="Calculate the volume of F.W. This can be entered in m³ or barrels, ensure the correct units are selected above." sqref="AT43:AX43" xr:uid="{00000000-0002-0000-0700-000020000000}"/>
    <dataValidation allowBlank="1" prompt="Enter the reference height in metres or in Ft&amp;In, this should be available in the vessels calibration tables. Ensure to select the correct units above._x000a_" sqref="U37:Y48" xr:uid="{00000000-0002-0000-0700-000021000000}"/>
    <dataValidation allowBlank="1" sqref="U36:Y36" xr:uid="{00000000-0002-0000-0700-000022000000}"/>
    <dataValidation type="list" allowBlank="1" showInputMessage="1" showErrorMessage="1" prompt="Advise the sea condition during the opening soundings" sqref="BR13:CG13" xr:uid="{00000000-0002-0000-0700-000023000000}">
      <formula1>$CN$57:$CN$60</formula1>
    </dataValidation>
    <dataValidation allowBlank="1" showInputMessage="1" showErrorMessage="1" prompt="Advise the list of the vessel when opening soundings were made and select either °P or °S in the adjacent box" sqref="AH15:AL15" xr:uid="{00000000-0002-0000-0700-000024000000}"/>
    <dataValidation type="list" allowBlank="1" showInputMessage="1" showErrorMessage="1" prompt="Advise whether trim corrections were made on arrival" sqref="BN14:BQ14" xr:uid="{00000000-0002-0000-0700-000025000000}">
      <formula1>$CN$13:$CN$14</formula1>
    </dataValidation>
    <dataValidation allowBlank="1" showInputMessage="1" showErrorMessage="1" prompt="Advise time that the opening soundings were made_x000a_" sqref="BB13:BI13" xr:uid="{00000000-0002-0000-0700-000026000000}"/>
    <dataValidation type="list" allowBlank="1" showInputMessage="1" showErrorMessage="1" sqref="AM15 AM34" xr:uid="{00000000-0002-0000-0700-000027000000}">
      <formula1>$CN$64:$CN$65</formula1>
    </dataValidation>
    <dataValidation type="list" allowBlank="1" showInputMessage="1" showErrorMessage="1" prompt="Advise whether list corrections were made on arrival" sqref="BN15:BQ15" xr:uid="{00000000-0002-0000-0700-000028000000}">
      <formula1>$CN$13:$CN$14</formula1>
    </dataValidation>
    <dataValidation type="list" allowBlank="1" showInputMessage="1" showErrorMessage="1" prompt="Advise the sea condition during the closing soundings" sqref="BR32:CG32" xr:uid="{00000000-0002-0000-0700-000029000000}">
      <formula1>$CN$57:$CN$60</formula1>
    </dataValidation>
    <dataValidation type="list" allowBlank="1" showInputMessage="1" showErrorMessage="1" prompt="Advise whether list corrections were made on departure_x000a_" sqref="BN34:BQ34" xr:uid="{00000000-0002-0000-0700-00002A000000}">
      <formula1>$CN$13:$CN$14</formula1>
    </dataValidation>
    <dataValidation type="list" allowBlank="1" showInputMessage="1" showErrorMessage="1" prompt="Advise whether trim corrections were made on departure" sqref="BN33:BQ33" xr:uid="{00000000-0002-0000-0700-00002B000000}">
      <formula1>$CN$13:$CN$14</formula1>
    </dataValidation>
    <dataValidation allowBlank="1" showInputMessage="1" showErrorMessage="1" prompt="Advise time that the closing soundings were made_x000a_" sqref="BB32:BI32" xr:uid="{00000000-0002-0000-0700-00002C000000}"/>
    <dataValidation allowBlank="1" showInputMessage="1" showErrorMessage="1" prompt="Advise the list of the vessel when closing soundings were made and select either °P or °S in the adjacent box" sqref="AH34:AL34" xr:uid="{00000000-0002-0000-0700-00002D000000}"/>
    <dataValidation allowBlank="1" showInputMessage="1" showErrorMessage="1" prompt="Enter the serial number of the thermometer used" sqref="BX5:CG5" xr:uid="{00000000-0002-0000-0700-00002E000000}"/>
    <dataValidation allowBlank="1" showInputMessage="1" showErrorMessage="1" prompt="Enter the serial number of the sounding tape used" sqref="BX4:CG4" xr:uid="{00000000-0002-0000-0700-00002F000000}"/>
    <dataValidation operator="greaterThan" allowBlank="1" showInputMessage="1" showErrorMessage="1" prompt="Enter the date of the calibration table_x000a_" sqref="BB5:BL5" xr:uid="{00000000-0002-0000-0700-000030000000}"/>
    <dataValidation allowBlank="1" showInputMessage="1" showErrorMessage="1" prompt="Please enter the name of the company that has certified/created the calibration table." sqref="BB4:BL4" xr:uid="{00000000-0002-0000-0700-000031000000}"/>
    <dataValidation allowBlank="1" showInputMessage="1" showErrorMessage="1" promptTitle="Laboratory Density" prompt="If sample is analysed in the laboratory please enter the laboratory density." sqref="F59:Y59" xr:uid="{00000000-0002-0000-0700-000032000000}"/>
    <dataValidation allowBlank="1" showInputMessage="1" showErrorMessage="1" prompt="Advise date closing measurements were made" sqref="AP32:AW32" xr:uid="{F8D622B3-3B92-4FE4-94CE-E8917AFD583C}"/>
    <dataValidation allowBlank="1" showInputMessage="1" showErrorMessage="1" promptTitle="Closing Density" prompt="Enter the density/API/specific gravity of the fuel within the tank. Ensure that it is correctly stated above._x000a__x000a_If you need to calculate the weighted average density the adjacent calculator can be utilised." sqref="P37:T37" xr:uid="{4882D803-75C8-46C3-8D0C-7787459BE9BE}"/>
    <dataValidation allowBlank="1" showInputMessage="1" showErrorMessage="1" prompt="Use the density of the supplied fuel as advised by the barge/supplier" sqref="CK49" xr:uid="{EAF603E4-EA0A-4E0B-B62D-304A8809E566}"/>
    <dataValidation allowBlank="1" showInputMessage="1" showErrorMessage="1" prompt="Use the density of the fuel within the tank as advised by the C/E" sqref="CK48" xr:uid="{8E4956A3-F5E2-4053-A504-82C7B3ED369C}"/>
    <dataValidation allowBlank="1" showInputMessage="1" showErrorMessage="1" prompt="Use the GOV of the tank after bunkering" sqref="CK47" xr:uid="{C60EBBF3-6594-4856-A035-A6FE972EF32E}"/>
    <dataValidation allowBlank="1" showInputMessage="1" showErrorMessage="1" prompt="Use the GOV of the tank before bunkering" sqref="CK46" xr:uid="{878CA7A2-4BB2-485F-82ED-47E21BE8B0FE}"/>
  </dataValidations>
  <printOptions horizontalCentered="1" verticalCentered="1"/>
  <pageMargins left="0.23622047244094491" right="0.23622047244094491" top="0.23622047244094491" bottom="0.23622047244094491" header="0.51181102362204722" footer="0.23622047244094491"/>
  <pageSetup scale="94" orientation="landscape" r:id="rId1"/>
  <headerFooter alignWithMargins="0">
    <oddFooter>&amp;C&amp;06 &amp;P &amp;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92D050"/>
    <pageSetUpPr fitToPage="1"/>
  </sheetPr>
  <dimension ref="A1:EB66"/>
  <sheetViews>
    <sheetView topLeftCell="A37" zoomScaleNormal="100" workbookViewId="0">
      <selection activeCell="AQ33" sqref="AQ33:AU34"/>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96" t="s">
        <v>280</v>
      </c>
      <c r="BM1" s="196"/>
      <c r="BN1" s="196"/>
      <c r="BO1" s="196"/>
      <c r="BP1" s="196"/>
      <c r="BQ1" s="6" t="s">
        <v>0</v>
      </c>
      <c r="BR1" s="196" t="str">
        <f>IF('Data Entry'!N28="","",'Data Entry'!N28)</f>
        <v/>
      </c>
      <c r="BS1" s="196"/>
      <c r="BT1" s="196"/>
      <c r="BU1" s="196"/>
      <c r="BV1" s="196"/>
      <c r="BW1" s="196"/>
      <c r="BX1" s="196"/>
      <c r="BY1" s="196"/>
      <c r="BZ1" s="196"/>
      <c r="CA1" s="196"/>
      <c r="CB1" s="196"/>
      <c r="CC1" s="196"/>
      <c r="CD1" s="196"/>
      <c r="CE1" s="196"/>
      <c r="CF1" s="196"/>
      <c r="CG1" s="196"/>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164" t="s">
        <v>538</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96" t="s">
        <v>281</v>
      </c>
      <c r="BM2" s="196"/>
      <c r="BN2" s="196"/>
      <c r="BO2" s="196"/>
      <c r="BP2" s="196"/>
      <c r="BQ2" s="6" t="s">
        <v>0</v>
      </c>
      <c r="BR2" s="196" t="str">
        <f>IF('Data Entry'!N39="","",'Data Entry'!N39)</f>
        <v>SC17124</v>
      </c>
      <c r="BS2" s="196"/>
      <c r="BT2" s="196"/>
      <c r="BU2" s="196"/>
      <c r="BV2" s="196"/>
      <c r="BW2" s="196"/>
      <c r="BX2" s="196"/>
      <c r="BY2" s="196"/>
      <c r="BZ2" s="196"/>
      <c r="CA2" s="196"/>
      <c r="CB2" s="196"/>
      <c r="CC2" s="196"/>
      <c r="CD2" s="196"/>
      <c r="CE2" s="196"/>
      <c r="CF2" s="196"/>
      <c r="CG2" s="196"/>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14" t="str">
        <f>IF('Data Entry'!N10="","",'Data Entry'!N10)</f>
        <v/>
      </c>
      <c r="Z4" s="314"/>
      <c r="AA4" s="314"/>
      <c r="AB4" s="314"/>
      <c r="AC4" s="314"/>
      <c r="AD4" s="314"/>
      <c r="AE4" s="155" t="s">
        <v>25</v>
      </c>
      <c r="AF4" s="155"/>
      <c r="AG4" s="155"/>
      <c r="AH4" s="90" t="s">
        <v>0</v>
      </c>
      <c r="AI4" s="155" t="str">
        <f>IF('Data Entry'!N14="","",'Data Entry'!N14)</f>
        <v/>
      </c>
      <c r="AJ4" s="155"/>
      <c r="AK4" s="155"/>
      <c r="AL4" s="155"/>
      <c r="AM4" s="155"/>
      <c r="AN4" s="155"/>
      <c r="AO4" s="155"/>
      <c r="AP4" s="155"/>
      <c r="AQ4" s="155" t="s">
        <v>421</v>
      </c>
      <c r="AR4" s="155"/>
      <c r="AS4" s="155"/>
      <c r="AT4" s="155"/>
      <c r="AU4" s="155"/>
      <c r="AV4" s="155"/>
      <c r="AW4" s="155"/>
      <c r="AX4" s="155"/>
      <c r="AY4" s="155"/>
      <c r="AZ4" s="155"/>
      <c r="BA4" s="90" t="s">
        <v>0</v>
      </c>
      <c r="BB4" s="155" t="s">
        <v>577</v>
      </c>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t="str">
        <f>'Vessel Survey 1'!BX4:CG4</f>
        <v>SM-11</v>
      </c>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Entry'!N12="","",'Data Entry'!N12)</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14">
        <v>38090</v>
      </c>
      <c r="BC5" s="314"/>
      <c r="BD5" s="314"/>
      <c r="BE5" s="314"/>
      <c r="BF5" s="314"/>
      <c r="BG5" s="314"/>
      <c r="BH5" s="314"/>
      <c r="BI5" s="314"/>
      <c r="BJ5" s="314"/>
      <c r="BK5" s="314"/>
      <c r="BL5" s="314"/>
      <c r="BM5" s="155" t="s">
        <v>424</v>
      </c>
      <c r="BN5" s="155"/>
      <c r="BO5" s="155"/>
      <c r="BP5" s="155"/>
      <c r="BQ5" s="155"/>
      <c r="BR5" s="155"/>
      <c r="BS5" s="155"/>
      <c r="BT5" s="155"/>
      <c r="BU5" s="155"/>
      <c r="BV5" s="155"/>
      <c r="BW5" s="90" t="s">
        <v>0</v>
      </c>
      <c r="BX5" s="155" t="str">
        <f>'Vessel Survey 1'!BX5:CG5</f>
        <v>H-13942</v>
      </c>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219" t="s">
        <v>29</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367"/>
      <c r="AO8" s="195" t="s">
        <v>351</v>
      </c>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N8" s="107" t="s">
        <v>192</v>
      </c>
    </row>
    <row r="9" spans="1:132" ht="11.45" customHeight="1" x14ac:dyDescent="0.2">
      <c r="A9" s="155" t="s">
        <v>4</v>
      </c>
      <c r="B9" s="155"/>
      <c r="C9" s="155"/>
      <c r="D9" s="155"/>
      <c r="E9" s="155"/>
      <c r="F9" s="155"/>
      <c r="G9" s="155"/>
      <c r="H9" s="155"/>
      <c r="I9" s="155"/>
      <c r="J9" s="155"/>
      <c r="K9" s="91" t="s">
        <v>0</v>
      </c>
      <c r="L9" s="182" t="s">
        <v>567</v>
      </c>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402"/>
      <c r="AO9" s="330" t="s">
        <v>229</v>
      </c>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91" t="s">
        <v>0</v>
      </c>
      <c r="BR9" s="335">
        <f>IF(BX30="","",BX30)</f>
        <v>400.57</v>
      </c>
      <c r="BS9" s="335"/>
      <c r="BT9" s="335"/>
      <c r="BU9" s="335"/>
      <c r="BV9" s="335"/>
      <c r="BW9" s="335"/>
      <c r="BX9" s="335"/>
      <c r="BY9" s="335"/>
      <c r="BZ9" s="155" t="s">
        <v>173</v>
      </c>
      <c r="CA9" s="155"/>
      <c r="CB9" s="155"/>
      <c r="CC9" s="155"/>
      <c r="CD9" s="155"/>
      <c r="CE9" s="155"/>
      <c r="CF9" s="155"/>
      <c r="CG9" s="155"/>
      <c r="CN9" s="2" t="s">
        <v>193</v>
      </c>
    </row>
    <row r="10" spans="1:132" ht="11.45" customHeight="1" x14ac:dyDescent="0.2">
      <c r="A10" s="155" t="s">
        <v>228</v>
      </c>
      <c r="B10" s="155"/>
      <c r="C10" s="155"/>
      <c r="D10" s="155"/>
      <c r="E10" s="155"/>
      <c r="F10" s="155"/>
      <c r="G10" s="155"/>
      <c r="H10" s="155"/>
      <c r="I10" s="155"/>
      <c r="J10" s="155"/>
      <c r="K10" s="155"/>
      <c r="L10" s="155"/>
      <c r="M10" s="155"/>
      <c r="N10" s="155"/>
      <c r="O10" s="155" t="s">
        <v>2</v>
      </c>
      <c r="P10" s="155"/>
      <c r="Q10" s="155"/>
      <c r="R10" s="155"/>
      <c r="S10" s="91" t="s">
        <v>0</v>
      </c>
      <c r="T10" s="236">
        <v>44719</v>
      </c>
      <c r="U10" s="236"/>
      <c r="V10" s="236"/>
      <c r="W10" s="236"/>
      <c r="X10" s="236"/>
      <c r="Y10" s="236"/>
      <c r="Z10" s="236"/>
      <c r="AA10" s="236"/>
      <c r="AB10" s="236"/>
      <c r="AC10" s="315" t="s">
        <v>16</v>
      </c>
      <c r="AD10" s="315"/>
      <c r="AE10" s="315"/>
      <c r="AF10" s="315"/>
      <c r="AG10" s="91" t="s">
        <v>0</v>
      </c>
      <c r="AH10" s="400">
        <v>0.36458333333333331</v>
      </c>
      <c r="AI10" s="400"/>
      <c r="AJ10" s="400"/>
      <c r="AK10" s="400"/>
      <c r="AL10" s="400"/>
      <c r="AM10" s="400"/>
      <c r="AN10" s="401"/>
      <c r="AO10" s="330" t="s">
        <v>230</v>
      </c>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91" t="s">
        <v>0</v>
      </c>
      <c r="BR10" s="335">
        <f>IF(BX49="","",BX49)</f>
        <v>0</v>
      </c>
      <c r="BS10" s="335"/>
      <c r="BT10" s="335"/>
      <c r="BU10" s="335"/>
      <c r="BV10" s="335"/>
      <c r="BW10" s="335"/>
      <c r="BX10" s="335"/>
      <c r="BY10" s="335"/>
      <c r="BZ10" s="155" t="s">
        <v>173</v>
      </c>
      <c r="CA10" s="155"/>
      <c r="CB10" s="155"/>
      <c r="CC10" s="155"/>
      <c r="CD10" s="155"/>
      <c r="CE10" s="155"/>
      <c r="CF10" s="155"/>
      <c r="CG10" s="155"/>
    </row>
    <row r="11" spans="1:132" ht="11.45" customHeight="1" x14ac:dyDescent="0.2">
      <c r="A11" s="155" t="s">
        <v>227</v>
      </c>
      <c r="B11" s="155"/>
      <c r="C11" s="155"/>
      <c r="D11" s="155"/>
      <c r="E11" s="155"/>
      <c r="F11" s="155"/>
      <c r="G11" s="155"/>
      <c r="H11" s="155"/>
      <c r="I11" s="155"/>
      <c r="J11" s="155"/>
      <c r="K11" s="155"/>
      <c r="L11" s="155"/>
      <c r="M11" s="155"/>
      <c r="N11" s="155"/>
      <c r="O11" s="155"/>
      <c r="P11" s="155"/>
      <c r="Q11" s="155"/>
      <c r="R11" s="155"/>
      <c r="S11" s="155"/>
      <c r="T11" s="155"/>
      <c r="U11" s="155"/>
      <c r="V11" s="155"/>
      <c r="W11" s="155"/>
      <c r="X11" s="155"/>
      <c r="Y11" s="155"/>
      <c r="Z11" s="91" t="s">
        <v>0</v>
      </c>
      <c r="AA11" s="364">
        <v>14.08</v>
      </c>
      <c r="AB11" s="364"/>
      <c r="AC11" s="364"/>
      <c r="AD11" s="364"/>
      <c r="AE11" s="364"/>
      <c r="AF11" s="364"/>
      <c r="AG11" s="364"/>
      <c r="AH11" s="364"/>
      <c r="AI11" s="155" t="s">
        <v>173</v>
      </c>
      <c r="AJ11" s="155"/>
      <c r="AK11" s="155"/>
      <c r="AL11" s="155"/>
      <c r="AM11" s="155"/>
      <c r="AN11" s="366"/>
      <c r="AO11" s="155" t="s">
        <v>234</v>
      </c>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91" t="s">
        <v>0</v>
      </c>
      <c r="BR11" s="382">
        <f>IF(OR(BR9="",BR10=""),"",ROUND(ABS(BR9-BR10),3))</f>
        <v>400.57</v>
      </c>
      <c r="BS11" s="382"/>
      <c r="BT11" s="382"/>
      <c r="BU11" s="382"/>
      <c r="BV11" s="382"/>
      <c r="BW11" s="382"/>
      <c r="BX11" s="382"/>
      <c r="BY11" s="382"/>
      <c r="BZ11" s="155" t="s">
        <v>173</v>
      </c>
      <c r="CA11" s="155"/>
      <c r="CB11" s="155"/>
      <c r="CC11" s="155"/>
      <c r="CD11" s="155"/>
      <c r="CE11" s="155"/>
      <c r="CF11" s="155"/>
      <c r="CG11" s="155"/>
    </row>
    <row r="12" spans="1:132" ht="11.45" customHeight="1" thickBot="1" x14ac:dyDescent="0.25">
      <c r="A12" s="363"/>
      <c r="B12" s="363"/>
      <c r="C12" s="363"/>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c r="AP12" s="363"/>
      <c r="AQ12" s="363"/>
      <c r="AR12" s="363"/>
      <c r="AS12" s="363"/>
      <c r="AT12" s="363"/>
      <c r="AU12" s="363"/>
      <c r="AV12" s="363"/>
      <c r="AW12" s="363"/>
      <c r="AX12" s="363"/>
      <c r="AY12" s="363"/>
      <c r="AZ12" s="363"/>
      <c r="BA12" s="363"/>
      <c r="BB12" s="363"/>
      <c r="BC12" s="363"/>
      <c r="BD12" s="363"/>
      <c r="BE12" s="363"/>
      <c r="BF12" s="363"/>
      <c r="BG12" s="363"/>
      <c r="BH12" s="363"/>
      <c r="BI12" s="363"/>
      <c r="BJ12" s="363"/>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N12" s="1" t="s">
        <v>224</v>
      </c>
    </row>
    <row r="13" spans="1:132" ht="11.45" customHeight="1" x14ac:dyDescent="0.2">
      <c r="A13" s="396" t="s">
        <v>27</v>
      </c>
      <c r="B13" s="396"/>
      <c r="C13" s="396"/>
      <c r="D13" s="396"/>
      <c r="E13" s="396"/>
      <c r="F13" s="396"/>
      <c r="G13" s="396"/>
      <c r="H13" s="396"/>
      <c r="I13" s="396"/>
      <c r="J13" s="396"/>
      <c r="K13" s="396"/>
      <c r="L13" s="396"/>
      <c r="M13" s="396"/>
      <c r="N13" s="396"/>
      <c r="O13" s="396"/>
      <c r="P13" s="396"/>
      <c r="Q13" s="396"/>
      <c r="R13" s="396"/>
      <c r="S13" s="396"/>
      <c r="T13" s="396"/>
      <c r="U13" s="396"/>
      <c r="V13" s="396"/>
      <c r="W13" s="396"/>
      <c r="X13" s="396"/>
      <c r="Y13" s="396"/>
      <c r="Z13" s="396"/>
      <c r="AA13" s="396"/>
      <c r="AB13" s="396"/>
      <c r="AC13" s="396"/>
      <c r="AD13" s="396"/>
      <c r="AE13" s="396"/>
      <c r="AF13" s="396"/>
      <c r="AG13" s="396"/>
      <c r="AH13" s="396"/>
      <c r="AI13" s="396"/>
      <c r="AJ13" s="396"/>
      <c r="AK13" s="396"/>
      <c r="AL13" s="397" t="s">
        <v>2</v>
      </c>
      <c r="AM13" s="397"/>
      <c r="AN13" s="397"/>
      <c r="AO13" s="97" t="s">
        <v>0</v>
      </c>
      <c r="AP13" s="398" t="str">
        <f>IF('Data Entry'!N10="","",'Data Entry'!N10)</f>
        <v/>
      </c>
      <c r="AQ13" s="398"/>
      <c r="AR13" s="398"/>
      <c r="AS13" s="398"/>
      <c r="AT13" s="398"/>
      <c r="AU13" s="398"/>
      <c r="AV13" s="398"/>
      <c r="AW13" s="398"/>
      <c r="AX13" s="397" t="s">
        <v>16</v>
      </c>
      <c r="AY13" s="397"/>
      <c r="AZ13" s="397"/>
      <c r="BA13" s="97" t="s">
        <v>0</v>
      </c>
      <c r="BB13" s="399">
        <f>'Time Log 1'!S22</f>
        <v>7.9861111111111105E-2</v>
      </c>
      <c r="BC13" s="399"/>
      <c r="BD13" s="399"/>
      <c r="BE13" s="399"/>
      <c r="BF13" s="399"/>
      <c r="BG13" s="399"/>
      <c r="BH13" s="399"/>
      <c r="BI13" s="399"/>
      <c r="BJ13" s="397" t="s">
        <v>425</v>
      </c>
      <c r="BK13" s="397"/>
      <c r="BL13" s="397"/>
      <c r="BM13" s="397"/>
      <c r="BN13" s="397"/>
      <c r="BO13" s="397"/>
      <c r="BP13" s="397"/>
      <c r="BQ13" s="97" t="s">
        <v>0</v>
      </c>
      <c r="BR13" s="397" t="s">
        <v>430</v>
      </c>
      <c r="BS13" s="397"/>
      <c r="BT13" s="397"/>
      <c r="BU13" s="397"/>
      <c r="BV13" s="397"/>
      <c r="BW13" s="397"/>
      <c r="BX13" s="397"/>
      <c r="BY13" s="397"/>
      <c r="BZ13" s="397"/>
      <c r="CA13" s="397"/>
      <c r="CB13" s="397"/>
      <c r="CC13" s="397"/>
      <c r="CD13" s="397"/>
      <c r="CE13" s="397"/>
      <c r="CF13" s="397"/>
      <c r="CG13" s="397"/>
      <c r="CN13" s="107" t="s">
        <v>93</v>
      </c>
      <c r="CO13" s="91"/>
      <c r="CP13" s="91"/>
      <c r="CQ13" s="91"/>
    </row>
    <row r="14" spans="1:132" ht="11.45" customHeight="1" x14ac:dyDescent="0.2">
      <c r="A14" s="196"/>
      <c r="B14" s="196"/>
      <c r="C14" s="196"/>
      <c r="D14" s="196"/>
      <c r="E14" s="196"/>
      <c r="F14" s="196"/>
      <c r="G14" s="196" t="s">
        <v>196</v>
      </c>
      <c r="H14" s="196"/>
      <c r="I14" s="196"/>
      <c r="J14" s="196"/>
      <c r="K14" s="196"/>
      <c r="L14" s="196"/>
      <c r="M14" s="6" t="s">
        <v>0</v>
      </c>
      <c r="N14" s="403">
        <v>1</v>
      </c>
      <c r="O14" s="403"/>
      <c r="P14" s="403"/>
      <c r="Q14" s="403"/>
      <c r="R14" s="403"/>
      <c r="S14" s="403"/>
      <c r="T14" s="403" t="s">
        <v>192</v>
      </c>
      <c r="U14" s="403"/>
      <c r="V14" s="403"/>
      <c r="W14" s="403"/>
      <c r="X14" s="408"/>
      <c r="Y14" s="408"/>
      <c r="Z14" s="408"/>
      <c r="AA14" s="408"/>
      <c r="AB14" s="408"/>
      <c r="AC14" s="408"/>
      <c r="AD14" s="404" t="s">
        <v>427</v>
      </c>
      <c r="AE14" s="404"/>
      <c r="AF14" s="404"/>
      <c r="AG14" s="6" t="s">
        <v>0</v>
      </c>
      <c r="AH14" s="403">
        <f>IF(OR(N14="",N15=""),"",(N15-N14))</f>
        <v>1</v>
      </c>
      <c r="AI14" s="403"/>
      <c r="AJ14" s="403"/>
      <c r="AK14" s="403"/>
      <c r="AL14" s="403"/>
      <c r="AM14" s="410" t="str">
        <f>T14</f>
        <v xml:space="preserve"> M</v>
      </c>
      <c r="AN14" s="410"/>
      <c r="AO14" s="410"/>
      <c r="AP14" s="410"/>
      <c r="AQ14" s="196"/>
      <c r="AR14" s="196"/>
      <c r="AS14" s="196"/>
      <c r="AT14" s="196"/>
      <c r="AU14" s="196"/>
      <c r="AV14" s="196"/>
      <c r="AW14" s="403" t="s">
        <v>434</v>
      </c>
      <c r="AX14" s="403"/>
      <c r="AY14" s="403"/>
      <c r="AZ14" s="403"/>
      <c r="BA14" s="403"/>
      <c r="BB14" s="403"/>
      <c r="BC14" s="403"/>
      <c r="BD14" s="403"/>
      <c r="BE14" s="403"/>
      <c r="BF14" s="403"/>
      <c r="BG14" s="403"/>
      <c r="BH14" s="403"/>
      <c r="BI14" s="403"/>
      <c r="BJ14" s="403"/>
      <c r="BK14" s="403"/>
      <c r="BL14" s="403"/>
      <c r="BM14" s="88" t="s">
        <v>0</v>
      </c>
      <c r="BN14" s="196" t="s">
        <v>93</v>
      </c>
      <c r="BO14" s="196"/>
      <c r="BP14" s="196"/>
      <c r="BQ14" s="196"/>
      <c r="BR14" s="196"/>
      <c r="BS14" s="196"/>
      <c r="BT14" s="196"/>
      <c r="BU14" s="196"/>
      <c r="BV14" s="196"/>
      <c r="BW14" s="196"/>
      <c r="BX14" s="196"/>
      <c r="BY14" s="196"/>
      <c r="BZ14" s="196"/>
      <c r="CA14" s="196"/>
      <c r="CB14" s="196"/>
      <c r="CC14" s="196"/>
      <c r="CD14" s="196"/>
      <c r="CE14" s="196"/>
      <c r="CF14" s="196"/>
      <c r="CG14" s="196"/>
      <c r="CN14" s="2" t="s">
        <v>94</v>
      </c>
      <c r="CZ14" s="91"/>
      <c r="DA14" s="91"/>
      <c r="DB14" s="91"/>
      <c r="DC14" s="91"/>
      <c r="DD14" s="91"/>
    </row>
    <row r="15" spans="1:132" ht="11.45" customHeight="1" x14ac:dyDescent="0.2">
      <c r="A15" s="395"/>
      <c r="B15" s="395"/>
      <c r="C15" s="395"/>
      <c r="D15" s="395"/>
      <c r="E15" s="395"/>
      <c r="F15" s="395"/>
      <c r="G15" s="395" t="s">
        <v>426</v>
      </c>
      <c r="H15" s="395"/>
      <c r="I15" s="395"/>
      <c r="J15" s="395"/>
      <c r="K15" s="395"/>
      <c r="L15" s="395"/>
      <c r="M15" s="6" t="s">
        <v>0</v>
      </c>
      <c r="N15" s="406">
        <v>2</v>
      </c>
      <c r="O15" s="406"/>
      <c r="P15" s="406"/>
      <c r="Q15" s="406"/>
      <c r="R15" s="406"/>
      <c r="S15" s="406"/>
      <c r="T15" s="407" t="str">
        <f>T14</f>
        <v xml:space="preserve"> M</v>
      </c>
      <c r="U15" s="407"/>
      <c r="V15" s="407"/>
      <c r="W15" s="407"/>
      <c r="X15" s="409"/>
      <c r="Y15" s="409"/>
      <c r="Z15" s="409"/>
      <c r="AA15" s="409"/>
      <c r="AB15" s="409"/>
      <c r="AC15" s="409"/>
      <c r="AD15" s="405" t="s">
        <v>428</v>
      </c>
      <c r="AE15" s="405"/>
      <c r="AF15" s="405"/>
      <c r="AG15" s="6" t="s">
        <v>0</v>
      </c>
      <c r="AH15" s="395">
        <v>0</v>
      </c>
      <c r="AI15" s="395"/>
      <c r="AJ15" s="395"/>
      <c r="AK15" s="395"/>
      <c r="AL15" s="395"/>
      <c r="AM15" s="395"/>
      <c r="AN15" s="395"/>
      <c r="AO15" s="395"/>
      <c r="AP15" s="395"/>
      <c r="AQ15" s="395"/>
      <c r="AR15" s="395"/>
      <c r="AS15" s="395"/>
      <c r="AT15" s="395"/>
      <c r="AU15" s="395"/>
      <c r="AV15" s="395"/>
      <c r="AW15" s="406" t="s">
        <v>435</v>
      </c>
      <c r="AX15" s="406"/>
      <c r="AY15" s="406"/>
      <c r="AZ15" s="406"/>
      <c r="BA15" s="406"/>
      <c r="BB15" s="406"/>
      <c r="BC15" s="406"/>
      <c r="BD15" s="406"/>
      <c r="BE15" s="406"/>
      <c r="BF15" s="406"/>
      <c r="BG15" s="406"/>
      <c r="BH15" s="406"/>
      <c r="BI15" s="406"/>
      <c r="BJ15" s="406"/>
      <c r="BK15" s="406"/>
      <c r="BL15" s="406"/>
      <c r="BM15" s="88" t="s">
        <v>0</v>
      </c>
      <c r="BN15" s="395" t="s">
        <v>94</v>
      </c>
      <c r="BO15" s="395"/>
      <c r="BP15" s="395"/>
      <c r="BQ15" s="395"/>
      <c r="BR15" s="395"/>
      <c r="BS15" s="395"/>
      <c r="BT15" s="395"/>
      <c r="BU15" s="395"/>
      <c r="BV15" s="395"/>
      <c r="BW15" s="395"/>
      <c r="BX15" s="395"/>
      <c r="BY15" s="395"/>
      <c r="BZ15" s="395"/>
      <c r="CA15" s="395"/>
      <c r="CB15" s="395"/>
      <c r="CC15" s="395"/>
      <c r="CD15" s="395"/>
      <c r="CE15" s="395"/>
      <c r="CF15" s="395"/>
      <c r="CG15" s="395"/>
    </row>
    <row r="16" spans="1:132" ht="11.45" customHeight="1" x14ac:dyDescent="0.2">
      <c r="A16" s="359" t="s">
        <v>7</v>
      </c>
      <c r="B16" s="360"/>
      <c r="C16" s="360"/>
      <c r="D16" s="360"/>
      <c r="E16" s="360"/>
      <c r="F16" s="360"/>
      <c r="G16" s="360"/>
      <c r="H16" s="388"/>
      <c r="I16" s="329" t="s">
        <v>197</v>
      </c>
      <c r="J16" s="414"/>
      <c r="K16" s="414"/>
      <c r="L16" s="414"/>
      <c r="M16" s="414"/>
      <c r="N16" s="414"/>
      <c r="O16" s="415"/>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416"/>
      <c r="J17" s="417"/>
      <c r="K17" s="417"/>
      <c r="L17" s="417"/>
      <c r="M17" s="417"/>
      <c r="N17" s="417"/>
      <c r="O17" s="418"/>
      <c r="P17" s="333" t="str">
        <f>IF(P16=$CN$18,"@ 60°F",IF(P16=$CN$19,"@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t="s">
        <v>568</v>
      </c>
      <c r="B18" s="317"/>
      <c r="C18" s="317"/>
      <c r="D18" s="317"/>
      <c r="E18" s="317"/>
      <c r="F18" s="317"/>
      <c r="G18" s="317"/>
      <c r="H18" s="317"/>
      <c r="I18" s="345" t="s">
        <v>544</v>
      </c>
      <c r="J18" s="345"/>
      <c r="K18" s="345"/>
      <c r="L18" s="345"/>
      <c r="M18" s="345"/>
      <c r="N18" s="345"/>
      <c r="O18" s="345"/>
      <c r="P18" s="313">
        <v>0.83579999999999999</v>
      </c>
      <c r="Q18" s="313"/>
      <c r="R18" s="313"/>
      <c r="S18" s="313"/>
      <c r="T18" s="313"/>
      <c r="U18" s="308">
        <v>4.18</v>
      </c>
      <c r="V18" s="308"/>
      <c r="W18" s="308"/>
      <c r="X18" s="308"/>
      <c r="Y18" s="308"/>
      <c r="Z18" s="308">
        <v>0.89</v>
      </c>
      <c r="AA18" s="308"/>
      <c r="AB18" s="308"/>
      <c r="AC18" s="309"/>
      <c r="AD18" s="308"/>
      <c r="AE18" s="308">
        <v>0.89</v>
      </c>
      <c r="AF18" s="308"/>
      <c r="AG18" s="308"/>
      <c r="AH18" s="309"/>
      <c r="AI18" s="308"/>
      <c r="AJ18" s="308">
        <v>66.831000000000003</v>
      </c>
      <c r="AK18" s="308"/>
      <c r="AL18" s="308"/>
      <c r="AM18" s="308"/>
      <c r="AN18" s="308"/>
      <c r="AO18" s="308">
        <v>0</v>
      </c>
      <c r="AP18" s="308"/>
      <c r="AQ18" s="308"/>
      <c r="AR18" s="308"/>
      <c r="AS18" s="308"/>
      <c r="AT18" s="308">
        <v>0</v>
      </c>
      <c r="AU18" s="308"/>
      <c r="AV18" s="308"/>
      <c r="AW18" s="308"/>
      <c r="AX18" s="308"/>
      <c r="AY18" s="312">
        <v>22</v>
      </c>
      <c r="AZ18" s="312"/>
      <c r="BA18" s="312"/>
      <c r="BB18" s="312"/>
      <c r="BC18" s="312"/>
      <c r="BD18" s="311">
        <f>IF(OR(AJ18="",AT18=""),"",AJ18-AT18)</f>
        <v>66.831000000000003</v>
      </c>
      <c r="BE18" s="311"/>
      <c r="BF18" s="311"/>
      <c r="BG18" s="311"/>
      <c r="BH18" s="311"/>
      <c r="BI18" s="310">
        <f t="shared" ref="BI18:BI29" si="0">IF(OR(AY18="",P18=""),"",IF($CN$53=1,DW18,IF($CN$53=2,DY18,IF($CN$53=3,EA18,IF($CN$53=4,DX18,IF($CN$53=5,DZ18,IF($CN$53=6,EB18)))))))</f>
        <v>0.99404000000000003</v>
      </c>
      <c r="BJ18" s="310"/>
      <c r="BK18" s="310"/>
      <c r="BL18" s="310"/>
      <c r="BM18" s="310"/>
      <c r="BN18" s="311">
        <f t="shared" ref="BN18:BN29" si="1">IF(OR(BD18="",BI18=""),"",BD18*BI18)</f>
        <v>66.432687240000007</v>
      </c>
      <c r="BO18" s="311"/>
      <c r="BP18" s="311"/>
      <c r="BQ18" s="311"/>
      <c r="BR18" s="311"/>
      <c r="BS18" s="332">
        <f t="shared" ref="BS18:BS29" si="2">IF(OR(BD18="",P18="",BI18=""),"",ROUND((DS18-0.0011),4))</f>
        <v>0.8347</v>
      </c>
      <c r="BT18" s="332"/>
      <c r="BU18" s="332"/>
      <c r="BV18" s="332"/>
      <c r="BW18" s="332"/>
      <c r="BX18" s="311">
        <f t="shared" ref="BX18:BX29" si="3">IF(OR(BD18="",P18="",BI18=""),"",IF($AJ$17=$CN$34,ROUND(BN18*BS18,3),ROUND(CS18*BI18*BS18,3)))</f>
        <v>55.451000000000001</v>
      </c>
      <c r="BY18" s="311"/>
      <c r="BZ18" s="311"/>
      <c r="CA18" s="311"/>
      <c r="CB18" s="311"/>
      <c r="CC18" s="311">
        <f t="shared" ref="CC18:CC29" si="4">IF(OR(BD18="",P18="",BI18=""),"",IF($AJ$17=$CN$34,ROUND(BN18*DQ18,3),ROUND(CS18*BI18*DQ18,3)))</f>
        <v>55.524000000000001</v>
      </c>
      <c r="CD18" s="311"/>
      <c r="CE18" s="311"/>
      <c r="CF18" s="311"/>
      <c r="CG18" s="311"/>
      <c r="CN18" s="107" t="s">
        <v>13</v>
      </c>
      <c r="CP18" s="107">
        <f t="shared" ref="CP18:CP29" si="5">IF(OR(AY18="",BD18=""),0,AY18*BD18)</f>
        <v>1470.2820000000002</v>
      </c>
      <c r="CR18" s="28">
        <f t="shared" ref="CR18:CR29" si="6">IF($BD$17=$CN$35,BD18,(BD18*6.28981))</f>
        <v>420.35429211000002</v>
      </c>
      <c r="CS18" s="29">
        <f t="shared" ref="CS18:CS29" si="7">IF($BD$17=$CN$34,BD18,(BD18/6.28981))</f>
        <v>66.831000000000003</v>
      </c>
      <c r="CU18" s="30">
        <f t="shared" ref="CU18:CU29" si="8">IF($AY$17=$CN$40,AY18,(AY18*1.8+32))</f>
        <v>71.599999999999994</v>
      </c>
      <c r="CV18" s="31">
        <f t="shared" ref="CV18:CV29" si="9">ROUND(CU18*2,0)/2</f>
        <v>71.5</v>
      </c>
      <c r="CW18" s="32">
        <f>ROUND(CU18,1)</f>
        <v>71.599999999999994</v>
      </c>
      <c r="CX18" s="33">
        <f>(1.8*((((CW18-32)/1.8)-((-0.148759+((-0.267408+((1.08076+((1.269056+((-4.089591+((-1.871251+((7.438081+(-3.536296*(((CW18-32)/1.8)/630)))*(((CW18-32)/1.8)/630)))*(((CW18-32)/1.8)/630)))*(((CW18-32)/1.8)/630)))*(((CW18-32)/1.8)/630)))*(((CW18-32)/1.8)/630)))*(((CW18-32)/1.8)/630)))*(((CW18-32)/1.8)/630)))))+32</f>
        <v>71.609851678411758</v>
      </c>
      <c r="CY18" s="26"/>
      <c r="CZ18" s="30">
        <f t="shared" ref="CZ18:CZ29" si="10">IF($AY$17=$CN$39,AY18,(AY18-32)/1.8)</f>
        <v>22</v>
      </c>
      <c r="DA18" s="28">
        <f t="shared" ref="DA18:DA29" si="11">ROUND(CZ18*4,0)/4</f>
        <v>22</v>
      </c>
      <c r="DB18" s="34">
        <f>ROUND(CZ18,1)</f>
        <v>22</v>
      </c>
      <c r="DC18" s="33">
        <f>DB18-((-0.148759+((-0.267408+((1.08076+((1.269056+((-4.089591+((-1.871251+((7.438081+(-3.536296*(DB18/630)))*(DB18/630)))*(DB18/630)))*(DB18/630)))*(DB18/630)))*(DB18/630)))*(DB18/630)))*(DB18/630))</f>
        <v>22.005473154673204</v>
      </c>
      <c r="DD18" s="35"/>
      <c r="DE18" s="30">
        <f t="shared" ref="DE18:DE29" si="12">IF($P$16=$CN$18,P18,(141.5/DK18)-131.5)</f>
        <v>37.716216148275123</v>
      </c>
      <c r="DF18" s="31">
        <f t="shared" ref="DF18:DF29" si="13">ROUND(DE18*2,0)/2</f>
        <v>37.5</v>
      </c>
      <c r="DG18" s="32">
        <f>ROUND(DE18,1)</f>
        <v>37.700000000000003</v>
      </c>
      <c r="DH18" s="33">
        <f>(141.5/(DG18+131.5))*999.016</f>
        <v>835.46550827423175</v>
      </c>
      <c r="DI18" s="33">
        <f>DH18*(1+((EXP(((0.01374979547/2)*(((103.872/DH18)+0.2701)*(1/DH18)))*(1+(0.8*((0.01374979547/2)*(((103.872/DH18)+0.2701)*(1/DH18))))))-1)/(1+(((0.01374979547/2)*(((103.872/DH18)+0.2701)*(1/DH18)))*(1+(1.6*((0.01374979547/2)*(((103.872/DH18)+0.2701)*(1/DH18)))))*(((2*103.872)+(0.2701+DH18))/(103.872+(0.2701*DH18)))))))</f>
        <v>835.46821991197794</v>
      </c>
      <c r="DK18" s="36">
        <f t="shared" ref="DK18:DK29" si="14">IF($P$16=$CN$19,P18,IF($P$16=$CN$18,141.5/(P18+131.5),DQ18*ROUND(EXP(-(186.9696/(((TRUNC(5*(DQ18*100)+0.5)/5)*0.01)*1000)^2+0.4862/(((TRUNC(5*(DQ18*100)+0.5)/5)*0.01)*1000))*(0.56)*(1+0.8*(186.9696/(((TRUNC(5*(DQ18*100)+0.5)/5)*0.01)*1000)^2+0.4862/(((TRUNC(5*(DQ18*100)+0.5)/5)*0.01)*1000))*0.56)),4)/0.999012))</f>
        <v>0.83620827377448925</v>
      </c>
      <c r="DL18" s="37">
        <f>ROUND(DK18*5,2)/5</f>
        <v>0.83599999999999997</v>
      </c>
      <c r="DM18" s="38">
        <f>ROUND(DK18,4)</f>
        <v>0.83620000000000005</v>
      </c>
      <c r="DN18" s="33">
        <f>DM18*999.016</f>
        <v>835.3771792</v>
      </c>
      <c r="DO18" s="33">
        <f>DN18*(1+((EXP(((0.01374979547/2)*(((103.872/DN18)+0.2701)*(1/DN18)))*(1+(0.8*((0.01374979547/2)*(((103.872/DN18)+0.2701)*(1/DN18))))))-1)/(1+(((0.01374979547/2)*(((103.872/DN18)+0.2701)*(1/DN18)))*(1+(1.6*((0.01374979547/2)*(((103.872/DN18)+0.2701)*(1/DN18)))))*(((2*103.872)+(0.2701+DN18))/(103.872+(0.2701*DN18)))))))</f>
        <v>835.37989092812052</v>
      </c>
      <c r="DQ18" s="36">
        <f t="shared" ref="DQ18:DQ29" si="15">IF($P$16=$CN$20,P18,DK18*0.999012*ROUND(EXP(-((103.872/((((TRUNC(5*(DK18*100)+0.5)/5)*0.01)*999.012)^2))+(0.2701/(((TRUNC(5*(DK18*100)+0.5)/5)*0.01)*999.012)))*(-1)*(1+(0.8*((103.872/((((TRUNC(5*(DK18*100)+0.5)/5)*0.01)*999.012)^2))+(0.2701/(((TRUNC(5*(DK18*100)+0.5)/5)*0.01)*999.012)))*(-1)))),4))</f>
        <v>0.83579999999999999</v>
      </c>
      <c r="DR18" s="39">
        <f>ROUND(DQ18*5,2)/5</f>
        <v>0.83599999999999997</v>
      </c>
      <c r="DS18" s="38">
        <f>ROUND(DQ18,4)</f>
        <v>0.83579999999999999</v>
      </c>
      <c r="DT18" s="33">
        <f>DS18*1000</f>
        <v>835.8</v>
      </c>
      <c r="DU18" s="33">
        <f>DT18*(1+((EXP(((0.01374979547/2)*(((186.9696/DT18)+0.4862)*(1/DT18)))*(1+(0.8*((0.01374979547/2)*(((186.9696/DT18)+0.4862)*(1/DT18))))))-1)/(1+(((0.01374979547/2)*(((186.9696/DT18)+0.4862)*(1/DT18)))*(1+(1.6*((0.01374979547/2)*(((186.9696/DT18)+0.4862)*(1/DT18)))))*(((2*186.9696)+(0.4862+DT18))/(186.9696+(0.4862*DT18)))))))</f>
        <v>835.80488047819847</v>
      </c>
      <c r="DW18" s="38">
        <f>ROUND(EXP(-((103.872/(((141.5/(DF18+131.5))*999.012)^2))+(0.2701/((141.5/(DF18+131.5))*999.012)))*(CV18-60)*(1+(0.8*((103.872/(((141.5/(DF18+131.5))*999.012)^2))+(0.2701/((141.5/(DF18+131.5))*999.012)))*(CV18-60)))),4)</f>
        <v>0.99460000000000004</v>
      </c>
      <c r="DX18" s="40">
        <f>ROUND(EXP(-(((103.872/DI18)+0.2701)*(1/DI18))*(CX18-60.0068749)*(1+(0.8*(((103.872/DI18)+0.2701)*(1/DI18))*((CX18-60.0068749)+0.01374979547)))),5)</f>
        <v>0.99451000000000001</v>
      </c>
      <c r="DY18" s="36">
        <f>ROUND(EXP(-((103.872/((DL18*999.012)^2))+(0.2701/(DL18*999.012)))*(CV18-60)*(1+(0.8*((103.872/((DL18*999.012)^2))+(0.2701/(DL18*999.012)))*(CV18-60)))),4)</f>
        <v>0.99460000000000004</v>
      </c>
      <c r="DZ18" s="40">
        <f>ROUND(EXP(-(((103.872/DO18)+0.2701)*(1/DO18))*(CX18-60.0068749)*(1+(0.8*(((103.872/DO18)+0.2701)*(1/DO18))*((CX18-60.0068749)+0.01374979547)))),5)</f>
        <v>0.99451000000000001</v>
      </c>
      <c r="EA18" s="36">
        <f>ROUND(EXP(-((186.9696/((DR18*1000)^2))+(0.4862/(DR18*1000)))*(DA18-15)*(1+(0.8*((186.9696/((DR18*1000)^2))+(0.4862/(DR18*1000)))*(DA18-15)))),4)</f>
        <v>0.99399999999999999</v>
      </c>
      <c r="EB18" s="40">
        <f>ROUND(EXP(-((((186.9696/DU18)+0.4862)*(1/DU18)))*(DC18-15.00367851)*(1+(0.8*((((186.9696/DU18)+0.4862)*(1/DU18)))*((DC18-15.00367851)+0.01374979547)))),5)</f>
        <v>0.99404000000000003</v>
      </c>
    </row>
    <row r="19" spans="1:132" ht="11.45" customHeight="1" x14ac:dyDescent="0.2">
      <c r="A19" s="317" t="s">
        <v>569</v>
      </c>
      <c r="B19" s="317"/>
      <c r="C19" s="317"/>
      <c r="D19" s="317"/>
      <c r="E19" s="317"/>
      <c r="F19" s="317"/>
      <c r="G19" s="317"/>
      <c r="H19" s="317"/>
      <c r="I19" s="345" t="s">
        <v>544</v>
      </c>
      <c r="J19" s="345"/>
      <c r="K19" s="345"/>
      <c r="L19" s="345"/>
      <c r="M19" s="345"/>
      <c r="N19" s="345"/>
      <c r="O19" s="345"/>
      <c r="P19" s="313">
        <v>0.83579999999999999</v>
      </c>
      <c r="Q19" s="313"/>
      <c r="R19" s="313"/>
      <c r="S19" s="313"/>
      <c r="T19" s="313"/>
      <c r="U19" s="308">
        <v>4.2</v>
      </c>
      <c r="V19" s="308"/>
      <c r="W19" s="308"/>
      <c r="X19" s="308"/>
      <c r="Y19" s="308"/>
      <c r="Z19" s="308">
        <v>0.91</v>
      </c>
      <c r="AA19" s="308"/>
      <c r="AB19" s="308"/>
      <c r="AC19" s="309"/>
      <c r="AD19" s="308"/>
      <c r="AE19" s="308">
        <v>0.91</v>
      </c>
      <c r="AF19" s="308"/>
      <c r="AG19" s="308"/>
      <c r="AH19" s="309"/>
      <c r="AI19" s="308"/>
      <c r="AJ19" s="308">
        <v>67.034999999999997</v>
      </c>
      <c r="AK19" s="308"/>
      <c r="AL19" s="308"/>
      <c r="AM19" s="308"/>
      <c r="AN19" s="308"/>
      <c r="AO19" s="308">
        <v>0</v>
      </c>
      <c r="AP19" s="308"/>
      <c r="AQ19" s="308"/>
      <c r="AR19" s="308"/>
      <c r="AS19" s="308"/>
      <c r="AT19" s="308">
        <v>0</v>
      </c>
      <c r="AU19" s="308"/>
      <c r="AV19" s="308"/>
      <c r="AW19" s="308"/>
      <c r="AX19" s="308"/>
      <c r="AY19" s="312">
        <v>22</v>
      </c>
      <c r="AZ19" s="312"/>
      <c r="BA19" s="312"/>
      <c r="BB19" s="312"/>
      <c r="BC19" s="312"/>
      <c r="BD19" s="311">
        <f t="shared" ref="BD19:BD29" si="16">IF(OR(AJ19="",AT19=""),"",AJ19-AT19)</f>
        <v>67.034999999999997</v>
      </c>
      <c r="BE19" s="311"/>
      <c r="BF19" s="311"/>
      <c r="BG19" s="311"/>
      <c r="BH19" s="311"/>
      <c r="BI19" s="310">
        <f t="shared" si="0"/>
        <v>0.99404000000000003</v>
      </c>
      <c r="BJ19" s="310"/>
      <c r="BK19" s="310"/>
      <c r="BL19" s="310"/>
      <c r="BM19" s="310"/>
      <c r="BN19" s="311">
        <f t="shared" si="1"/>
        <v>66.6354714</v>
      </c>
      <c r="BO19" s="311"/>
      <c r="BP19" s="311"/>
      <c r="BQ19" s="311"/>
      <c r="BR19" s="311"/>
      <c r="BS19" s="332">
        <f t="shared" si="2"/>
        <v>0.8347</v>
      </c>
      <c r="BT19" s="332"/>
      <c r="BU19" s="332"/>
      <c r="BV19" s="332"/>
      <c r="BW19" s="332"/>
      <c r="BX19" s="311">
        <f t="shared" si="3"/>
        <v>55.621000000000002</v>
      </c>
      <c r="BY19" s="311"/>
      <c r="BZ19" s="311"/>
      <c r="CA19" s="311"/>
      <c r="CB19" s="311"/>
      <c r="CC19" s="311">
        <f t="shared" si="4"/>
        <v>55.694000000000003</v>
      </c>
      <c r="CD19" s="311"/>
      <c r="CE19" s="311"/>
      <c r="CF19" s="311"/>
      <c r="CG19" s="311"/>
      <c r="CN19" s="87" t="s">
        <v>85</v>
      </c>
      <c r="CP19" s="87">
        <f t="shared" si="5"/>
        <v>1474.77</v>
      </c>
      <c r="CR19" s="28">
        <f t="shared" si="6"/>
        <v>421.63741334999997</v>
      </c>
      <c r="CS19" s="29">
        <f t="shared" si="7"/>
        <v>67.034999999999997</v>
      </c>
      <c r="CU19" s="28">
        <f t="shared" si="8"/>
        <v>71.599999999999994</v>
      </c>
      <c r="CV19" s="31">
        <f t="shared" si="9"/>
        <v>71.5</v>
      </c>
      <c r="CW19" s="32">
        <f>ROUND(CU19,1)</f>
        <v>71.599999999999994</v>
      </c>
      <c r="CX19" s="32">
        <f t="shared" ref="CX19:CX29" si="17">(1.8*((((CW19-32)/1.8)-((-0.148759+((-0.267408+((1.08076+((1.269056+((-4.089591+((-1.871251+((7.438081+(-3.536296*(((CW19-32)/1.8)/630)))*(((CW19-32)/1.8)/630)))*(((CW19-32)/1.8)/630)))*(((CW19-32)/1.8)/630)))*(((CW19-32)/1.8)/630)))*(((CW19-32)/1.8)/630)))*(((CW19-32)/1.8)/630)))*(((CW19-32)/1.8)/630)))))+32</f>
        <v>71.609851678411758</v>
      </c>
      <c r="CY19" s="26"/>
      <c r="CZ19" s="28">
        <f t="shared" si="10"/>
        <v>22</v>
      </c>
      <c r="DA19" s="28">
        <f t="shared" si="11"/>
        <v>22</v>
      </c>
      <c r="DB19" s="34">
        <f>ROUND(CZ19,1)</f>
        <v>22</v>
      </c>
      <c r="DC19" s="32">
        <f t="shared" ref="DC19:DC29" si="18">DB19-((-0.148759+((-0.267408+((1.08076+((1.269056+((-4.089591+((-1.871251+((7.438081+(-3.536296*(DB19/630)))*(DB19/630)))*(DB19/630)))*(DB19/630)))*(DB19/630)))*(DB19/630)))*(DB19/630)))*(DB19/630))</f>
        <v>22.005473154673204</v>
      </c>
      <c r="DD19" s="35"/>
      <c r="DE19" s="28">
        <f t="shared" si="12"/>
        <v>37.716216148275123</v>
      </c>
      <c r="DF19" s="31">
        <f t="shared" si="13"/>
        <v>37.5</v>
      </c>
      <c r="DG19" s="32">
        <f>ROUND(DE19,1)</f>
        <v>37.700000000000003</v>
      </c>
      <c r="DH19" s="32">
        <f t="shared" ref="DH19:DH29" si="19">(141.5/(DG19+131.5))*999.016</f>
        <v>835.46550827423175</v>
      </c>
      <c r="DI19" s="32">
        <f t="shared" ref="DI19:DI29" si="20">DH19*(1+((EXP(((0.01374979547/2)*(((103.872/DH19)+0.2701)*(1/DH19)))*(1+(0.8*((0.01374979547/2)*(((103.872/DH19)+0.2701)*(1/DH19))))))-1)/(1+(((0.01374979547/2)*(((103.872/DH19)+0.2701)*(1/DH19)))*(1+(1.6*((0.01374979547/2)*(((103.872/DH19)+0.2701)*(1/DH19)))))*(((2*103.872)+(0.2701+DH19))/(103.872+(0.2701*DH19)))))))</f>
        <v>835.46821991197794</v>
      </c>
      <c r="DK19" s="38">
        <f t="shared" si="14"/>
        <v>0.83620827377448925</v>
      </c>
      <c r="DL19" s="41">
        <f>ROUND(DK19*5,2)/5</f>
        <v>0.83599999999999997</v>
      </c>
      <c r="DM19" s="38">
        <f>ROUND(DK19,4)</f>
        <v>0.83620000000000005</v>
      </c>
      <c r="DN19" s="32">
        <f t="shared" ref="DN19:DN29" si="21">DM19*999.016</f>
        <v>835.3771792</v>
      </c>
      <c r="DO19" s="32">
        <f>DN19*(1+((EXP(((0.01374979547/2)*(((103.872/DN19)+0.2701)*(1/DN19)))*(1+(0.8*((0.01374979547/2)*(((103.872/DN19)+0.2701)*(1/DN19))))))-1)/(1+(((0.01374979547/2)*(((103.872/DN19)+0.2701)*(1/DN19)))*(1+(1.6*((0.01374979547/2)*(((103.872/DN19)+0.2701)*(1/DN19)))))*(((2*103.872)+(0.2701+DN19))/(103.872+(0.2701*DN19)))))))</f>
        <v>835.37989092812052</v>
      </c>
      <c r="DQ19" s="38">
        <f t="shared" si="15"/>
        <v>0.83579999999999999</v>
      </c>
      <c r="DR19" s="29">
        <f>ROUND(DQ19*5,2)/5</f>
        <v>0.83599999999999997</v>
      </c>
      <c r="DS19" s="38">
        <f>ROUND(DQ19,4)</f>
        <v>0.83579999999999999</v>
      </c>
      <c r="DT19" s="32">
        <f t="shared" ref="DT19:DT29" si="22">DS19*1000</f>
        <v>835.8</v>
      </c>
      <c r="DU19" s="32">
        <f t="shared" ref="DU19:DU29" si="23">DT19*(1+((EXP(((0.01374979547/2)*(((186.9696/DT19)+0.4862)*(1/DT19)))*(1+(0.8*((0.01374979547/2)*(((186.9696/DT19)+0.4862)*(1/DT19))))))-1)/(1+(((0.01374979547/2)*(((186.9696/DT19)+0.4862)*(1/DT19)))*(1+(1.6*((0.01374979547/2)*(((186.9696/DT19)+0.4862)*(1/DT19)))))*(((2*186.9696)+(0.4862+DT19))/(186.9696+(0.4862*DT19)))))))</f>
        <v>835.80488047819847</v>
      </c>
      <c r="DW19" s="38">
        <f>ROUND(EXP(-((103.872/(((141.5/(DF19+131.5))*999.012)^2))+(0.2701/((141.5/(DF19+131.5))*999.012)))*(CV19-60)*(1+(0.8*((103.872/(((141.5/(DF19+131.5))*999.012)^2))+(0.2701/((141.5/(DF19+131.5))*999.012)))*(CV19-60)))),4)</f>
        <v>0.99460000000000004</v>
      </c>
      <c r="DX19" s="42">
        <f>ROUND(EXP(-(((103.872/DI19)+0.2701)*(1/DI19))*(CX19-60.0068749)*(1+(0.8*(((103.872/DI19)+0.2701)*(1/DI19))*((CX19-60.0068749)+0.01374979547)))),5)</f>
        <v>0.99451000000000001</v>
      </c>
      <c r="DY19" s="38">
        <f>ROUND(EXP(-((103.872/((DL19*999.012)^2))+(0.2701/(DL19*999.012)))*(CV19-60)*(1+(0.8*((103.872/((DL19*999.012)^2))+(0.2701/(DL19*999.012)))*(CV19-60)))),4)</f>
        <v>0.99460000000000004</v>
      </c>
      <c r="DZ19" s="42">
        <f>ROUND(EXP(-(((103.872/DO19)+0.2701)*(1/DO19))*(CX19-60.0068749)*(1+(0.8*(((103.872/DO19)+0.2701)*(1/DO19))*((CX19-60.0068749)+0.01374979547)))),5)</f>
        <v>0.99451000000000001</v>
      </c>
      <c r="EA19" s="38">
        <f>ROUND(EXP(-((186.9696/((DR19*1000)^2))+(0.4862/(DR19*1000)))*(DA19-15)*(1+(0.8*((186.9696/((DR19*1000)^2))+(0.4862/(DR19*1000)))*(DA19-15)))),4)</f>
        <v>0.99399999999999999</v>
      </c>
      <c r="EB19" s="42">
        <f>ROUND(EXP(-((((186.9696/DU19)+0.4862)*(1/DU19)))*(DC19-15.00367851)*(1+(0.8*((((186.9696/DU19)+0.4862)*(1/DU19)))*((DC19-15.00367851)+0.01374979547)))),5)</f>
        <v>0.99404000000000003</v>
      </c>
    </row>
    <row r="20" spans="1:132" ht="11.45" customHeight="1" x14ac:dyDescent="0.2">
      <c r="A20" s="317" t="s">
        <v>570</v>
      </c>
      <c r="B20" s="317"/>
      <c r="C20" s="317"/>
      <c r="D20" s="317"/>
      <c r="E20" s="317"/>
      <c r="F20" s="317"/>
      <c r="G20" s="317"/>
      <c r="H20" s="317"/>
      <c r="I20" s="345" t="s">
        <v>544</v>
      </c>
      <c r="J20" s="345"/>
      <c r="K20" s="345"/>
      <c r="L20" s="345"/>
      <c r="M20" s="345"/>
      <c r="N20" s="345"/>
      <c r="O20" s="345"/>
      <c r="P20" s="313">
        <v>0.83579999999999999</v>
      </c>
      <c r="Q20" s="313"/>
      <c r="R20" s="313"/>
      <c r="S20" s="313"/>
      <c r="T20" s="313"/>
      <c r="U20" s="308">
        <v>4.2</v>
      </c>
      <c r="V20" s="308"/>
      <c r="W20" s="308"/>
      <c r="X20" s="308"/>
      <c r="Y20" s="308"/>
      <c r="Z20" s="308">
        <v>0.92</v>
      </c>
      <c r="AA20" s="308"/>
      <c r="AB20" s="308"/>
      <c r="AC20" s="309"/>
      <c r="AD20" s="308"/>
      <c r="AE20" s="308">
        <v>0.92</v>
      </c>
      <c r="AF20" s="308"/>
      <c r="AG20" s="308"/>
      <c r="AH20" s="309"/>
      <c r="AI20" s="308"/>
      <c r="AJ20" s="308">
        <v>66.831000000000003</v>
      </c>
      <c r="AK20" s="308"/>
      <c r="AL20" s="308"/>
      <c r="AM20" s="308"/>
      <c r="AN20" s="308"/>
      <c r="AO20" s="308">
        <v>0</v>
      </c>
      <c r="AP20" s="308"/>
      <c r="AQ20" s="308"/>
      <c r="AR20" s="308"/>
      <c r="AS20" s="308"/>
      <c r="AT20" s="308">
        <v>0</v>
      </c>
      <c r="AU20" s="308"/>
      <c r="AV20" s="308"/>
      <c r="AW20" s="308"/>
      <c r="AX20" s="308"/>
      <c r="AY20" s="312">
        <v>22</v>
      </c>
      <c r="AZ20" s="312"/>
      <c r="BA20" s="312"/>
      <c r="BB20" s="312"/>
      <c r="BC20" s="312"/>
      <c r="BD20" s="311">
        <f t="shared" si="16"/>
        <v>66.831000000000003</v>
      </c>
      <c r="BE20" s="311"/>
      <c r="BF20" s="311"/>
      <c r="BG20" s="311"/>
      <c r="BH20" s="311"/>
      <c r="BI20" s="310">
        <f t="shared" si="0"/>
        <v>0.99404000000000003</v>
      </c>
      <c r="BJ20" s="310"/>
      <c r="BK20" s="310"/>
      <c r="BL20" s="310"/>
      <c r="BM20" s="310"/>
      <c r="BN20" s="311">
        <f t="shared" si="1"/>
        <v>66.432687240000007</v>
      </c>
      <c r="BO20" s="311"/>
      <c r="BP20" s="311"/>
      <c r="BQ20" s="311"/>
      <c r="BR20" s="311"/>
      <c r="BS20" s="332">
        <f t="shared" si="2"/>
        <v>0.8347</v>
      </c>
      <c r="BT20" s="332"/>
      <c r="BU20" s="332"/>
      <c r="BV20" s="332"/>
      <c r="BW20" s="332"/>
      <c r="BX20" s="311">
        <f t="shared" si="3"/>
        <v>55.451000000000001</v>
      </c>
      <c r="BY20" s="311"/>
      <c r="BZ20" s="311"/>
      <c r="CA20" s="311"/>
      <c r="CB20" s="311"/>
      <c r="CC20" s="311">
        <f t="shared" si="4"/>
        <v>55.524000000000001</v>
      </c>
      <c r="CD20" s="311"/>
      <c r="CE20" s="311"/>
      <c r="CF20" s="311"/>
      <c r="CG20" s="311"/>
      <c r="CN20" s="2" t="s">
        <v>84</v>
      </c>
      <c r="CP20" s="87">
        <f t="shared" si="5"/>
        <v>1470.2820000000002</v>
      </c>
      <c r="CR20" s="28">
        <f t="shared" si="6"/>
        <v>420.35429211000002</v>
      </c>
      <c r="CS20" s="29">
        <f t="shared" si="7"/>
        <v>66.831000000000003</v>
      </c>
      <c r="CU20" s="28">
        <f t="shared" si="8"/>
        <v>71.599999999999994</v>
      </c>
      <c r="CV20" s="31">
        <f t="shared" si="9"/>
        <v>71.5</v>
      </c>
      <c r="CW20" s="32">
        <f t="shared" ref="CW20:CW28" si="24">ROUND(CU20,1)</f>
        <v>71.599999999999994</v>
      </c>
      <c r="CX20" s="32">
        <f t="shared" si="17"/>
        <v>71.609851678411758</v>
      </c>
      <c r="CY20" s="26"/>
      <c r="CZ20" s="28">
        <f t="shared" si="10"/>
        <v>22</v>
      </c>
      <c r="DA20" s="28">
        <f t="shared" si="11"/>
        <v>22</v>
      </c>
      <c r="DB20" s="34">
        <f t="shared" ref="DB20:DB28" si="25">ROUND(CZ20,1)</f>
        <v>22</v>
      </c>
      <c r="DC20" s="32">
        <f t="shared" si="18"/>
        <v>22.005473154673204</v>
      </c>
      <c r="DD20" s="35"/>
      <c r="DE20" s="28">
        <f t="shared" si="12"/>
        <v>37.716216148275123</v>
      </c>
      <c r="DF20" s="31">
        <f t="shared" si="13"/>
        <v>37.5</v>
      </c>
      <c r="DG20" s="32">
        <f t="shared" ref="DG20:DG28" si="26">ROUND(DE20,1)</f>
        <v>37.700000000000003</v>
      </c>
      <c r="DH20" s="32">
        <f t="shared" si="19"/>
        <v>835.46550827423175</v>
      </c>
      <c r="DI20" s="32">
        <f t="shared" si="20"/>
        <v>835.46821991197794</v>
      </c>
      <c r="DK20" s="38">
        <f t="shared" si="14"/>
        <v>0.83620827377448925</v>
      </c>
      <c r="DL20" s="41">
        <f t="shared" ref="DL20:DL28" si="27">ROUND(DK20*5,2)/5</f>
        <v>0.83599999999999997</v>
      </c>
      <c r="DM20" s="38">
        <f t="shared" ref="DM20:DM28" si="28">ROUND(DK20,4)</f>
        <v>0.83620000000000005</v>
      </c>
      <c r="DN20" s="32">
        <f t="shared" si="21"/>
        <v>835.3771792</v>
      </c>
      <c r="DO20" s="32">
        <f t="shared" ref="DO20:DO28" si="29">DN20*(1+((EXP(((0.01374979547/2)*(((103.872/DN20)+0.2701)*(1/DN20)))*(1+(0.8*((0.01374979547/2)*(((103.872/DN20)+0.2701)*(1/DN20))))))-1)/(1+(((0.01374979547/2)*(((103.872/DN20)+0.2701)*(1/DN20)))*(1+(1.6*((0.01374979547/2)*(((103.872/DN20)+0.2701)*(1/DN20)))))*(((2*103.872)+(0.2701+DN20))/(103.872+(0.2701*DN20)))))))</f>
        <v>835.37989092812052</v>
      </c>
      <c r="DQ20" s="38">
        <f t="shared" si="15"/>
        <v>0.83579999999999999</v>
      </c>
      <c r="DR20" s="29">
        <f t="shared" ref="DR20:DR28" si="30">ROUND(DQ20*5,2)/5</f>
        <v>0.83599999999999997</v>
      </c>
      <c r="DS20" s="38">
        <f t="shared" ref="DS20:DS28" si="31">ROUND(DQ20,4)</f>
        <v>0.83579999999999999</v>
      </c>
      <c r="DT20" s="32">
        <f t="shared" si="22"/>
        <v>835.8</v>
      </c>
      <c r="DU20" s="32">
        <f t="shared" si="23"/>
        <v>835.80488047819847</v>
      </c>
      <c r="DW20" s="38">
        <f t="shared" ref="DW20:DW28" si="32">ROUND(EXP(-((103.872/(((141.5/(DF20+131.5))*999.012)^2))+(0.2701/((141.5/(DF20+131.5))*999.012)))*(CV20-60)*(1+(0.8*((103.872/(((141.5/(DF20+131.5))*999.012)^2))+(0.2701/((141.5/(DF20+131.5))*999.012)))*(CV20-60)))),4)</f>
        <v>0.99460000000000004</v>
      </c>
      <c r="DX20" s="42">
        <f t="shared" ref="DX20:DX28" si="33">ROUND(EXP(-(((103.872/DI20)+0.2701)*(1/DI20))*(CX20-60.0068749)*(1+(0.8*(((103.872/DI20)+0.2701)*(1/DI20))*((CX20-60.0068749)+0.01374979547)))),5)</f>
        <v>0.99451000000000001</v>
      </c>
      <c r="DY20" s="38">
        <f t="shared" ref="DY20:DY28" si="34">ROUND(EXP(-((103.872/((DL20*999.012)^2))+(0.2701/(DL20*999.012)))*(CV20-60)*(1+(0.8*((103.872/((DL20*999.012)^2))+(0.2701/(DL20*999.012)))*(CV20-60)))),4)</f>
        <v>0.99460000000000004</v>
      </c>
      <c r="DZ20" s="42">
        <f t="shared" ref="DZ20:DZ28" si="35">ROUND(EXP(-(((103.872/DO20)+0.2701)*(1/DO20))*(CX20-60.0068749)*(1+(0.8*(((103.872/DO20)+0.2701)*(1/DO20))*((CX20-60.0068749)+0.01374979547)))),5)</f>
        <v>0.99451000000000001</v>
      </c>
      <c r="EA20" s="38">
        <f t="shared" ref="EA20:EA28" si="36">ROUND(EXP(-((186.9696/((DR20*1000)^2))+(0.4862/(DR20*1000)))*(DA20-15)*(1+(0.8*((186.9696/((DR20*1000)^2))+(0.4862/(DR20*1000)))*(DA20-15)))),4)</f>
        <v>0.99399999999999999</v>
      </c>
      <c r="EB20" s="42">
        <f t="shared" ref="EB20:EB28" si="37">ROUND(EXP(-((((186.9696/DU20)+0.4862)*(1/DU20)))*(DC20-15.00367851)*(1+(0.8*((((186.9696/DU20)+0.4862)*(1/DU20)))*((DC20-15.00367851)+0.01374979547)))),5)</f>
        <v>0.99404000000000003</v>
      </c>
    </row>
    <row r="21" spans="1:132" ht="11.45" customHeight="1" x14ac:dyDescent="0.2">
      <c r="A21" s="317" t="s">
        <v>571</v>
      </c>
      <c r="B21" s="317"/>
      <c r="C21" s="317"/>
      <c r="D21" s="317"/>
      <c r="E21" s="317"/>
      <c r="F21" s="317"/>
      <c r="G21" s="317"/>
      <c r="H21" s="317"/>
      <c r="I21" s="345" t="s">
        <v>544</v>
      </c>
      <c r="J21" s="345"/>
      <c r="K21" s="345"/>
      <c r="L21" s="345"/>
      <c r="M21" s="345"/>
      <c r="N21" s="345"/>
      <c r="O21" s="345"/>
      <c r="P21" s="313">
        <v>0.83579999999999999</v>
      </c>
      <c r="Q21" s="313"/>
      <c r="R21" s="313"/>
      <c r="S21" s="313"/>
      <c r="T21" s="313"/>
      <c r="U21" s="308">
        <v>4.1900000000000004</v>
      </c>
      <c r="V21" s="308"/>
      <c r="W21" s="308"/>
      <c r="X21" s="308"/>
      <c r="Y21" s="308"/>
      <c r="Z21" s="308">
        <v>0.93</v>
      </c>
      <c r="AA21" s="308"/>
      <c r="AB21" s="308"/>
      <c r="AC21" s="309"/>
      <c r="AD21" s="308"/>
      <c r="AE21" s="308">
        <v>0.93</v>
      </c>
      <c r="AF21" s="308"/>
      <c r="AG21" s="308"/>
      <c r="AH21" s="309"/>
      <c r="AI21" s="308"/>
      <c r="AJ21" s="308">
        <v>66.600999999999999</v>
      </c>
      <c r="AK21" s="308"/>
      <c r="AL21" s="308"/>
      <c r="AM21" s="308"/>
      <c r="AN21" s="308"/>
      <c r="AO21" s="308">
        <v>0</v>
      </c>
      <c r="AP21" s="308"/>
      <c r="AQ21" s="308"/>
      <c r="AR21" s="308"/>
      <c r="AS21" s="308"/>
      <c r="AT21" s="308">
        <v>0</v>
      </c>
      <c r="AU21" s="308"/>
      <c r="AV21" s="308"/>
      <c r="AW21" s="308"/>
      <c r="AX21" s="308"/>
      <c r="AY21" s="312">
        <v>22</v>
      </c>
      <c r="AZ21" s="312"/>
      <c r="BA21" s="312"/>
      <c r="BB21" s="312"/>
      <c r="BC21" s="312"/>
      <c r="BD21" s="311">
        <f t="shared" si="16"/>
        <v>66.600999999999999</v>
      </c>
      <c r="BE21" s="311"/>
      <c r="BF21" s="311"/>
      <c r="BG21" s="311"/>
      <c r="BH21" s="311"/>
      <c r="BI21" s="310">
        <f t="shared" si="0"/>
        <v>0.99404000000000003</v>
      </c>
      <c r="BJ21" s="310"/>
      <c r="BK21" s="310"/>
      <c r="BL21" s="310"/>
      <c r="BM21" s="310"/>
      <c r="BN21" s="311">
        <f t="shared" si="1"/>
        <v>66.204058040000007</v>
      </c>
      <c r="BO21" s="311"/>
      <c r="BP21" s="311"/>
      <c r="BQ21" s="311"/>
      <c r="BR21" s="311"/>
      <c r="BS21" s="332">
        <f t="shared" si="2"/>
        <v>0.8347</v>
      </c>
      <c r="BT21" s="332"/>
      <c r="BU21" s="332"/>
      <c r="BV21" s="332"/>
      <c r="BW21" s="332"/>
      <c r="BX21" s="311">
        <f t="shared" si="3"/>
        <v>55.261000000000003</v>
      </c>
      <c r="BY21" s="311"/>
      <c r="BZ21" s="311"/>
      <c r="CA21" s="311"/>
      <c r="CB21" s="311"/>
      <c r="CC21" s="311">
        <f t="shared" si="4"/>
        <v>55.332999999999998</v>
      </c>
      <c r="CD21" s="311"/>
      <c r="CE21" s="311"/>
      <c r="CF21" s="311"/>
      <c r="CG21" s="311"/>
      <c r="CI21" s="323" t="s">
        <v>175</v>
      </c>
      <c r="CJ21" s="324"/>
      <c r="CK21" s="324"/>
      <c r="CL21" s="325"/>
      <c r="CP21" s="87">
        <f t="shared" si="5"/>
        <v>1465.222</v>
      </c>
      <c r="CR21" s="28">
        <f t="shared" si="6"/>
        <v>418.90763580999999</v>
      </c>
      <c r="CS21" s="29">
        <f t="shared" si="7"/>
        <v>66.600999999999999</v>
      </c>
      <c r="CU21" s="28">
        <f t="shared" si="8"/>
        <v>71.599999999999994</v>
      </c>
      <c r="CV21" s="31">
        <f t="shared" si="9"/>
        <v>71.5</v>
      </c>
      <c r="CW21" s="32">
        <f t="shared" si="24"/>
        <v>71.599999999999994</v>
      </c>
      <c r="CX21" s="32">
        <f t="shared" si="17"/>
        <v>71.609851678411758</v>
      </c>
      <c r="CY21" s="26"/>
      <c r="CZ21" s="28">
        <f t="shared" si="10"/>
        <v>22</v>
      </c>
      <c r="DA21" s="28">
        <f t="shared" si="11"/>
        <v>22</v>
      </c>
      <c r="DB21" s="34">
        <f t="shared" si="25"/>
        <v>22</v>
      </c>
      <c r="DC21" s="32">
        <f t="shared" si="18"/>
        <v>22.005473154673204</v>
      </c>
      <c r="DD21" s="35"/>
      <c r="DE21" s="28">
        <f t="shared" si="12"/>
        <v>37.716216148275123</v>
      </c>
      <c r="DF21" s="31">
        <f t="shared" si="13"/>
        <v>37.5</v>
      </c>
      <c r="DG21" s="32">
        <f t="shared" si="26"/>
        <v>37.700000000000003</v>
      </c>
      <c r="DH21" s="32">
        <f t="shared" si="19"/>
        <v>835.46550827423175</v>
      </c>
      <c r="DI21" s="32">
        <f t="shared" si="20"/>
        <v>835.46821991197794</v>
      </c>
      <c r="DK21" s="38">
        <f t="shared" si="14"/>
        <v>0.83620827377448925</v>
      </c>
      <c r="DL21" s="41">
        <f t="shared" si="27"/>
        <v>0.83599999999999997</v>
      </c>
      <c r="DM21" s="38">
        <f t="shared" si="28"/>
        <v>0.83620000000000005</v>
      </c>
      <c r="DN21" s="32">
        <f t="shared" si="21"/>
        <v>835.3771792</v>
      </c>
      <c r="DO21" s="32">
        <f t="shared" si="29"/>
        <v>835.37989092812052</v>
      </c>
      <c r="DQ21" s="38">
        <f t="shared" si="15"/>
        <v>0.83579999999999999</v>
      </c>
      <c r="DR21" s="29">
        <f t="shared" si="30"/>
        <v>0.83599999999999997</v>
      </c>
      <c r="DS21" s="38">
        <f t="shared" si="31"/>
        <v>0.83579999999999999</v>
      </c>
      <c r="DT21" s="32">
        <f t="shared" si="22"/>
        <v>835.8</v>
      </c>
      <c r="DU21" s="32">
        <f t="shared" si="23"/>
        <v>835.80488047819847</v>
      </c>
      <c r="DW21" s="38">
        <f t="shared" si="32"/>
        <v>0.99460000000000004</v>
      </c>
      <c r="DX21" s="42">
        <f t="shared" si="33"/>
        <v>0.99451000000000001</v>
      </c>
      <c r="DY21" s="38">
        <f t="shared" si="34"/>
        <v>0.99460000000000004</v>
      </c>
      <c r="DZ21" s="42">
        <f t="shared" si="35"/>
        <v>0.99451000000000001</v>
      </c>
      <c r="EA21" s="38">
        <f t="shared" si="36"/>
        <v>0.99399999999999999</v>
      </c>
      <c r="EB21" s="42">
        <f t="shared" si="37"/>
        <v>0.99404000000000003</v>
      </c>
    </row>
    <row r="22" spans="1:132" ht="11.45" customHeight="1" x14ac:dyDescent="0.2">
      <c r="A22" s="317" t="s">
        <v>572</v>
      </c>
      <c r="B22" s="317"/>
      <c r="C22" s="317"/>
      <c r="D22" s="317"/>
      <c r="E22" s="317"/>
      <c r="F22" s="317"/>
      <c r="G22" s="317"/>
      <c r="H22" s="317"/>
      <c r="I22" s="345" t="s">
        <v>544</v>
      </c>
      <c r="J22" s="345"/>
      <c r="K22" s="345"/>
      <c r="L22" s="345"/>
      <c r="M22" s="345"/>
      <c r="N22" s="345"/>
      <c r="O22" s="345"/>
      <c r="P22" s="313">
        <v>0.83579999999999999</v>
      </c>
      <c r="Q22" s="313"/>
      <c r="R22" s="313"/>
      <c r="S22" s="313"/>
      <c r="T22" s="313"/>
      <c r="U22" s="308">
        <v>4.13</v>
      </c>
      <c r="V22" s="308"/>
      <c r="W22" s="308"/>
      <c r="X22" s="308"/>
      <c r="Y22" s="308"/>
      <c r="Z22" s="308">
        <v>0.96</v>
      </c>
      <c r="AA22" s="308"/>
      <c r="AB22" s="308"/>
      <c r="AC22" s="309"/>
      <c r="AD22" s="308"/>
      <c r="AE22" s="308">
        <v>0.96</v>
      </c>
      <c r="AF22" s="308"/>
      <c r="AG22" s="308"/>
      <c r="AH22" s="309"/>
      <c r="AI22" s="308"/>
      <c r="AJ22" s="308">
        <v>67.099999999999994</v>
      </c>
      <c r="AK22" s="308"/>
      <c r="AL22" s="308"/>
      <c r="AM22" s="308"/>
      <c r="AN22" s="308"/>
      <c r="AO22" s="308">
        <v>0</v>
      </c>
      <c r="AP22" s="308"/>
      <c r="AQ22" s="308"/>
      <c r="AR22" s="308"/>
      <c r="AS22" s="308"/>
      <c r="AT22" s="308">
        <v>0</v>
      </c>
      <c r="AU22" s="308"/>
      <c r="AV22" s="308"/>
      <c r="AW22" s="308"/>
      <c r="AX22" s="308"/>
      <c r="AY22" s="312">
        <v>22</v>
      </c>
      <c r="AZ22" s="312"/>
      <c r="BA22" s="312"/>
      <c r="BB22" s="312"/>
      <c r="BC22" s="312"/>
      <c r="BD22" s="311">
        <f t="shared" si="16"/>
        <v>67.099999999999994</v>
      </c>
      <c r="BE22" s="311"/>
      <c r="BF22" s="311"/>
      <c r="BG22" s="311"/>
      <c r="BH22" s="311"/>
      <c r="BI22" s="310">
        <f t="shared" si="0"/>
        <v>0.99404000000000003</v>
      </c>
      <c r="BJ22" s="310"/>
      <c r="BK22" s="310"/>
      <c r="BL22" s="310"/>
      <c r="BM22" s="310"/>
      <c r="BN22" s="311">
        <f t="shared" si="1"/>
        <v>66.70008399999999</v>
      </c>
      <c r="BO22" s="311"/>
      <c r="BP22" s="311"/>
      <c r="BQ22" s="311"/>
      <c r="BR22" s="311"/>
      <c r="BS22" s="332">
        <f t="shared" si="2"/>
        <v>0.8347</v>
      </c>
      <c r="BT22" s="332"/>
      <c r="BU22" s="332"/>
      <c r="BV22" s="332"/>
      <c r="BW22" s="332"/>
      <c r="BX22" s="311">
        <f t="shared" si="3"/>
        <v>55.674999999999997</v>
      </c>
      <c r="BY22" s="311"/>
      <c r="BZ22" s="311"/>
      <c r="CA22" s="311"/>
      <c r="CB22" s="311"/>
      <c r="CC22" s="311">
        <f t="shared" si="4"/>
        <v>55.747999999999998</v>
      </c>
      <c r="CD22" s="311"/>
      <c r="CE22" s="311"/>
      <c r="CF22" s="311"/>
      <c r="CG22" s="311"/>
      <c r="CI22" s="326"/>
      <c r="CJ22" s="327"/>
      <c r="CK22" s="327"/>
      <c r="CL22" s="328"/>
      <c r="CP22" s="87">
        <f t="shared" si="5"/>
        <v>1476.1999999999998</v>
      </c>
      <c r="CR22" s="28">
        <f t="shared" si="6"/>
        <v>422.04625099999998</v>
      </c>
      <c r="CS22" s="29">
        <f t="shared" si="7"/>
        <v>67.099999999999994</v>
      </c>
      <c r="CU22" s="28">
        <f t="shared" si="8"/>
        <v>71.599999999999994</v>
      </c>
      <c r="CV22" s="31">
        <f t="shared" si="9"/>
        <v>71.5</v>
      </c>
      <c r="CW22" s="32">
        <f t="shared" si="24"/>
        <v>71.599999999999994</v>
      </c>
      <c r="CX22" s="32">
        <f t="shared" si="17"/>
        <v>71.609851678411758</v>
      </c>
      <c r="CY22" s="26"/>
      <c r="CZ22" s="28">
        <f t="shared" si="10"/>
        <v>22</v>
      </c>
      <c r="DA22" s="28">
        <f t="shared" si="11"/>
        <v>22</v>
      </c>
      <c r="DB22" s="34">
        <f t="shared" si="25"/>
        <v>22</v>
      </c>
      <c r="DC22" s="32">
        <f t="shared" si="18"/>
        <v>22.005473154673204</v>
      </c>
      <c r="DD22" s="35"/>
      <c r="DE22" s="28">
        <f t="shared" si="12"/>
        <v>37.716216148275123</v>
      </c>
      <c r="DF22" s="31">
        <f t="shared" si="13"/>
        <v>37.5</v>
      </c>
      <c r="DG22" s="32">
        <f t="shared" si="26"/>
        <v>37.700000000000003</v>
      </c>
      <c r="DH22" s="32">
        <f t="shared" si="19"/>
        <v>835.46550827423175</v>
      </c>
      <c r="DI22" s="32">
        <f t="shared" si="20"/>
        <v>835.46821991197794</v>
      </c>
      <c r="DK22" s="38">
        <f t="shared" si="14"/>
        <v>0.83620827377448925</v>
      </c>
      <c r="DL22" s="41">
        <f t="shared" si="27"/>
        <v>0.83599999999999997</v>
      </c>
      <c r="DM22" s="38">
        <f t="shared" si="28"/>
        <v>0.83620000000000005</v>
      </c>
      <c r="DN22" s="32">
        <f t="shared" si="21"/>
        <v>835.3771792</v>
      </c>
      <c r="DO22" s="32">
        <f t="shared" si="29"/>
        <v>835.37989092812052</v>
      </c>
      <c r="DQ22" s="38">
        <f t="shared" si="15"/>
        <v>0.83579999999999999</v>
      </c>
      <c r="DR22" s="29">
        <f t="shared" si="30"/>
        <v>0.83599999999999997</v>
      </c>
      <c r="DS22" s="38">
        <f t="shared" si="31"/>
        <v>0.83579999999999999</v>
      </c>
      <c r="DT22" s="32">
        <f t="shared" si="22"/>
        <v>835.8</v>
      </c>
      <c r="DU22" s="32">
        <f t="shared" si="23"/>
        <v>835.80488047819847</v>
      </c>
      <c r="DW22" s="38">
        <f t="shared" si="32"/>
        <v>0.99460000000000004</v>
      </c>
      <c r="DX22" s="42">
        <f t="shared" si="33"/>
        <v>0.99451000000000001</v>
      </c>
      <c r="DY22" s="38">
        <f t="shared" si="34"/>
        <v>0.99460000000000004</v>
      </c>
      <c r="DZ22" s="42">
        <f t="shared" si="35"/>
        <v>0.99451000000000001</v>
      </c>
      <c r="EA22" s="38">
        <f t="shared" si="36"/>
        <v>0.99399999999999999</v>
      </c>
      <c r="EB22" s="42">
        <f t="shared" si="37"/>
        <v>0.99404000000000003</v>
      </c>
    </row>
    <row r="23" spans="1:132" ht="11.45" customHeight="1" x14ac:dyDescent="0.2">
      <c r="A23" s="317" t="s">
        <v>573</v>
      </c>
      <c r="B23" s="317"/>
      <c r="C23" s="317"/>
      <c r="D23" s="317"/>
      <c r="E23" s="317"/>
      <c r="F23" s="317"/>
      <c r="G23" s="317"/>
      <c r="H23" s="317"/>
      <c r="I23" s="345" t="s">
        <v>544</v>
      </c>
      <c r="J23" s="345"/>
      <c r="K23" s="345"/>
      <c r="L23" s="345"/>
      <c r="M23" s="345"/>
      <c r="N23" s="345"/>
      <c r="O23" s="345"/>
      <c r="P23" s="313">
        <v>0.83579999999999999</v>
      </c>
      <c r="Q23" s="313"/>
      <c r="R23" s="313"/>
      <c r="S23" s="313"/>
      <c r="T23" s="313"/>
      <c r="U23" s="308">
        <v>4.16</v>
      </c>
      <c r="V23" s="308"/>
      <c r="W23" s="308"/>
      <c r="X23" s="308"/>
      <c r="Y23" s="308"/>
      <c r="Z23" s="308">
        <v>0.94</v>
      </c>
      <c r="AA23" s="308"/>
      <c r="AB23" s="308"/>
      <c r="AC23" s="309"/>
      <c r="AD23" s="308"/>
      <c r="AE23" s="308">
        <v>0.94</v>
      </c>
      <c r="AF23" s="308"/>
      <c r="AG23" s="308"/>
      <c r="AH23" s="309"/>
      <c r="AI23" s="308"/>
      <c r="AJ23" s="308">
        <v>67.62</v>
      </c>
      <c r="AK23" s="308"/>
      <c r="AL23" s="308"/>
      <c r="AM23" s="308"/>
      <c r="AN23" s="308"/>
      <c r="AO23" s="308">
        <v>0</v>
      </c>
      <c r="AP23" s="308"/>
      <c r="AQ23" s="308"/>
      <c r="AR23" s="308"/>
      <c r="AS23" s="308"/>
      <c r="AT23" s="308">
        <v>0</v>
      </c>
      <c r="AU23" s="308"/>
      <c r="AV23" s="308"/>
      <c r="AW23" s="308"/>
      <c r="AX23" s="308"/>
      <c r="AY23" s="312">
        <v>22</v>
      </c>
      <c r="AZ23" s="312"/>
      <c r="BA23" s="312"/>
      <c r="BB23" s="312"/>
      <c r="BC23" s="312"/>
      <c r="BD23" s="311">
        <f t="shared" si="16"/>
        <v>67.62</v>
      </c>
      <c r="BE23" s="311"/>
      <c r="BF23" s="311"/>
      <c r="BG23" s="311"/>
      <c r="BH23" s="311"/>
      <c r="BI23" s="310">
        <f t="shared" si="0"/>
        <v>0.99404000000000003</v>
      </c>
      <c r="BJ23" s="310"/>
      <c r="BK23" s="310"/>
      <c r="BL23" s="310"/>
      <c r="BM23" s="310"/>
      <c r="BN23" s="311">
        <f t="shared" si="1"/>
        <v>67.216984800000006</v>
      </c>
      <c r="BO23" s="311"/>
      <c r="BP23" s="311"/>
      <c r="BQ23" s="311"/>
      <c r="BR23" s="311"/>
      <c r="BS23" s="332">
        <f t="shared" si="2"/>
        <v>0.8347</v>
      </c>
      <c r="BT23" s="332"/>
      <c r="BU23" s="332"/>
      <c r="BV23" s="332"/>
      <c r="BW23" s="332"/>
      <c r="BX23" s="311">
        <f t="shared" si="3"/>
        <v>56.106000000000002</v>
      </c>
      <c r="BY23" s="311"/>
      <c r="BZ23" s="311"/>
      <c r="CA23" s="311"/>
      <c r="CB23" s="311"/>
      <c r="CC23" s="311">
        <f t="shared" si="4"/>
        <v>56.18</v>
      </c>
      <c r="CD23" s="311"/>
      <c r="CE23" s="311"/>
      <c r="CF23" s="311"/>
      <c r="CG23" s="311"/>
      <c r="CI23" s="108" t="s">
        <v>170</v>
      </c>
      <c r="CJ23" s="109"/>
      <c r="CK23" s="43">
        <f>AVERAGE(AY18:BC29)</f>
        <v>22</v>
      </c>
      <c r="CL23" s="21" t="s">
        <v>174</v>
      </c>
      <c r="CN23" s="1" t="s">
        <v>217</v>
      </c>
      <c r="CP23" s="87">
        <f t="shared" si="5"/>
        <v>1487.64</v>
      </c>
      <c r="CR23" s="28">
        <f t="shared" si="6"/>
        <v>425.31695220000006</v>
      </c>
      <c r="CS23" s="29">
        <f t="shared" si="7"/>
        <v>67.62</v>
      </c>
      <c r="CU23" s="28">
        <f t="shared" si="8"/>
        <v>71.599999999999994</v>
      </c>
      <c r="CV23" s="31">
        <f t="shared" si="9"/>
        <v>71.5</v>
      </c>
      <c r="CW23" s="32">
        <f t="shared" si="24"/>
        <v>71.599999999999994</v>
      </c>
      <c r="CX23" s="32">
        <f t="shared" si="17"/>
        <v>71.609851678411758</v>
      </c>
      <c r="CY23" s="26"/>
      <c r="CZ23" s="28">
        <f t="shared" si="10"/>
        <v>22</v>
      </c>
      <c r="DA23" s="28">
        <f t="shared" si="11"/>
        <v>22</v>
      </c>
      <c r="DB23" s="34">
        <f t="shared" si="25"/>
        <v>22</v>
      </c>
      <c r="DC23" s="32">
        <f t="shared" si="18"/>
        <v>22.005473154673204</v>
      </c>
      <c r="DD23" s="35"/>
      <c r="DE23" s="28">
        <f t="shared" si="12"/>
        <v>37.716216148275123</v>
      </c>
      <c r="DF23" s="31">
        <f t="shared" si="13"/>
        <v>37.5</v>
      </c>
      <c r="DG23" s="32">
        <f t="shared" si="26"/>
        <v>37.700000000000003</v>
      </c>
      <c r="DH23" s="32">
        <f t="shared" si="19"/>
        <v>835.46550827423175</v>
      </c>
      <c r="DI23" s="32">
        <f t="shared" si="20"/>
        <v>835.46821991197794</v>
      </c>
      <c r="DK23" s="38">
        <f t="shared" si="14"/>
        <v>0.83620827377448925</v>
      </c>
      <c r="DL23" s="41">
        <f t="shared" si="27"/>
        <v>0.83599999999999997</v>
      </c>
      <c r="DM23" s="38">
        <f t="shared" si="28"/>
        <v>0.83620000000000005</v>
      </c>
      <c r="DN23" s="32">
        <f t="shared" si="21"/>
        <v>835.3771792</v>
      </c>
      <c r="DO23" s="32">
        <f t="shared" si="29"/>
        <v>835.37989092812052</v>
      </c>
      <c r="DQ23" s="38">
        <f t="shared" si="15"/>
        <v>0.83579999999999999</v>
      </c>
      <c r="DR23" s="29">
        <f t="shared" si="30"/>
        <v>0.83599999999999997</v>
      </c>
      <c r="DS23" s="38">
        <f t="shared" si="31"/>
        <v>0.83579999999999999</v>
      </c>
      <c r="DT23" s="32">
        <f t="shared" si="22"/>
        <v>835.8</v>
      </c>
      <c r="DU23" s="32">
        <f t="shared" si="23"/>
        <v>835.80488047819847</v>
      </c>
      <c r="DW23" s="38">
        <f t="shared" si="32"/>
        <v>0.99460000000000004</v>
      </c>
      <c r="DX23" s="42">
        <f t="shared" si="33"/>
        <v>0.99451000000000001</v>
      </c>
      <c r="DY23" s="38">
        <f t="shared" si="34"/>
        <v>0.99460000000000004</v>
      </c>
      <c r="DZ23" s="42">
        <f t="shared" si="35"/>
        <v>0.99451000000000001</v>
      </c>
      <c r="EA23" s="38">
        <f t="shared" si="36"/>
        <v>0.99399999999999999</v>
      </c>
      <c r="EB23" s="42">
        <f t="shared" si="37"/>
        <v>0.99404000000000003</v>
      </c>
    </row>
    <row r="24" spans="1:132" ht="11.45" customHeight="1" x14ac:dyDescent="0.2">
      <c r="A24" s="317" t="s">
        <v>574</v>
      </c>
      <c r="B24" s="317"/>
      <c r="C24" s="317"/>
      <c r="D24" s="317"/>
      <c r="E24" s="317"/>
      <c r="F24" s="317"/>
      <c r="G24" s="317"/>
      <c r="H24" s="317"/>
      <c r="I24" s="345" t="s">
        <v>544</v>
      </c>
      <c r="J24" s="345"/>
      <c r="K24" s="345"/>
      <c r="L24" s="345"/>
      <c r="M24" s="345"/>
      <c r="N24" s="345"/>
      <c r="O24" s="345"/>
      <c r="P24" s="313">
        <v>0.83579999999999999</v>
      </c>
      <c r="Q24" s="313"/>
      <c r="R24" s="313"/>
      <c r="S24" s="313"/>
      <c r="T24" s="313"/>
      <c r="U24" s="308">
        <v>4.1500000000000004</v>
      </c>
      <c r="V24" s="308"/>
      <c r="W24" s="308"/>
      <c r="X24" s="308"/>
      <c r="Y24" s="308"/>
      <c r="Z24" s="308">
        <v>2.35</v>
      </c>
      <c r="AA24" s="308"/>
      <c r="AB24" s="308"/>
      <c r="AC24" s="309"/>
      <c r="AD24" s="308"/>
      <c r="AE24" s="308">
        <v>2.35</v>
      </c>
      <c r="AF24" s="308"/>
      <c r="AG24" s="308"/>
      <c r="AH24" s="309"/>
      <c r="AI24" s="308"/>
      <c r="AJ24" s="308">
        <v>40.265999999999998</v>
      </c>
      <c r="AK24" s="308"/>
      <c r="AL24" s="308"/>
      <c r="AM24" s="308"/>
      <c r="AN24" s="308"/>
      <c r="AO24" s="308">
        <v>0</v>
      </c>
      <c r="AP24" s="308"/>
      <c r="AQ24" s="308"/>
      <c r="AR24" s="308"/>
      <c r="AS24" s="308"/>
      <c r="AT24" s="308">
        <v>0</v>
      </c>
      <c r="AU24" s="308"/>
      <c r="AV24" s="308"/>
      <c r="AW24" s="308"/>
      <c r="AX24" s="308"/>
      <c r="AY24" s="312">
        <v>22</v>
      </c>
      <c r="AZ24" s="312"/>
      <c r="BA24" s="312"/>
      <c r="BB24" s="312"/>
      <c r="BC24" s="312"/>
      <c r="BD24" s="311">
        <f t="shared" si="16"/>
        <v>40.265999999999998</v>
      </c>
      <c r="BE24" s="311"/>
      <c r="BF24" s="311"/>
      <c r="BG24" s="311"/>
      <c r="BH24" s="311"/>
      <c r="BI24" s="310">
        <f t="shared" si="0"/>
        <v>0.99404000000000003</v>
      </c>
      <c r="BJ24" s="310"/>
      <c r="BK24" s="310"/>
      <c r="BL24" s="310"/>
      <c r="BM24" s="310"/>
      <c r="BN24" s="311">
        <f t="shared" si="1"/>
        <v>40.02601464</v>
      </c>
      <c r="BO24" s="311"/>
      <c r="BP24" s="311"/>
      <c r="BQ24" s="311"/>
      <c r="BR24" s="311"/>
      <c r="BS24" s="332">
        <f t="shared" si="2"/>
        <v>0.8347</v>
      </c>
      <c r="BT24" s="332"/>
      <c r="BU24" s="332"/>
      <c r="BV24" s="332"/>
      <c r="BW24" s="332"/>
      <c r="BX24" s="311">
        <f t="shared" si="3"/>
        <v>33.409999999999997</v>
      </c>
      <c r="BY24" s="311"/>
      <c r="BZ24" s="311"/>
      <c r="CA24" s="311"/>
      <c r="CB24" s="311"/>
      <c r="CC24" s="311">
        <f t="shared" si="4"/>
        <v>33.454000000000001</v>
      </c>
      <c r="CD24" s="311"/>
      <c r="CE24" s="311"/>
      <c r="CF24" s="311"/>
      <c r="CG24" s="311"/>
      <c r="CI24" s="9" t="s">
        <v>171</v>
      </c>
      <c r="CJ24" s="10"/>
      <c r="CK24" s="44">
        <f>SUM(CP18:CP29)/BD30</f>
        <v>22</v>
      </c>
      <c r="CL24" s="11" t="s">
        <v>174</v>
      </c>
      <c r="CN24" s="107" t="s">
        <v>459</v>
      </c>
      <c r="CP24" s="87">
        <f t="shared" si="5"/>
        <v>885.85199999999998</v>
      </c>
      <c r="CR24" s="28">
        <f t="shared" si="6"/>
        <v>253.26548946</v>
      </c>
      <c r="CS24" s="29">
        <f t="shared" si="7"/>
        <v>40.265999999999998</v>
      </c>
      <c r="CU24" s="28">
        <f t="shared" si="8"/>
        <v>71.599999999999994</v>
      </c>
      <c r="CV24" s="31">
        <f t="shared" si="9"/>
        <v>71.5</v>
      </c>
      <c r="CW24" s="32">
        <f t="shared" si="24"/>
        <v>71.599999999999994</v>
      </c>
      <c r="CX24" s="32">
        <f t="shared" si="17"/>
        <v>71.609851678411758</v>
      </c>
      <c r="CY24" s="26"/>
      <c r="CZ24" s="28">
        <f t="shared" si="10"/>
        <v>22</v>
      </c>
      <c r="DA24" s="28">
        <f t="shared" si="11"/>
        <v>22</v>
      </c>
      <c r="DB24" s="34">
        <f t="shared" si="25"/>
        <v>22</v>
      </c>
      <c r="DC24" s="32">
        <f t="shared" si="18"/>
        <v>22.005473154673204</v>
      </c>
      <c r="DD24" s="35"/>
      <c r="DE24" s="28">
        <f t="shared" si="12"/>
        <v>37.716216148275123</v>
      </c>
      <c r="DF24" s="31">
        <f t="shared" si="13"/>
        <v>37.5</v>
      </c>
      <c r="DG24" s="32">
        <f t="shared" si="26"/>
        <v>37.700000000000003</v>
      </c>
      <c r="DH24" s="32">
        <f t="shared" si="19"/>
        <v>835.46550827423175</v>
      </c>
      <c r="DI24" s="32">
        <f t="shared" si="20"/>
        <v>835.46821991197794</v>
      </c>
      <c r="DK24" s="38">
        <f t="shared" si="14"/>
        <v>0.83620827377448925</v>
      </c>
      <c r="DL24" s="41">
        <f t="shared" si="27"/>
        <v>0.83599999999999997</v>
      </c>
      <c r="DM24" s="38">
        <f t="shared" si="28"/>
        <v>0.83620000000000005</v>
      </c>
      <c r="DN24" s="32">
        <f t="shared" si="21"/>
        <v>835.3771792</v>
      </c>
      <c r="DO24" s="32">
        <f t="shared" si="29"/>
        <v>835.37989092812052</v>
      </c>
      <c r="DQ24" s="38">
        <f t="shared" si="15"/>
        <v>0.83579999999999999</v>
      </c>
      <c r="DR24" s="29">
        <f t="shared" si="30"/>
        <v>0.83599999999999997</v>
      </c>
      <c r="DS24" s="38">
        <f t="shared" si="31"/>
        <v>0.83579999999999999</v>
      </c>
      <c r="DT24" s="32">
        <f t="shared" si="22"/>
        <v>835.8</v>
      </c>
      <c r="DU24" s="32">
        <f t="shared" si="23"/>
        <v>835.80488047819847</v>
      </c>
      <c r="DW24" s="38">
        <f t="shared" si="32"/>
        <v>0.99460000000000004</v>
      </c>
      <c r="DX24" s="42">
        <f t="shared" si="33"/>
        <v>0.99451000000000001</v>
      </c>
      <c r="DY24" s="38">
        <f t="shared" si="34"/>
        <v>0.99460000000000004</v>
      </c>
      <c r="DZ24" s="42">
        <f t="shared" si="35"/>
        <v>0.99451000000000001</v>
      </c>
      <c r="EA24" s="38">
        <f t="shared" si="36"/>
        <v>0.99399999999999999</v>
      </c>
      <c r="EB24" s="42">
        <f t="shared" si="37"/>
        <v>0.99404000000000003</v>
      </c>
    </row>
    <row r="25" spans="1:132" ht="11.45" customHeight="1" x14ac:dyDescent="0.2">
      <c r="A25" s="317" t="s">
        <v>575</v>
      </c>
      <c r="B25" s="317"/>
      <c r="C25" s="317"/>
      <c r="D25" s="317"/>
      <c r="E25" s="317"/>
      <c r="F25" s="317"/>
      <c r="G25" s="317"/>
      <c r="H25" s="317"/>
      <c r="I25" s="345" t="s">
        <v>544</v>
      </c>
      <c r="J25" s="345"/>
      <c r="K25" s="345"/>
      <c r="L25" s="345"/>
      <c r="M25" s="345"/>
      <c r="N25" s="345"/>
      <c r="O25" s="345"/>
      <c r="P25" s="313">
        <v>0.83579999999999999</v>
      </c>
      <c r="Q25" s="313"/>
      <c r="R25" s="313"/>
      <c r="S25" s="313"/>
      <c r="T25" s="313"/>
      <c r="U25" s="308">
        <v>4.17</v>
      </c>
      <c r="V25" s="308"/>
      <c r="W25" s="308"/>
      <c r="X25" s="308"/>
      <c r="Y25" s="308"/>
      <c r="Z25" s="308">
        <v>2.36</v>
      </c>
      <c r="AA25" s="308"/>
      <c r="AB25" s="308"/>
      <c r="AC25" s="309"/>
      <c r="AD25" s="308"/>
      <c r="AE25" s="308">
        <v>2.36</v>
      </c>
      <c r="AF25" s="308"/>
      <c r="AG25" s="308"/>
      <c r="AH25" s="309"/>
      <c r="AI25" s="308"/>
      <c r="AJ25" s="308">
        <v>40.488999999999997</v>
      </c>
      <c r="AK25" s="308"/>
      <c r="AL25" s="308"/>
      <c r="AM25" s="308"/>
      <c r="AN25" s="308"/>
      <c r="AO25" s="308">
        <v>0</v>
      </c>
      <c r="AP25" s="308"/>
      <c r="AQ25" s="308"/>
      <c r="AR25" s="308"/>
      <c r="AS25" s="308"/>
      <c r="AT25" s="308">
        <v>0</v>
      </c>
      <c r="AU25" s="308"/>
      <c r="AV25" s="308"/>
      <c r="AW25" s="308"/>
      <c r="AX25" s="308"/>
      <c r="AY25" s="312">
        <v>22</v>
      </c>
      <c r="AZ25" s="312"/>
      <c r="BA25" s="312"/>
      <c r="BB25" s="312"/>
      <c r="BC25" s="312"/>
      <c r="BD25" s="311">
        <f t="shared" si="16"/>
        <v>40.488999999999997</v>
      </c>
      <c r="BE25" s="311"/>
      <c r="BF25" s="311"/>
      <c r="BG25" s="311"/>
      <c r="BH25" s="311"/>
      <c r="BI25" s="310">
        <f t="shared" si="0"/>
        <v>0.99404000000000003</v>
      </c>
      <c r="BJ25" s="310"/>
      <c r="BK25" s="310"/>
      <c r="BL25" s="310"/>
      <c r="BM25" s="310"/>
      <c r="BN25" s="311">
        <f t="shared" si="1"/>
        <v>40.247685560000001</v>
      </c>
      <c r="BO25" s="311"/>
      <c r="BP25" s="311"/>
      <c r="BQ25" s="311"/>
      <c r="BR25" s="311"/>
      <c r="BS25" s="332">
        <f t="shared" si="2"/>
        <v>0.8347</v>
      </c>
      <c r="BT25" s="332"/>
      <c r="BU25" s="332"/>
      <c r="BV25" s="332"/>
      <c r="BW25" s="332"/>
      <c r="BX25" s="311">
        <f t="shared" si="3"/>
        <v>33.594999999999999</v>
      </c>
      <c r="BY25" s="311"/>
      <c r="BZ25" s="311"/>
      <c r="CA25" s="311"/>
      <c r="CB25" s="311"/>
      <c r="CC25" s="311">
        <f t="shared" si="4"/>
        <v>33.639000000000003</v>
      </c>
      <c r="CD25" s="311"/>
      <c r="CE25" s="311"/>
      <c r="CF25" s="311"/>
      <c r="CG25" s="311"/>
      <c r="CN25" s="2" t="s">
        <v>55</v>
      </c>
      <c r="CP25" s="87">
        <f t="shared" si="5"/>
        <v>890.75799999999992</v>
      </c>
      <c r="CR25" s="28">
        <f t="shared" si="6"/>
        <v>254.66811708999998</v>
      </c>
      <c r="CS25" s="29">
        <f t="shared" si="7"/>
        <v>40.488999999999997</v>
      </c>
      <c r="CU25" s="28">
        <f t="shared" si="8"/>
        <v>71.599999999999994</v>
      </c>
      <c r="CV25" s="31">
        <f t="shared" si="9"/>
        <v>71.5</v>
      </c>
      <c r="CW25" s="32">
        <f t="shared" si="24"/>
        <v>71.599999999999994</v>
      </c>
      <c r="CX25" s="32">
        <f t="shared" si="17"/>
        <v>71.609851678411758</v>
      </c>
      <c r="CY25" s="26"/>
      <c r="CZ25" s="28">
        <f t="shared" si="10"/>
        <v>22</v>
      </c>
      <c r="DA25" s="28">
        <f t="shared" si="11"/>
        <v>22</v>
      </c>
      <c r="DB25" s="34">
        <f t="shared" si="25"/>
        <v>22</v>
      </c>
      <c r="DC25" s="32">
        <f t="shared" si="18"/>
        <v>22.005473154673204</v>
      </c>
      <c r="DD25" s="35"/>
      <c r="DE25" s="28">
        <f t="shared" si="12"/>
        <v>37.716216148275123</v>
      </c>
      <c r="DF25" s="31">
        <f t="shared" si="13"/>
        <v>37.5</v>
      </c>
      <c r="DG25" s="32">
        <f t="shared" si="26"/>
        <v>37.700000000000003</v>
      </c>
      <c r="DH25" s="32">
        <f t="shared" si="19"/>
        <v>835.46550827423175</v>
      </c>
      <c r="DI25" s="32">
        <f t="shared" si="20"/>
        <v>835.46821991197794</v>
      </c>
      <c r="DK25" s="38">
        <f t="shared" si="14"/>
        <v>0.83620827377448925</v>
      </c>
      <c r="DL25" s="41">
        <f t="shared" si="27"/>
        <v>0.83599999999999997</v>
      </c>
      <c r="DM25" s="38">
        <f t="shared" si="28"/>
        <v>0.83620000000000005</v>
      </c>
      <c r="DN25" s="32">
        <f t="shared" si="21"/>
        <v>835.3771792</v>
      </c>
      <c r="DO25" s="32">
        <f t="shared" si="29"/>
        <v>835.37989092812052</v>
      </c>
      <c r="DQ25" s="38">
        <f t="shared" si="15"/>
        <v>0.83579999999999999</v>
      </c>
      <c r="DR25" s="29">
        <f t="shared" si="30"/>
        <v>0.83599999999999997</v>
      </c>
      <c r="DS25" s="38">
        <f t="shared" si="31"/>
        <v>0.83579999999999999</v>
      </c>
      <c r="DT25" s="32">
        <f t="shared" si="22"/>
        <v>835.8</v>
      </c>
      <c r="DU25" s="32">
        <f t="shared" si="23"/>
        <v>835.80488047819847</v>
      </c>
      <c r="DW25" s="38">
        <f t="shared" si="32"/>
        <v>0.99460000000000004</v>
      </c>
      <c r="DX25" s="42">
        <f t="shared" si="33"/>
        <v>0.99451000000000001</v>
      </c>
      <c r="DY25" s="38">
        <f t="shared" si="34"/>
        <v>0.99460000000000004</v>
      </c>
      <c r="DZ25" s="42">
        <f t="shared" si="35"/>
        <v>0.99451000000000001</v>
      </c>
      <c r="EA25" s="38">
        <f t="shared" si="36"/>
        <v>0.99399999999999999</v>
      </c>
      <c r="EB25" s="42">
        <f t="shared" si="37"/>
        <v>0.99404000000000003</v>
      </c>
    </row>
    <row r="26" spans="1:132" ht="11.45" customHeight="1" x14ac:dyDescent="0.2">
      <c r="A26" s="317"/>
      <c r="B26" s="317"/>
      <c r="C26" s="317"/>
      <c r="D26" s="317"/>
      <c r="E26" s="317"/>
      <c r="F26" s="317"/>
      <c r="G26" s="317"/>
      <c r="H26" s="317"/>
      <c r="I26" s="345"/>
      <c r="J26" s="345"/>
      <c r="K26" s="345"/>
      <c r="L26" s="345"/>
      <c r="M26" s="345"/>
      <c r="N26" s="345"/>
      <c r="O26" s="345"/>
      <c r="P26" s="411"/>
      <c r="Q26" s="412"/>
      <c r="R26" s="412"/>
      <c r="S26" s="412"/>
      <c r="T26" s="413"/>
      <c r="U26" s="308"/>
      <c r="V26" s="308"/>
      <c r="W26" s="308"/>
      <c r="X26" s="308"/>
      <c r="Y26" s="308"/>
      <c r="Z26" s="308"/>
      <c r="AA26" s="308"/>
      <c r="AB26" s="308"/>
      <c r="AC26" s="309"/>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6"/>
        <v/>
      </c>
      <c r="BE26" s="311"/>
      <c r="BF26" s="311"/>
      <c r="BG26" s="311"/>
      <c r="BH26" s="311"/>
      <c r="BI26" s="310" t="str">
        <f t="shared" si="0"/>
        <v/>
      </c>
      <c r="BJ26" s="310"/>
      <c r="BK26" s="310"/>
      <c r="BL26" s="310"/>
      <c r="BM26" s="310"/>
      <c r="BN26" s="311" t="str">
        <f t="shared" si="1"/>
        <v/>
      </c>
      <c r="BO26" s="311"/>
      <c r="BP26" s="311"/>
      <c r="BQ26" s="311"/>
      <c r="BR26" s="311"/>
      <c r="BS26" s="332" t="str">
        <f t="shared" si="2"/>
        <v/>
      </c>
      <c r="BT26" s="332"/>
      <c r="BU26" s="332"/>
      <c r="BV26" s="332"/>
      <c r="BW26" s="332"/>
      <c r="BX26" s="311" t="str">
        <f t="shared" si="3"/>
        <v/>
      </c>
      <c r="BY26" s="311"/>
      <c r="BZ26" s="311"/>
      <c r="CA26" s="311"/>
      <c r="CB26" s="311"/>
      <c r="CC26" s="311" t="str">
        <f t="shared" si="4"/>
        <v/>
      </c>
      <c r="CD26" s="311"/>
      <c r="CE26" s="311"/>
      <c r="CF26" s="311"/>
      <c r="CG26" s="311"/>
      <c r="CP26" s="87">
        <f t="shared" si="5"/>
        <v>0</v>
      </c>
      <c r="CR26" s="28" t="e">
        <f t="shared" si="6"/>
        <v>#VALUE!</v>
      </c>
      <c r="CS26" s="29" t="str">
        <f t="shared" si="7"/>
        <v/>
      </c>
      <c r="CU26" s="28">
        <f t="shared" si="8"/>
        <v>32</v>
      </c>
      <c r="CV26" s="31">
        <f t="shared" si="9"/>
        <v>32</v>
      </c>
      <c r="CW26" s="32">
        <f t="shared" si="24"/>
        <v>32</v>
      </c>
      <c r="CX26" s="32">
        <f t="shared" si="17"/>
        <v>32</v>
      </c>
      <c r="CY26" s="26"/>
      <c r="CZ26" s="28">
        <f t="shared" si="10"/>
        <v>0</v>
      </c>
      <c r="DA26" s="28">
        <f t="shared" si="11"/>
        <v>0</v>
      </c>
      <c r="DB26" s="34">
        <f t="shared" si="25"/>
        <v>0</v>
      </c>
      <c r="DC26" s="32">
        <f t="shared" si="18"/>
        <v>0</v>
      </c>
      <c r="DD26" s="35"/>
      <c r="DE26" s="28" t="e">
        <f t="shared" si="12"/>
        <v>#DIV/0!</v>
      </c>
      <c r="DF26" s="31" t="e">
        <f t="shared" si="13"/>
        <v>#DIV/0!</v>
      </c>
      <c r="DG26" s="32" t="e">
        <f t="shared" si="26"/>
        <v>#DIV/0!</v>
      </c>
      <c r="DH26" s="32" t="e">
        <f t="shared" si="19"/>
        <v>#DIV/0!</v>
      </c>
      <c r="DI26" s="32" t="e">
        <f t="shared" si="20"/>
        <v>#DIV/0!</v>
      </c>
      <c r="DK26" s="38" t="e">
        <f t="shared" si="14"/>
        <v>#DIV/0!</v>
      </c>
      <c r="DL26" s="41" t="e">
        <f t="shared" si="27"/>
        <v>#DIV/0!</v>
      </c>
      <c r="DM26" s="38" t="e">
        <f t="shared" si="28"/>
        <v>#DIV/0!</v>
      </c>
      <c r="DN26" s="32" t="e">
        <f t="shared" si="21"/>
        <v>#DIV/0!</v>
      </c>
      <c r="DO26" s="32" t="e">
        <f t="shared" si="29"/>
        <v>#DIV/0!</v>
      </c>
      <c r="DQ26" s="38">
        <f t="shared" si="15"/>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411"/>
      <c r="Q27" s="412"/>
      <c r="R27" s="412"/>
      <c r="S27" s="412"/>
      <c r="T27" s="4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6"/>
        <v/>
      </c>
      <c r="BE27" s="311"/>
      <c r="BF27" s="311"/>
      <c r="BG27" s="311"/>
      <c r="BH27" s="311"/>
      <c r="BI27" s="310" t="str">
        <f t="shared" si="0"/>
        <v/>
      </c>
      <c r="BJ27" s="310"/>
      <c r="BK27" s="310"/>
      <c r="BL27" s="310"/>
      <c r="BM27" s="310"/>
      <c r="BN27" s="311" t="str">
        <f t="shared" si="1"/>
        <v/>
      </c>
      <c r="BO27" s="311"/>
      <c r="BP27" s="311"/>
      <c r="BQ27" s="311"/>
      <c r="BR27" s="311"/>
      <c r="BS27" s="332" t="str">
        <f t="shared" si="2"/>
        <v/>
      </c>
      <c r="BT27" s="332"/>
      <c r="BU27" s="332"/>
      <c r="BV27" s="332"/>
      <c r="BW27" s="332"/>
      <c r="BX27" s="311" t="str">
        <f t="shared" si="3"/>
        <v/>
      </c>
      <c r="BY27" s="311"/>
      <c r="BZ27" s="311"/>
      <c r="CA27" s="311"/>
      <c r="CB27" s="311"/>
      <c r="CC27" s="311" t="str">
        <f t="shared" si="4"/>
        <v/>
      </c>
      <c r="CD27" s="311"/>
      <c r="CE27" s="311"/>
      <c r="CF27" s="311"/>
      <c r="CG27" s="311"/>
      <c r="CP27" s="87">
        <f t="shared" si="5"/>
        <v>0</v>
      </c>
      <c r="CR27" s="28" t="e">
        <f t="shared" si="6"/>
        <v>#VALUE!</v>
      </c>
      <c r="CS27" s="29" t="str">
        <f t="shared" si="7"/>
        <v/>
      </c>
      <c r="CU27" s="28">
        <f t="shared" si="8"/>
        <v>32</v>
      </c>
      <c r="CV27" s="31">
        <f t="shared" si="9"/>
        <v>32</v>
      </c>
      <c r="CW27" s="32">
        <f t="shared" si="24"/>
        <v>32</v>
      </c>
      <c r="CX27" s="32">
        <f t="shared" si="17"/>
        <v>32</v>
      </c>
      <c r="CY27" s="26"/>
      <c r="CZ27" s="28">
        <f t="shared" si="10"/>
        <v>0</v>
      </c>
      <c r="DA27" s="28">
        <f t="shared" si="11"/>
        <v>0</v>
      </c>
      <c r="DB27" s="34">
        <f t="shared" si="25"/>
        <v>0</v>
      </c>
      <c r="DC27" s="32">
        <f t="shared" si="18"/>
        <v>0</v>
      </c>
      <c r="DD27" s="35"/>
      <c r="DE27" s="28" t="e">
        <f t="shared" si="12"/>
        <v>#DIV/0!</v>
      </c>
      <c r="DF27" s="31" t="e">
        <f t="shared" si="13"/>
        <v>#DIV/0!</v>
      </c>
      <c r="DG27" s="32" t="e">
        <f t="shared" si="26"/>
        <v>#DIV/0!</v>
      </c>
      <c r="DH27" s="32" t="e">
        <f t="shared" si="19"/>
        <v>#DIV/0!</v>
      </c>
      <c r="DI27" s="32" t="e">
        <f t="shared" si="20"/>
        <v>#DIV/0!</v>
      </c>
      <c r="DK27" s="38" t="e">
        <f t="shared" si="14"/>
        <v>#DIV/0!</v>
      </c>
      <c r="DL27" s="41" t="e">
        <f t="shared" si="27"/>
        <v>#DIV/0!</v>
      </c>
      <c r="DM27" s="38" t="e">
        <f t="shared" si="28"/>
        <v>#DIV/0!</v>
      </c>
      <c r="DN27" s="32" t="e">
        <f t="shared" si="21"/>
        <v>#DIV/0!</v>
      </c>
      <c r="DO27" s="32" t="e">
        <f t="shared" si="29"/>
        <v>#DIV/0!</v>
      </c>
      <c r="DQ27" s="38">
        <f t="shared" si="15"/>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411"/>
      <c r="Q28" s="412"/>
      <c r="R28" s="412"/>
      <c r="S28" s="412"/>
      <c r="T28" s="4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6"/>
        <v/>
      </c>
      <c r="BE28" s="311"/>
      <c r="BF28" s="311"/>
      <c r="BG28" s="311"/>
      <c r="BH28" s="311"/>
      <c r="BI28" s="310" t="str">
        <f t="shared" si="0"/>
        <v/>
      </c>
      <c r="BJ28" s="310"/>
      <c r="BK28" s="310"/>
      <c r="BL28" s="310"/>
      <c r="BM28" s="310"/>
      <c r="BN28" s="311" t="str">
        <f t="shared" si="1"/>
        <v/>
      </c>
      <c r="BO28" s="311"/>
      <c r="BP28" s="311"/>
      <c r="BQ28" s="311"/>
      <c r="BR28" s="311"/>
      <c r="BS28" s="332" t="str">
        <f t="shared" si="2"/>
        <v/>
      </c>
      <c r="BT28" s="332"/>
      <c r="BU28" s="332"/>
      <c r="BV28" s="332"/>
      <c r="BW28" s="332"/>
      <c r="BX28" s="311" t="str">
        <f t="shared" si="3"/>
        <v/>
      </c>
      <c r="BY28" s="311"/>
      <c r="BZ28" s="311"/>
      <c r="CA28" s="311"/>
      <c r="CB28" s="311"/>
      <c r="CC28" s="311" t="str">
        <f t="shared" si="4"/>
        <v/>
      </c>
      <c r="CD28" s="311"/>
      <c r="CE28" s="311"/>
      <c r="CF28" s="311"/>
      <c r="CG28" s="311"/>
      <c r="CN28" s="1" t="s">
        <v>216</v>
      </c>
      <c r="CP28" s="87">
        <f t="shared" si="5"/>
        <v>0</v>
      </c>
      <c r="CR28" s="28" t="e">
        <f t="shared" si="6"/>
        <v>#VALUE!</v>
      </c>
      <c r="CS28" s="29" t="str">
        <f t="shared" si="7"/>
        <v/>
      </c>
      <c r="CU28" s="28">
        <f t="shared" si="8"/>
        <v>32</v>
      </c>
      <c r="CV28" s="31">
        <f t="shared" si="9"/>
        <v>32</v>
      </c>
      <c r="CW28" s="32">
        <f t="shared" si="24"/>
        <v>32</v>
      </c>
      <c r="CX28" s="32">
        <f t="shared" si="17"/>
        <v>32</v>
      </c>
      <c r="CY28" s="26"/>
      <c r="CZ28" s="28">
        <f t="shared" si="10"/>
        <v>0</v>
      </c>
      <c r="DA28" s="28">
        <f t="shared" si="11"/>
        <v>0</v>
      </c>
      <c r="DB28" s="34">
        <f t="shared" si="25"/>
        <v>0</v>
      </c>
      <c r="DC28" s="32">
        <f t="shared" si="18"/>
        <v>0</v>
      </c>
      <c r="DD28" s="35"/>
      <c r="DE28" s="28" t="e">
        <f t="shared" si="12"/>
        <v>#DIV/0!</v>
      </c>
      <c r="DF28" s="31" t="e">
        <f t="shared" si="13"/>
        <v>#DIV/0!</v>
      </c>
      <c r="DG28" s="32" t="e">
        <f t="shared" si="26"/>
        <v>#DIV/0!</v>
      </c>
      <c r="DH28" s="32" t="e">
        <f t="shared" si="19"/>
        <v>#DIV/0!</v>
      </c>
      <c r="DI28" s="32" t="e">
        <f t="shared" si="20"/>
        <v>#DIV/0!</v>
      </c>
      <c r="DK28" s="38" t="e">
        <f t="shared" si="14"/>
        <v>#DIV/0!</v>
      </c>
      <c r="DL28" s="41" t="e">
        <f t="shared" si="27"/>
        <v>#DIV/0!</v>
      </c>
      <c r="DM28" s="38" t="e">
        <f t="shared" si="28"/>
        <v>#DIV/0!</v>
      </c>
      <c r="DN28" s="32" t="e">
        <f t="shared" si="21"/>
        <v>#DIV/0!</v>
      </c>
      <c r="DO28" s="32" t="e">
        <f t="shared" si="29"/>
        <v>#DIV/0!</v>
      </c>
      <c r="DQ28" s="38">
        <f t="shared" si="15"/>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411"/>
      <c r="Q29" s="412"/>
      <c r="R29" s="412"/>
      <c r="S29" s="412"/>
      <c r="T29" s="4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6"/>
        <v/>
      </c>
      <c r="BE29" s="311"/>
      <c r="BF29" s="311"/>
      <c r="BG29" s="311"/>
      <c r="BH29" s="311"/>
      <c r="BI29" s="310" t="str">
        <f t="shared" si="0"/>
        <v/>
      </c>
      <c r="BJ29" s="310"/>
      <c r="BK29" s="310"/>
      <c r="BL29" s="310"/>
      <c r="BM29" s="310"/>
      <c r="BN29" s="311" t="str">
        <f t="shared" si="1"/>
        <v/>
      </c>
      <c r="BO29" s="311"/>
      <c r="BP29" s="311"/>
      <c r="BQ29" s="311"/>
      <c r="BR29" s="311"/>
      <c r="BS29" s="332" t="str">
        <f t="shared" si="2"/>
        <v/>
      </c>
      <c r="BT29" s="332"/>
      <c r="BU29" s="332"/>
      <c r="BV29" s="332"/>
      <c r="BW29" s="332"/>
      <c r="BX29" s="311" t="str">
        <f t="shared" si="3"/>
        <v/>
      </c>
      <c r="BY29" s="311"/>
      <c r="BZ29" s="311"/>
      <c r="CA29" s="311"/>
      <c r="CB29" s="311"/>
      <c r="CC29" s="311" t="str">
        <f t="shared" si="4"/>
        <v/>
      </c>
      <c r="CD29" s="311"/>
      <c r="CE29" s="311"/>
      <c r="CF29" s="311"/>
      <c r="CG29" s="311"/>
      <c r="CI29" s="323" t="s">
        <v>166</v>
      </c>
      <c r="CJ29" s="324"/>
      <c r="CK29" s="324"/>
      <c r="CL29" s="325"/>
      <c r="CN29" s="107" t="s">
        <v>198</v>
      </c>
      <c r="CP29" s="2">
        <f t="shared" si="5"/>
        <v>0</v>
      </c>
      <c r="CR29" s="45" t="e">
        <f t="shared" si="6"/>
        <v>#VALUE!</v>
      </c>
      <c r="CS29" s="46" t="str">
        <f t="shared" si="7"/>
        <v/>
      </c>
      <c r="CU29" s="45">
        <f t="shared" si="8"/>
        <v>32</v>
      </c>
      <c r="CV29" s="47">
        <f t="shared" si="9"/>
        <v>32</v>
      </c>
      <c r="CW29" s="48">
        <f>ROUND(CU29,1)</f>
        <v>32</v>
      </c>
      <c r="CX29" s="48">
        <f t="shared" si="17"/>
        <v>32</v>
      </c>
      <c r="CZ29" s="45">
        <f t="shared" si="10"/>
        <v>0</v>
      </c>
      <c r="DA29" s="45">
        <f t="shared" si="11"/>
        <v>0</v>
      </c>
      <c r="DB29" s="49">
        <f>ROUND(CZ29,1)</f>
        <v>0</v>
      </c>
      <c r="DC29" s="48">
        <f t="shared" si="18"/>
        <v>0</v>
      </c>
      <c r="DD29" s="35"/>
      <c r="DE29" s="45" t="e">
        <f t="shared" si="12"/>
        <v>#DIV/0!</v>
      </c>
      <c r="DF29" s="47" t="e">
        <f t="shared" si="13"/>
        <v>#DIV/0!</v>
      </c>
      <c r="DG29" s="48" t="e">
        <f>ROUND(DE29,1)</f>
        <v>#DIV/0!</v>
      </c>
      <c r="DH29" s="48" t="e">
        <f t="shared" si="19"/>
        <v>#DIV/0!</v>
      </c>
      <c r="DI29" s="48" t="e">
        <f t="shared" si="20"/>
        <v>#DIV/0!</v>
      </c>
      <c r="DK29" s="50" t="e">
        <f t="shared" si="14"/>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5"/>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f>IF(COUNT(AJ18:AN29)=0,"",ROUND(SUM(AJ18:AN29),3))</f>
        <v>482.77300000000002</v>
      </c>
      <c r="AK30" s="321"/>
      <c r="AL30" s="321"/>
      <c r="AM30" s="321"/>
      <c r="AN30" s="322"/>
      <c r="AO30" s="341" t="s">
        <v>214</v>
      </c>
      <c r="AP30" s="341"/>
      <c r="AQ30" s="341"/>
      <c r="AR30" s="341"/>
      <c r="AS30" s="341"/>
      <c r="AT30" s="320">
        <f>IF(COUNT(AT18:AX29)=0,"",ROUND(SUM(AT18:AX29),3))</f>
        <v>0</v>
      </c>
      <c r="AU30" s="321"/>
      <c r="AV30" s="321"/>
      <c r="AW30" s="321"/>
      <c r="AX30" s="322"/>
      <c r="AY30" s="341" t="s">
        <v>211</v>
      </c>
      <c r="AZ30" s="341"/>
      <c r="BA30" s="341"/>
      <c r="BB30" s="341"/>
      <c r="BC30" s="341"/>
      <c r="BD30" s="320">
        <f>IF(COUNT(BD18:BH29)=0,"",ROUND(SUM(BD18:BH29),3))</f>
        <v>482.77300000000002</v>
      </c>
      <c r="BE30" s="321"/>
      <c r="BF30" s="321"/>
      <c r="BG30" s="321"/>
      <c r="BH30" s="322"/>
      <c r="BI30" s="341" t="s">
        <v>210</v>
      </c>
      <c r="BJ30" s="341"/>
      <c r="BK30" s="341"/>
      <c r="BL30" s="341"/>
      <c r="BM30" s="341"/>
      <c r="BN30" s="320">
        <f>IF(COUNT(BN18:BR29)=0,"",ROUND(SUM(BN18:BR29),3))</f>
        <v>479.89600000000002</v>
      </c>
      <c r="BO30" s="321"/>
      <c r="BP30" s="321"/>
      <c r="BQ30" s="321"/>
      <c r="BR30" s="322"/>
      <c r="BS30" s="341" t="s">
        <v>209</v>
      </c>
      <c r="BT30" s="341"/>
      <c r="BU30" s="341"/>
      <c r="BV30" s="341"/>
      <c r="BW30" s="341"/>
      <c r="BX30" s="320">
        <f>IF(COUNT(BX18:CB29)=0,"",ROUND(SUM(BX18:CB29),3))</f>
        <v>400.57</v>
      </c>
      <c r="BY30" s="321"/>
      <c r="BZ30" s="321"/>
      <c r="CA30" s="321"/>
      <c r="CB30" s="322"/>
      <c r="CC30" s="320">
        <f>IF(COUNT(CC18:CG29)=0,"",ROUND(SUM(CC18:CG29),3))</f>
        <v>401.096</v>
      </c>
      <c r="CD30" s="321"/>
      <c r="CE30" s="321"/>
      <c r="CF30" s="321"/>
      <c r="CG30" s="322"/>
      <c r="CI30" s="326"/>
      <c r="CJ30" s="327"/>
      <c r="CK30" s="327"/>
      <c r="CL30" s="328"/>
      <c r="CN30" s="2" t="s">
        <v>226</v>
      </c>
      <c r="CP30" s="91"/>
      <c r="DW30" s="91"/>
      <c r="DX30" s="91"/>
    </row>
    <row r="31" spans="1:132" ht="11.45" customHeight="1" thickBot="1" x14ac:dyDescent="0.25">
      <c r="A31" s="381"/>
      <c r="B31" s="381"/>
      <c r="C31" s="381"/>
      <c r="D31" s="381"/>
      <c r="E31" s="381"/>
      <c r="F31" s="381"/>
      <c r="G31" s="381"/>
      <c r="H31" s="381"/>
      <c r="I31" s="381"/>
      <c r="J31" s="381"/>
      <c r="K31" s="381"/>
      <c r="L31" s="381"/>
      <c r="M31" s="381"/>
      <c r="N31" s="381"/>
      <c r="O31" s="381"/>
      <c r="P31" s="381"/>
      <c r="Q31" s="381"/>
      <c r="R31" s="381"/>
      <c r="S31" s="381"/>
      <c r="T31" s="381"/>
      <c r="U31" s="381"/>
      <c r="V31" s="381"/>
      <c r="W31" s="381"/>
      <c r="X31" s="381"/>
      <c r="Y31" s="381"/>
      <c r="Z31" s="381"/>
      <c r="AA31" s="381"/>
      <c r="AB31" s="381"/>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81"/>
      <c r="BA31" s="381"/>
      <c r="BB31" s="381"/>
      <c r="BC31" s="381"/>
      <c r="BD31" s="381"/>
      <c r="BE31" s="381"/>
      <c r="BF31" s="381"/>
      <c r="BG31" s="381"/>
      <c r="BH31" s="381"/>
      <c r="BI31" s="381"/>
      <c r="BJ31" s="381"/>
      <c r="BK31" s="381"/>
      <c r="BL31" s="381"/>
      <c r="BM31" s="381"/>
      <c r="BN31" s="381"/>
      <c r="BO31" s="381"/>
      <c r="BP31" s="381"/>
      <c r="BQ31" s="381"/>
      <c r="BR31" s="381"/>
      <c r="BS31" s="381"/>
      <c r="BT31" s="381"/>
      <c r="BU31" s="381"/>
      <c r="BV31" s="381"/>
      <c r="BW31" s="381"/>
      <c r="BX31" s="381"/>
      <c r="BY31" s="381"/>
      <c r="BZ31" s="381"/>
      <c r="CA31" s="381"/>
      <c r="CB31" s="381"/>
      <c r="CC31" s="381"/>
      <c r="CD31" s="381"/>
      <c r="CE31" s="381"/>
      <c r="CF31" s="381"/>
      <c r="CG31" s="381"/>
      <c r="CI31" s="5"/>
      <c r="CJ31" s="113">
        <v>-110</v>
      </c>
      <c r="CK31" s="114">
        <v>-108.1</v>
      </c>
      <c r="CL31" s="115">
        <v>-108</v>
      </c>
      <c r="CP31" s="91"/>
      <c r="DW31" s="91"/>
      <c r="DX31" s="91"/>
    </row>
    <row r="32" spans="1:132" ht="11.45" customHeight="1" x14ac:dyDescent="0.2">
      <c r="A32" s="427" t="s">
        <v>28</v>
      </c>
      <c r="B32" s="427"/>
      <c r="C32" s="427"/>
      <c r="D32" s="427"/>
      <c r="E32" s="427"/>
      <c r="F32" s="427"/>
      <c r="G32" s="427"/>
      <c r="H32" s="427"/>
      <c r="I32" s="427"/>
      <c r="J32" s="427"/>
      <c r="K32" s="427"/>
      <c r="L32" s="427"/>
      <c r="M32" s="427"/>
      <c r="N32" s="427"/>
      <c r="O32" s="427"/>
      <c r="P32" s="427"/>
      <c r="Q32" s="427"/>
      <c r="R32" s="427"/>
      <c r="S32" s="427"/>
      <c r="T32" s="427"/>
      <c r="U32" s="427"/>
      <c r="V32" s="427"/>
      <c r="W32" s="427"/>
      <c r="X32" s="427"/>
      <c r="Y32" s="427"/>
      <c r="Z32" s="427"/>
      <c r="AA32" s="427"/>
      <c r="AB32" s="427"/>
      <c r="AC32" s="427"/>
      <c r="AD32" s="427"/>
      <c r="AE32" s="427"/>
      <c r="AF32" s="427"/>
      <c r="AG32" s="427"/>
      <c r="AH32" s="427"/>
      <c r="AI32" s="427"/>
      <c r="AJ32" s="427"/>
      <c r="AK32" s="427"/>
      <c r="AL32" s="434" t="s">
        <v>2</v>
      </c>
      <c r="AM32" s="434"/>
      <c r="AN32" s="434"/>
      <c r="AO32" s="98" t="s">
        <v>0</v>
      </c>
      <c r="AP32" s="435" t="str">
        <f>AP13</f>
        <v/>
      </c>
      <c r="AQ32" s="435"/>
      <c r="AR32" s="435"/>
      <c r="AS32" s="435"/>
      <c r="AT32" s="435"/>
      <c r="AU32" s="435"/>
      <c r="AV32" s="435"/>
      <c r="AW32" s="435"/>
      <c r="AX32" s="434" t="s">
        <v>16</v>
      </c>
      <c r="AY32" s="434"/>
      <c r="AZ32" s="434"/>
      <c r="BA32" s="98" t="s">
        <v>0</v>
      </c>
      <c r="BB32" s="419">
        <f>'Time Log 1'!S30</f>
        <v>0.33333333333333331</v>
      </c>
      <c r="BC32" s="419"/>
      <c r="BD32" s="419"/>
      <c r="BE32" s="419"/>
      <c r="BF32" s="419"/>
      <c r="BG32" s="419"/>
      <c r="BH32" s="419"/>
      <c r="BI32" s="419"/>
      <c r="BJ32" s="434" t="s">
        <v>425</v>
      </c>
      <c r="BK32" s="434"/>
      <c r="BL32" s="434"/>
      <c r="BM32" s="434"/>
      <c r="BN32" s="434"/>
      <c r="BO32" s="434"/>
      <c r="BP32" s="434"/>
      <c r="BQ32" s="98" t="s">
        <v>0</v>
      </c>
      <c r="BR32" s="434" t="s">
        <v>430</v>
      </c>
      <c r="BS32" s="434"/>
      <c r="BT32" s="434"/>
      <c r="BU32" s="434"/>
      <c r="BV32" s="434"/>
      <c r="BW32" s="434"/>
      <c r="BX32" s="434"/>
      <c r="BY32" s="434"/>
      <c r="BZ32" s="434"/>
      <c r="CA32" s="434"/>
      <c r="CB32" s="434"/>
      <c r="CC32" s="434"/>
      <c r="CD32" s="434"/>
      <c r="CE32" s="434"/>
      <c r="CF32" s="434"/>
      <c r="CG32" s="434"/>
      <c r="CI32" s="116">
        <v>34</v>
      </c>
      <c r="CJ32" s="117">
        <v>-140</v>
      </c>
      <c r="CK32" s="53">
        <f>(CL32-CJ32)/(CL31-CJ31)*(CK31-CJ31)+CJ32</f>
        <v>-140</v>
      </c>
      <c r="CL32" s="118">
        <v>-140</v>
      </c>
      <c r="CP32" s="91"/>
      <c r="CR32" s="91"/>
      <c r="CS32" s="91"/>
      <c r="CY32" s="91"/>
      <c r="DW32" s="91"/>
      <c r="DX32" s="91"/>
    </row>
    <row r="33" spans="1:132" ht="11.45" customHeight="1" x14ac:dyDescent="0.2">
      <c r="A33" s="436"/>
      <c r="B33" s="436"/>
      <c r="C33" s="436"/>
      <c r="D33" s="436"/>
      <c r="E33" s="436"/>
      <c r="F33" s="436"/>
      <c r="G33" s="436" t="s">
        <v>196</v>
      </c>
      <c r="H33" s="436"/>
      <c r="I33" s="436"/>
      <c r="J33" s="436"/>
      <c r="K33" s="436"/>
      <c r="L33" s="436"/>
      <c r="M33" s="4" t="s">
        <v>0</v>
      </c>
      <c r="N33" s="421">
        <v>2</v>
      </c>
      <c r="O33" s="421"/>
      <c r="P33" s="421"/>
      <c r="Q33" s="421"/>
      <c r="R33" s="421"/>
      <c r="S33" s="421"/>
      <c r="T33" s="421" t="s">
        <v>192</v>
      </c>
      <c r="U33" s="421"/>
      <c r="V33" s="421"/>
      <c r="W33" s="421"/>
      <c r="X33" s="437"/>
      <c r="Y33" s="437"/>
      <c r="Z33" s="437"/>
      <c r="AA33" s="437"/>
      <c r="AB33" s="437"/>
      <c r="AC33" s="437"/>
      <c r="AD33" s="433" t="s">
        <v>427</v>
      </c>
      <c r="AE33" s="433"/>
      <c r="AF33" s="433"/>
      <c r="AG33" s="4" t="s">
        <v>0</v>
      </c>
      <c r="AH33" s="421">
        <f>IF(OR(N33="",N34=""),"",(N34-N33))</f>
        <v>1</v>
      </c>
      <c r="AI33" s="421"/>
      <c r="AJ33" s="421"/>
      <c r="AK33" s="421"/>
      <c r="AL33" s="421"/>
      <c r="AM33" s="420" t="str">
        <f>T33</f>
        <v xml:space="preserve"> M</v>
      </c>
      <c r="AN33" s="420"/>
      <c r="AO33" s="420"/>
      <c r="AP33" s="420"/>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89" t="s">
        <v>0</v>
      </c>
      <c r="BN33" s="436" t="s">
        <v>93</v>
      </c>
      <c r="BO33" s="436"/>
      <c r="BP33" s="436"/>
      <c r="BQ33" s="436"/>
      <c r="BR33" s="436"/>
      <c r="BS33" s="436"/>
      <c r="BT33" s="436"/>
      <c r="BU33" s="436"/>
      <c r="BV33" s="436"/>
      <c r="BW33" s="436"/>
      <c r="BX33" s="436"/>
      <c r="BY33" s="436"/>
      <c r="BZ33" s="436"/>
      <c r="CA33" s="436"/>
      <c r="CB33" s="436"/>
      <c r="CC33" s="436"/>
      <c r="CD33" s="436"/>
      <c r="CE33" s="436"/>
      <c r="CF33" s="436"/>
      <c r="CG33" s="436"/>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422"/>
      <c r="B34" s="422"/>
      <c r="C34" s="422"/>
      <c r="D34" s="422"/>
      <c r="E34" s="422"/>
      <c r="F34" s="422"/>
      <c r="G34" s="422" t="s">
        <v>426</v>
      </c>
      <c r="H34" s="422"/>
      <c r="I34" s="422"/>
      <c r="J34" s="422"/>
      <c r="K34" s="422"/>
      <c r="L34" s="422"/>
      <c r="M34" s="4" t="s">
        <v>0</v>
      </c>
      <c r="N34" s="431">
        <v>3</v>
      </c>
      <c r="O34" s="431"/>
      <c r="P34" s="431"/>
      <c r="Q34" s="431"/>
      <c r="R34" s="431"/>
      <c r="S34" s="431"/>
      <c r="T34" s="432" t="str">
        <f>T33</f>
        <v xml:space="preserve"> M</v>
      </c>
      <c r="U34" s="432"/>
      <c r="V34" s="432"/>
      <c r="W34" s="432"/>
      <c r="X34" s="438"/>
      <c r="Y34" s="438"/>
      <c r="Z34" s="438"/>
      <c r="AA34" s="438"/>
      <c r="AB34" s="438"/>
      <c r="AC34" s="438"/>
      <c r="AD34" s="439" t="s">
        <v>428</v>
      </c>
      <c r="AE34" s="439"/>
      <c r="AF34" s="439"/>
      <c r="AG34" s="4" t="s">
        <v>0</v>
      </c>
      <c r="AH34" s="422">
        <v>0</v>
      </c>
      <c r="AI34" s="422"/>
      <c r="AJ34" s="422"/>
      <c r="AK34" s="422"/>
      <c r="AL34" s="422"/>
      <c r="AM34" s="422"/>
      <c r="AN34" s="422"/>
      <c r="AO34" s="422"/>
      <c r="AP34" s="42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89" t="s">
        <v>0</v>
      </c>
      <c r="BN34" s="422" t="s">
        <v>93</v>
      </c>
      <c r="BO34" s="422"/>
      <c r="BP34" s="422"/>
      <c r="BQ34" s="422"/>
      <c r="BR34" s="422"/>
      <c r="BS34" s="422"/>
      <c r="BT34" s="422"/>
      <c r="BU34" s="422"/>
      <c r="BV34" s="422"/>
      <c r="BW34" s="422"/>
      <c r="BX34" s="422"/>
      <c r="BY34" s="422"/>
      <c r="BZ34" s="422"/>
      <c r="CA34" s="422"/>
      <c r="CB34" s="422"/>
      <c r="CC34" s="422"/>
      <c r="CD34" s="422"/>
      <c r="CE34" s="422"/>
      <c r="CF34" s="422"/>
      <c r="CG34" s="42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IF(P17="","",P17)</f>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8">IF(A18="","",A18)</f>
        <v>3P</v>
      </c>
      <c r="B37" s="346"/>
      <c r="C37" s="346"/>
      <c r="D37" s="346"/>
      <c r="E37" s="346"/>
      <c r="F37" s="346"/>
      <c r="G37" s="346"/>
      <c r="H37" s="346"/>
      <c r="I37" s="318" t="str">
        <f t="shared" ref="I37:I48" si="39">IF(I18="","",I18)</f>
        <v>LSMGO</v>
      </c>
      <c r="J37" s="318"/>
      <c r="K37" s="318"/>
      <c r="L37" s="318"/>
      <c r="M37" s="318"/>
      <c r="N37" s="318"/>
      <c r="O37" s="318"/>
      <c r="P37" s="313">
        <f>IF(P18="","",P18)</f>
        <v>0.83579999999999999</v>
      </c>
      <c r="Q37" s="313"/>
      <c r="R37" s="313"/>
      <c r="S37" s="313"/>
      <c r="T37" s="313"/>
      <c r="U37" s="308">
        <f t="shared" ref="U37:U48" si="40">IF(U18="","",U18)</f>
        <v>4.18</v>
      </c>
      <c r="V37" s="308"/>
      <c r="W37" s="308"/>
      <c r="X37" s="308"/>
      <c r="Y37" s="308"/>
      <c r="Z37" s="308">
        <v>0</v>
      </c>
      <c r="AA37" s="308"/>
      <c r="AB37" s="308"/>
      <c r="AC37" s="309"/>
      <c r="AD37" s="308"/>
      <c r="AE37" s="308">
        <v>0</v>
      </c>
      <c r="AF37" s="308"/>
      <c r="AG37" s="308"/>
      <c r="AH37" s="309"/>
      <c r="AI37" s="308"/>
      <c r="AJ37" s="308">
        <v>0</v>
      </c>
      <c r="AK37" s="308"/>
      <c r="AL37" s="308"/>
      <c r="AM37" s="308"/>
      <c r="AN37" s="308"/>
      <c r="AO37" s="308">
        <v>0</v>
      </c>
      <c r="AP37" s="308"/>
      <c r="AQ37" s="308"/>
      <c r="AR37" s="309"/>
      <c r="AS37" s="308"/>
      <c r="AT37" s="308">
        <v>0</v>
      </c>
      <c r="AU37" s="308"/>
      <c r="AV37" s="308"/>
      <c r="AW37" s="308"/>
      <c r="AX37" s="308"/>
      <c r="AY37" s="312">
        <v>15</v>
      </c>
      <c r="AZ37" s="312"/>
      <c r="BA37" s="312"/>
      <c r="BB37" s="312"/>
      <c r="BC37" s="312"/>
      <c r="BD37" s="311">
        <f>IF(OR(AJ37="",AT37=""),"",AJ37-AT37)</f>
        <v>0</v>
      </c>
      <c r="BE37" s="311"/>
      <c r="BF37" s="311"/>
      <c r="BG37" s="311"/>
      <c r="BH37" s="311"/>
      <c r="BI37" s="310">
        <f t="shared" ref="BI37:BI48" si="41">IF(OR(AY37="",P37=""),"",IF($CN$53=1,DW37,IF($CN$53=2,DY37,IF($CN$53=3,EA37,IF($CN$53=4,DX37,IF($CN$53=5,DZ37,IF($CN$53=6,EB37)))))))</f>
        <v>1</v>
      </c>
      <c r="BJ37" s="310"/>
      <c r="BK37" s="310"/>
      <c r="BL37" s="310"/>
      <c r="BM37" s="310"/>
      <c r="BN37" s="311">
        <f t="shared" ref="BN37:BN48" si="42">IF(OR(BD37="",BI37=""),"",BD37*BI37)</f>
        <v>0</v>
      </c>
      <c r="BO37" s="311"/>
      <c r="BP37" s="311"/>
      <c r="BQ37" s="311"/>
      <c r="BR37" s="311"/>
      <c r="BS37" s="332">
        <f t="shared" ref="BS37:BS48" si="43">IF(OR(BD37="",P37="",BI37=""),"",ROUND((DS37-0.0011),4))</f>
        <v>0.8347</v>
      </c>
      <c r="BT37" s="332"/>
      <c r="BU37" s="332"/>
      <c r="BV37" s="332"/>
      <c r="BW37" s="332"/>
      <c r="BX37" s="311">
        <f t="shared" ref="BX37:BX48" si="44">IF(OR(BD37="",P37="",BI37=""),"",IF($AJ$17=$CN$34,ROUND(BN37*BS37,3),ROUND(CS37*BI37*BS37,3)))</f>
        <v>0</v>
      </c>
      <c r="BY37" s="311"/>
      <c r="BZ37" s="311"/>
      <c r="CA37" s="311"/>
      <c r="CB37" s="311"/>
      <c r="CC37" s="311">
        <f t="shared" ref="CC37:CC48" si="45">IF(OR(BD37="",P37="",BI37=""),"",IF($AJ$17=$CN$34,ROUND(BN37*DQ37,3),ROUND(CS37*BI37*DQ37,3)))</f>
        <v>0</v>
      </c>
      <c r="CD37" s="311"/>
      <c r="CE37" s="311"/>
      <c r="CF37" s="311"/>
      <c r="CG37" s="311"/>
      <c r="CH37" s="55"/>
      <c r="CP37" s="107">
        <f t="shared" ref="CP37:CP48" si="46">IF(OR(AY37="",BD37=""),0,AY37*BD37)</f>
        <v>0</v>
      </c>
      <c r="CR37" s="28">
        <f t="shared" ref="CR37:CR48" si="47">IF($BD$17=$CN$35,BD37,(BD37*6.28981))</f>
        <v>0</v>
      </c>
      <c r="CS37" s="29">
        <f t="shared" ref="CS37:CS48" si="48">IF($BD$17=$CN$34,BD37,(BD37/6.28981))</f>
        <v>0</v>
      </c>
      <c r="CU37" s="30">
        <f t="shared" ref="CU37:CU48" si="49">IF($AY$17=$CN$40,AY37,(AY37*1.8+32))</f>
        <v>59</v>
      </c>
      <c r="CV37" s="31">
        <f t="shared" ref="CV37:CV48" si="50">ROUND(CU37*2,0)/2</f>
        <v>59</v>
      </c>
      <c r="CW37" s="32">
        <f>ROUND(CU37,1)</f>
        <v>59</v>
      </c>
      <c r="CX37" s="33">
        <f>(1.8*((((CW37-32)/1.8)-((-0.148759+((-0.267408+((1.08076+((1.269056+((-4.089591+((-1.871251+((7.438081+(-3.536296*(((CW37-32)/1.8)/630)))*(((CW37-32)/1.8)/630)))*(((CW37-32)/1.8)/630)))*(((CW37-32)/1.8)/630)))*(((CW37-32)/1.8)/630)))*(((CW37-32)/1.8)/630)))*(((CW37-32)/1.8)/630)))*(((CW37-32)/1.8)/630)))))+32</f>
        <v>59.006621316269118</v>
      </c>
      <c r="CY37" s="26"/>
      <c r="CZ37" s="30">
        <f t="shared" ref="CZ37:CZ48" si="51">IF($AY$17=$CN$39,AY37,(AY37-32)/1.8)</f>
        <v>15</v>
      </c>
      <c r="DA37" s="28">
        <f t="shared" ref="DA37:DA48" si="52">ROUND(CZ37*4,0)/4</f>
        <v>15</v>
      </c>
      <c r="DB37" s="34">
        <f>ROUND(CZ37,1)</f>
        <v>15</v>
      </c>
      <c r="DC37" s="33">
        <f>DB37-((-0.148759+((-0.267408+((1.08076+((1.269056+((-4.089591+((-1.871251+((7.438081+(-3.536296*(DB37/630)))*(DB37/630)))*(DB37/630)))*(DB37/630)))*(DB37/630)))*(DB37/630)))*(DB37/630)))*(DB37/630))</f>
        <v>15.003678509038402</v>
      </c>
      <c r="DD37" s="35"/>
      <c r="DE37" s="30">
        <f t="shared" ref="DE37:DE48" si="53">IF($P$16=$CN$18,P37,(141.5/DK37)-131.5)</f>
        <v>37.716216148275123</v>
      </c>
      <c r="DF37" s="31">
        <f t="shared" ref="DF37:DF48" si="54">ROUND(DE37*2,0)/2</f>
        <v>37.5</v>
      </c>
      <c r="DG37" s="32">
        <f>ROUND(DE37,1)</f>
        <v>37.700000000000003</v>
      </c>
      <c r="DH37" s="33">
        <f>(141.5/(DG37+131.5))*999.016</f>
        <v>835.46550827423175</v>
      </c>
      <c r="DI37" s="33">
        <f>DH37*(1+((EXP(((0.01374979547/2)*(((103.872/DH37)+0.2701)*(1/DH37)))*(1+(0.8*((0.01374979547/2)*(((103.872/DH37)+0.2701)*(1/DH37))))))-1)/(1+(((0.01374979547/2)*(((103.872/DH37)+0.2701)*(1/DH37)))*(1+(1.6*((0.01374979547/2)*(((103.872/DH37)+0.2701)*(1/DH37)))))*(((2*103.872)+(0.2701+DH37))/(103.872+(0.2701*DH37)))))))</f>
        <v>835.46821991197794</v>
      </c>
      <c r="DK37" s="36">
        <f t="shared" ref="DK37:DK48" si="55">IF($P$16=$CN$19,P37,IF($P$16=$CN$18,141.5/(P37+131.5),DQ37*ROUND(EXP(-(186.9696/(((TRUNC(5*(DQ37*100)+0.5)/5)*0.01)*1000)^2+0.4862/(((TRUNC(5*(DQ37*100)+0.5)/5)*0.01)*1000))*(0.56)*(1+0.8*(186.9696/(((TRUNC(5*(DQ37*100)+0.5)/5)*0.01)*1000)^2+0.4862/(((TRUNC(5*(DQ37*100)+0.5)/5)*0.01)*1000))*0.56)),4)/0.999012))</f>
        <v>0.83620827377448925</v>
      </c>
      <c r="DL37" s="37">
        <f>ROUND(DK37*5,2)/5</f>
        <v>0.83599999999999997</v>
      </c>
      <c r="DM37" s="38">
        <f>ROUND(DK37,4)</f>
        <v>0.83620000000000005</v>
      </c>
      <c r="DN37" s="33">
        <f>DM37*999.016</f>
        <v>835.3771792</v>
      </c>
      <c r="DO37" s="33">
        <f>DN37*(1+((EXP(((0.01374979547/2)*(((103.872/DN37)+0.2701)*(1/DN37)))*(1+(0.8*((0.01374979547/2)*(((103.872/DN37)+0.2701)*(1/DN37))))))-1)/(1+(((0.01374979547/2)*(((103.872/DN37)+0.2701)*(1/DN37)))*(1+(1.6*((0.01374979547/2)*(((103.872/DN37)+0.2701)*(1/DN37)))))*(((2*103.872)+(0.2701+DN37))/(103.872+(0.2701*DN37)))))))</f>
        <v>835.37989092812052</v>
      </c>
      <c r="DQ37" s="36">
        <f t="shared" ref="DQ37:DQ48" si="56">IF($P$16=$CN$20,P37,DK37*0.999012*ROUND(EXP(-((103.872/((((TRUNC(5*(DK37*100)+0.5)/5)*0.01)*999.012)^2))+(0.2701/(((TRUNC(5*(DK37*100)+0.5)/5)*0.01)*999.012)))*(-1)*(1+(0.8*((103.872/((((TRUNC(5*(DK37*100)+0.5)/5)*0.01)*999.012)^2))+(0.2701/(((TRUNC(5*(DK37*100)+0.5)/5)*0.01)*999.012)))*(-1)))),4))</f>
        <v>0.83579999999999999</v>
      </c>
      <c r="DR37" s="39">
        <f>ROUND(DQ37*5,2)/5</f>
        <v>0.83599999999999997</v>
      </c>
      <c r="DS37" s="38">
        <f>ROUND(DQ37,4)</f>
        <v>0.83579999999999999</v>
      </c>
      <c r="DT37" s="33">
        <f>DS37*1000</f>
        <v>835.8</v>
      </c>
      <c r="DU37" s="33">
        <f>DT37*(1+((EXP(((0.01374979547/2)*(((186.9696/DT37)+0.4862)*(1/DT37)))*(1+(0.8*((0.01374979547/2)*(((186.9696/DT37)+0.4862)*(1/DT37))))))-1)/(1+(((0.01374979547/2)*(((186.9696/DT37)+0.4862)*(1/DT37)))*(1+(1.6*((0.01374979547/2)*(((186.9696/DT37)+0.4862)*(1/DT37)))))*(((2*186.9696)+(0.4862+DT37))/(186.9696+(0.4862*DT37)))))))</f>
        <v>835.80488047819847</v>
      </c>
      <c r="DW37" s="38">
        <f>ROUND(EXP(-((103.872/(((141.5/(DF37+131.5))*999.012)^2))+(0.2701/((141.5/(DF37+131.5))*999.012)))*(CV37-60)*(1+(0.8*((103.872/(((141.5/(DF37+131.5))*999.012)^2))+(0.2701/((141.5/(DF37+131.5))*999.012)))*(CV37-60)))),4)</f>
        <v>1.0004999999999999</v>
      </c>
      <c r="DX37" s="40">
        <f>ROUND(EXP(-(((103.872/DI37)+0.2701)*(1/DI37))*(CX37-60.0068749)*(1+(0.8*(((103.872/DI37)+0.2701)*(1/DI37))*((CX37-60.0068749)+0.01374979547)))),5)</f>
        <v>1.00047</v>
      </c>
      <c r="DY37" s="36">
        <f>ROUND(EXP(-((103.872/((DL37*999.012)^2))+(0.2701/(DL37*999.012)))*(CV37-60)*(1+(0.8*((103.872/((DL37*999.012)^2))+(0.2701/(DL37*999.012)))*(CV37-60)))),4)</f>
        <v>1.0004999999999999</v>
      </c>
      <c r="DZ37" s="40">
        <f>ROUND(EXP(-(((103.872/DO37)+0.2701)*(1/DO37))*(CX37-60.0068749)*(1+(0.8*(((103.872/DO37)+0.2701)*(1/DO37))*((CX37-60.0068749)+0.01374979547)))),5)</f>
        <v>1.00047</v>
      </c>
      <c r="EA37" s="36">
        <f>ROUND(EXP(-((186.9696/((DR37*1000)^2))+(0.4862/(DR37*1000)))*(DA37-15)*(1+(0.8*((186.9696/((DR37*1000)^2))+(0.4862/(DR37*1000)))*(DA37-15)))),4)</f>
        <v>1</v>
      </c>
      <c r="EB37" s="40">
        <f>ROUND(EXP(-((((186.9696/DU37)+0.4862)*(1/DU37)))*(DC37-15.00367851)*(1+(0.8*((((186.9696/DU37)+0.4862)*(1/DU37)))*((DC37-15.00367851)+0.01374979547)))),5)</f>
        <v>1</v>
      </c>
    </row>
    <row r="38" spans="1:132" ht="11.45" customHeight="1" x14ac:dyDescent="0.2">
      <c r="A38" s="346" t="str">
        <f t="shared" si="38"/>
        <v>3S</v>
      </c>
      <c r="B38" s="346"/>
      <c r="C38" s="346"/>
      <c r="D38" s="346"/>
      <c r="E38" s="346"/>
      <c r="F38" s="346"/>
      <c r="G38" s="346"/>
      <c r="H38" s="346"/>
      <c r="I38" s="318" t="str">
        <f t="shared" si="39"/>
        <v>LSMGO</v>
      </c>
      <c r="J38" s="318"/>
      <c r="K38" s="318"/>
      <c r="L38" s="318"/>
      <c r="M38" s="318"/>
      <c r="N38" s="318"/>
      <c r="O38" s="318"/>
      <c r="P38" s="313">
        <f t="shared" ref="P38:P48" si="57">IF(P19="","",P19)</f>
        <v>0.83579999999999999</v>
      </c>
      <c r="Q38" s="313"/>
      <c r="R38" s="313"/>
      <c r="S38" s="313"/>
      <c r="T38" s="313"/>
      <c r="U38" s="308">
        <f t="shared" si="40"/>
        <v>4.2</v>
      </c>
      <c r="V38" s="308"/>
      <c r="W38" s="308"/>
      <c r="X38" s="308"/>
      <c r="Y38" s="308"/>
      <c r="Z38" s="308">
        <v>0</v>
      </c>
      <c r="AA38" s="308"/>
      <c r="AB38" s="308"/>
      <c r="AC38" s="309"/>
      <c r="AD38" s="308"/>
      <c r="AE38" s="308">
        <v>0</v>
      </c>
      <c r="AF38" s="308"/>
      <c r="AG38" s="308"/>
      <c r="AH38" s="309"/>
      <c r="AI38" s="308"/>
      <c r="AJ38" s="308">
        <v>0</v>
      </c>
      <c r="AK38" s="308"/>
      <c r="AL38" s="308"/>
      <c r="AM38" s="308"/>
      <c r="AN38" s="308"/>
      <c r="AO38" s="308">
        <v>0</v>
      </c>
      <c r="AP38" s="308"/>
      <c r="AQ38" s="308"/>
      <c r="AR38" s="309"/>
      <c r="AS38" s="308"/>
      <c r="AT38" s="308">
        <v>0</v>
      </c>
      <c r="AU38" s="308"/>
      <c r="AV38" s="308"/>
      <c r="AW38" s="308"/>
      <c r="AX38" s="308"/>
      <c r="AY38" s="312">
        <v>15</v>
      </c>
      <c r="AZ38" s="312"/>
      <c r="BA38" s="312"/>
      <c r="BB38" s="312"/>
      <c r="BC38" s="312"/>
      <c r="BD38" s="311">
        <f t="shared" ref="BD38:BD48" si="58">IF(OR(AJ38="",AT38=""),"",AJ38-AT38)</f>
        <v>0</v>
      </c>
      <c r="BE38" s="311"/>
      <c r="BF38" s="311"/>
      <c r="BG38" s="311"/>
      <c r="BH38" s="311"/>
      <c r="BI38" s="310">
        <f t="shared" si="41"/>
        <v>1</v>
      </c>
      <c r="BJ38" s="310"/>
      <c r="BK38" s="310"/>
      <c r="BL38" s="310"/>
      <c r="BM38" s="310"/>
      <c r="BN38" s="311">
        <f t="shared" si="42"/>
        <v>0</v>
      </c>
      <c r="BO38" s="311"/>
      <c r="BP38" s="311"/>
      <c r="BQ38" s="311"/>
      <c r="BR38" s="311"/>
      <c r="BS38" s="332">
        <f t="shared" si="43"/>
        <v>0.8347</v>
      </c>
      <c r="BT38" s="332"/>
      <c r="BU38" s="332"/>
      <c r="BV38" s="332"/>
      <c r="BW38" s="332"/>
      <c r="BX38" s="311">
        <f t="shared" si="44"/>
        <v>0</v>
      </c>
      <c r="BY38" s="311"/>
      <c r="BZ38" s="311"/>
      <c r="CA38" s="311"/>
      <c r="CB38" s="311"/>
      <c r="CC38" s="311">
        <f t="shared" si="45"/>
        <v>0</v>
      </c>
      <c r="CD38" s="311"/>
      <c r="CE38" s="311"/>
      <c r="CF38" s="311"/>
      <c r="CG38" s="311"/>
      <c r="CH38" s="55"/>
      <c r="CN38" s="1" t="s">
        <v>220</v>
      </c>
      <c r="CP38" s="87">
        <f t="shared" si="46"/>
        <v>0</v>
      </c>
      <c r="CR38" s="28">
        <f t="shared" si="47"/>
        <v>0</v>
      </c>
      <c r="CS38" s="29">
        <f t="shared" si="48"/>
        <v>0</v>
      </c>
      <c r="CU38" s="28">
        <f t="shared" si="49"/>
        <v>59</v>
      </c>
      <c r="CV38" s="31">
        <f t="shared" si="50"/>
        <v>59</v>
      </c>
      <c r="CW38" s="32">
        <f>ROUND(CU38,1)</f>
        <v>59</v>
      </c>
      <c r="CX38" s="32">
        <f t="shared" ref="CX38:CX48" si="59">(1.8*((((CW38-32)/1.8)-((-0.148759+((-0.267408+((1.08076+((1.269056+((-4.089591+((-1.871251+((7.438081+(-3.536296*(((CW38-32)/1.8)/630)))*(((CW38-32)/1.8)/630)))*(((CW38-32)/1.8)/630)))*(((CW38-32)/1.8)/630)))*(((CW38-32)/1.8)/630)))*(((CW38-32)/1.8)/630)))*(((CW38-32)/1.8)/630)))*(((CW38-32)/1.8)/630)))))+32</f>
        <v>59.006621316269118</v>
      </c>
      <c r="CY38" s="26"/>
      <c r="CZ38" s="28">
        <f t="shared" si="51"/>
        <v>15</v>
      </c>
      <c r="DA38" s="28">
        <f t="shared" si="52"/>
        <v>15</v>
      </c>
      <c r="DB38" s="34">
        <f>ROUND(CZ38,1)</f>
        <v>15</v>
      </c>
      <c r="DC38" s="32">
        <f t="shared" ref="DC38:DC48" si="60">DB38-((-0.148759+((-0.267408+((1.08076+((1.269056+((-4.089591+((-1.871251+((7.438081+(-3.536296*(DB38/630)))*(DB38/630)))*(DB38/630)))*(DB38/630)))*(DB38/630)))*(DB38/630)))*(DB38/630)))*(DB38/630))</f>
        <v>15.003678509038402</v>
      </c>
      <c r="DD38" s="35"/>
      <c r="DE38" s="28">
        <f t="shared" si="53"/>
        <v>37.716216148275123</v>
      </c>
      <c r="DF38" s="31">
        <f t="shared" si="54"/>
        <v>37.5</v>
      </c>
      <c r="DG38" s="32">
        <f>ROUND(DE38,1)</f>
        <v>37.700000000000003</v>
      </c>
      <c r="DH38" s="32">
        <f t="shared" ref="DH38:DH48" si="61">(141.5/(DG38+131.5))*999.016</f>
        <v>835.46550827423175</v>
      </c>
      <c r="DI38" s="32">
        <f t="shared" ref="DI38:DI48" si="62">DH38*(1+((EXP(((0.01374979547/2)*(((103.872/DH38)+0.2701)*(1/DH38)))*(1+(0.8*((0.01374979547/2)*(((103.872/DH38)+0.2701)*(1/DH38))))))-1)/(1+(((0.01374979547/2)*(((103.872/DH38)+0.2701)*(1/DH38)))*(1+(1.6*((0.01374979547/2)*(((103.872/DH38)+0.2701)*(1/DH38)))))*(((2*103.872)+(0.2701+DH38))/(103.872+(0.2701*DH38)))))))</f>
        <v>835.46821991197794</v>
      </c>
      <c r="DK38" s="38">
        <f t="shared" si="55"/>
        <v>0.83620827377448925</v>
      </c>
      <c r="DL38" s="41">
        <f>ROUND(DK38*5,2)/5</f>
        <v>0.83599999999999997</v>
      </c>
      <c r="DM38" s="38">
        <f>ROUND(DK38,4)</f>
        <v>0.83620000000000005</v>
      </c>
      <c r="DN38" s="32">
        <f t="shared" ref="DN38:DN48" si="63">DM38*999.016</f>
        <v>835.3771792</v>
      </c>
      <c r="DO38" s="32">
        <f>DN38*(1+((EXP(((0.01374979547/2)*(((103.872/DN38)+0.2701)*(1/DN38)))*(1+(0.8*((0.01374979547/2)*(((103.872/DN38)+0.2701)*(1/DN38))))))-1)/(1+(((0.01374979547/2)*(((103.872/DN38)+0.2701)*(1/DN38)))*(1+(1.6*((0.01374979547/2)*(((103.872/DN38)+0.2701)*(1/DN38)))))*(((2*103.872)+(0.2701+DN38))/(103.872+(0.2701*DN38)))))))</f>
        <v>835.37989092812052</v>
      </c>
      <c r="DQ38" s="38">
        <f t="shared" si="56"/>
        <v>0.83579999999999999</v>
      </c>
      <c r="DR38" s="29">
        <f>ROUND(DQ38*5,2)/5</f>
        <v>0.83599999999999997</v>
      </c>
      <c r="DS38" s="38">
        <f>ROUND(DQ38,4)</f>
        <v>0.83579999999999999</v>
      </c>
      <c r="DT38" s="32">
        <f t="shared" ref="DT38:DT48" si="64">DS38*1000</f>
        <v>835.8</v>
      </c>
      <c r="DU38" s="32">
        <f t="shared" ref="DU38:DU48" si="65">DT38*(1+((EXP(((0.01374979547/2)*(((186.9696/DT38)+0.4862)*(1/DT38)))*(1+(0.8*((0.01374979547/2)*(((186.9696/DT38)+0.4862)*(1/DT38))))))-1)/(1+(((0.01374979547/2)*(((186.9696/DT38)+0.4862)*(1/DT38)))*(1+(1.6*((0.01374979547/2)*(((186.9696/DT38)+0.4862)*(1/DT38)))))*(((2*186.9696)+(0.4862+DT38))/(186.9696+(0.4862*DT38)))))))</f>
        <v>835.80488047819847</v>
      </c>
      <c r="DW38" s="38">
        <f>ROUND(EXP(-((103.872/(((141.5/(DF38+131.5))*999.012)^2))+(0.2701/((141.5/(DF38+131.5))*999.012)))*(CV38-60)*(1+(0.8*((103.872/(((141.5/(DF38+131.5))*999.012)^2))+(0.2701/((141.5/(DF38+131.5))*999.012)))*(CV38-60)))),4)</f>
        <v>1.0004999999999999</v>
      </c>
      <c r="DX38" s="42">
        <f>ROUND(EXP(-(((103.872/DI38)+0.2701)*(1/DI38))*(CX38-60.0068749)*(1+(0.8*(((103.872/DI38)+0.2701)*(1/DI38))*((CX38-60.0068749)+0.01374979547)))),5)</f>
        <v>1.00047</v>
      </c>
      <c r="DY38" s="38">
        <f>ROUND(EXP(-((103.872/((DL38*999.012)^2))+(0.2701/(DL38*999.012)))*(CV38-60)*(1+(0.8*((103.872/((DL38*999.012)^2))+(0.2701/(DL38*999.012)))*(CV38-60)))),4)</f>
        <v>1.0004999999999999</v>
      </c>
      <c r="DZ38" s="42">
        <f>ROUND(EXP(-(((103.872/DO38)+0.2701)*(1/DO38))*(CX38-60.0068749)*(1+(0.8*(((103.872/DO38)+0.2701)*(1/DO38))*((CX38-60.0068749)+0.01374979547)))),5)</f>
        <v>1.00047</v>
      </c>
      <c r="EA38" s="38">
        <f>ROUND(EXP(-((186.9696/((DR38*1000)^2))+(0.4862/(DR38*1000)))*(DA38-15)*(1+(0.8*((186.9696/((DR38*1000)^2))+(0.4862/(DR38*1000)))*(DA38-15)))),4)</f>
        <v>1</v>
      </c>
      <c r="EB38" s="42">
        <f>ROUND(EXP(-((((186.9696/DU38)+0.4862)*(1/DU38)))*(DC38-15.00367851)*(1+(0.8*((((186.9696/DU38)+0.4862)*(1/DU38)))*((DC38-15.00367851)+0.01374979547)))),5)</f>
        <v>1</v>
      </c>
    </row>
    <row r="39" spans="1:132" ht="11.45" customHeight="1" x14ac:dyDescent="0.2">
      <c r="A39" s="346" t="str">
        <f t="shared" si="38"/>
        <v>4P</v>
      </c>
      <c r="B39" s="346"/>
      <c r="C39" s="346"/>
      <c r="D39" s="346"/>
      <c r="E39" s="346"/>
      <c r="F39" s="346"/>
      <c r="G39" s="346"/>
      <c r="H39" s="346"/>
      <c r="I39" s="318" t="str">
        <f t="shared" si="39"/>
        <v>LSMGO</v>
      </c>
      <c r="J39" s="318"/>
      <c r="K39" s="318"/>
      <c r="L39" s="318"/>
      <c r="M39" s="318"/>
      <c r="N39" s="318"/>
      <c r="O39" s="318"/>
      <c r="P39" s="313">
        <f t="shared" si="57"/>
        <v>0.83579999999999999</v>
      </c>
      <c r="Q39" s="313"/>
      <c r="R39" s="313"/>
      <c r="S39" s="313"/>
      <c r="T39" s="313"/>
      <c r="U39" s="308">
        <f t="shared" si="40"/>
        <v>4.2</v>
      </c>
      <c r="V39" s="308"/>
      <c r="W39" s="308"/>
      <c r="X39" s="308"/>
      <c r="Y39" s="308"/>
      <c r="Z39" s="308">
        <v>0</v>
      </c>
      <c r="AA39" s="308"/>
      <c r="AB39" s="308"/>
      <c r="AC39" s="309"/>
      <c r="AD39" s="308"/>
      <c r="AE39" s="308">
        <v>0</v>
      </c>
      <c r="AF39" s="308"/>
      <c r="AG39" s="308"/>
      <c r="AH39" s="309"/>
      <c r="AI39" s="308"/>
      <c r="AJ39" s="308">
        <v>0</v>
      </c>
      <c r="AK39" s="308"/>
      <c r="AL39" s="308"/>
      <c r="AM39" s="308"/>
      <c r="AN39" s="308"/>
      <c r="AO39" s="308">
        <v>0</v>
      </c>
      <c r="AP39" s="308"/>
      <c r="AQ39" s="308"/>
      <c r="AR39" s="309"/>
      <c r="AS39" s="308"/>
      <c r="AT39" s="308">
        <v>0</v>
      </c>
      <c r="AU39" s="308"/>
      <c r="AV39" s="308"/>
      <c r="AW39" s="308"/>
      <c r="AX39" s="308"/>
      <c r="AY39" s="312">
        <v>15</v>
      </c>
      <c r="AZ39" s="312"/>
      <c r="BA39" s="312"/>
      <c r="BB39" s="312"/>
      <c r="BC39" s="312"/>
      <c r="BD39" s="311">
        <f t="shared" si="58"/>
        <v>0</v>
      </c>
      <c r="BE39" s="311"/>
      <c r="BF39" s="311"/>
      <c r="BG39" s="311"/>
      <c r="BH39" s="311"/>
      <c r="BI39" s="310">
        <f t="shared" si="41"/>
        <v>1</v>
      </c>
      <c r="BJ39" s="310"/>
      <c r="BK39" s="310"/>
      <c r="BL39" s="310"/>
      <c r="BM39" s="310"/>
      <c r="BN39" s="311">
        <f t="shared" si="42"/>
        <v>0</v>
      </c>
      <c r="BO39" s="311"/>
      <c r="BP39" s="311"/>
      <c r="BQ39" s="311"/>
      <c r="BR39" s="311"/>
      <c r="BS39" s="332">
        <f t="shared" si="43"/>
        <v>0.8347</v>
      </c>
      <c r="BT39" s="332"/>
      <c r="BU39" s="332"/>
      <c r="BV39" s="332"/>
      <c r="BW39" s="332"/>
      <c r="BX39" s="311">
        <f t="shared" si="44"/>
        <v>0</v>
      </c>
      <c r="BY39" s="311"/>
      <c r="BZ39" s="311"/>
      <c r="CA39" s="311"/>
      <c r="CB39" s="311"/>
      <c r="CC39" s="311">
        <f t="shared" si="45"/>
        <v>0</v>
      </c>
      <c r="CD39" s="311"/>
      <c r="CE39" s="311"/>
      <c r="CF39" s="311"/>
      <c r="CG39" s="311"/>
      <c r="CH39" s="55"/>
      <c r="CI39" s="323" t="s">
        <v>176</v>
      </c>
      <c r="CJ39" s="324"/>
      <c r="CK39" s="324"/>
      <c r="CL39" s="325"/>
      <c r="CN39" s="107" t="s">
        <v>56</v>
      </c>
      <c r="CP39" s="87">
        <f t="shared" si="46"/>
        <v>0</v>
      </c>
      <c r="CR39" s="28">
        <f t="shared" si="47"/>
        <v>0</v>
      </c>
      <c r="CS39" s="29">
        <f t="shared" si="48"/>
        <v>0</v>
      </c>
      <c r="CU39" s="28">
        <f t="shared" si="49"/>
        <v>59</v>
      </c>
      <c r="CV39" s="31">
        <f>ROUND(CU39*2,0)/2</f>
        <v>59</v>
      </c>
      <c r="CW39" s="32">
        <f t="shared" ref="CW39:CW47" si="66">ROUND(CU39,1)</f>
        <v>59</v>
      </c>
      <c r="CX39" s="32">
        <f t="shared" si="59"/>
        <v>59.006621316269118</v>
      </c>
      <c r="CY39" s="26"/>
      <c r="CZ39" s="28">
        <f t="shared" si="51"/>
        <v>15</v>
      </c>
      <c r="DA39" s="28">
        <f t="shared" si="52"/>
        <v>15</v>
      </c>
      <c r="DB39" s="34">
        <f t="shared" ref="DB39:DB47" si="67">ROUND(CZ39,1)</f>
        <v>15</v>
      </c>
      <c r="DC39" s="32">
        <f t="shared" si="60"/>
        <v>15.003678509038402</v>
      </c>
      <c r="DD39" s="35"/>
      <c r="DE39" s="28">
        <f t="shared" si="53"/>
        <v>37.716216148275123</v>
      </c>
      <c r="DF39" s="31">
        <f t="shared" si="54"/>
        <v>37.5</v>
      </c>
      <c r="DG39" s="32">
        <f t="shared" ref="DG39:DG47" si="68">ROUND(DE39,1)</f>
        <v>37.700000000000003</v>
      </c>
      <c r="DH39" s="32">
        <f t="shared" si="61"/>
        <v>835.46550827423175</v>
      </c>
      <c r="DI39" s="32">
        <f t="shared" si="62"/>
        <v>835.46821991197794</v>
      </c>
      <c r="DK39" s="38">
        <f t="shared" si="55"/>
        <v>0.83620827377448925</v>
      </c>
      <c r="DL39" s="41">
        <f t="shared" ref="DL39:DL47" si="69">ROUND(DK39*5,2)/5</f>
        <v>0.83599999999999997</v>
      </c>
      <c r="DM39" s="38">
        <f t="shared" ref="DM39:DM47" si="70">ROUND(DK39,4)</f>
        <v>0.83620000000000005</v>
      </c>
      <c r="DN39" s="32">
        <f t="shared" si="63"/>
        <v>835.3771792</v>
      </c>
      <c r="DO39" s="32">
        <f t="shared" ref="DO39:DO47" si="71">DN39*(1+((EXP(((0.01374979547/2)*(((103.872/DN39)+0.2701)*(1/DN39)))*(1+(0.8*((0.01374979547/2)*(((103.872/DN39)+0.2701)*(1/DN39))))))-1)/(1+(((0.01374979547/2)*(((103.872/DN39)+0.2701)*(1/DN39)))*(1+(1.6*((0.01374979547/2)*(((103.872/DN39)+0.2701)*(1/DN39)))))*(((2*103.872)+(0.2701+DN39))/(103.872+(0.2701*DN39)))))))</f>
        <v>835.37989092812052</v>
      </c>
      <c r="DQ39" s="38">
        <f t="shared" si="56"/>
        <v>0.83579999999999999</v>
      </c>
      <c r="DR39" s="29">
        <f t="shared" ref="DR39:DR47" si="72">ROUND(DQ39*5,2)/5</f>
        <v>0.83599999999999997</v>
      </c>
      <c r="DS39" s="38">
        <f t="shared" ref="DS39:DS47" si="73">ROUND(DQ39,4)</f>
        <v>0.83579999999999999</v>
      </c>
      <c r="DT39" s="32">
        <f t="shared" si="64"/>
        <v>835.8</v>
      </c>
      <c r="DU39" s="32">
        <f t="shared" si="65"/>
        <v>835.80488047819847</v>
      </c>
      <c r="DW39" s="38">
        <f t="shared" ref="DW39:DW47" si="74">ROUND(EXP(-((103.872/(((141.5/(DF39+131.5))*999.012)^2))+(0.2701/((141.5/(DF39+131.5))*999.012)))*(CV39-60)*(1+(0.8*((103.872/(((141.5/(DF39+131.5))*999.012)^2))+(0.2701/((141.5/(DF39+131.5))*999.012)))*(CV39-60)))),4)</f>
        <v>1.0004999999999999</v>
      </c>
      <c r="DX39" s="42">
        <f t="shared" ref="DX39:DX47" si="75">ROUND(EXP(-(((103.872/DI39)+0.2701)*(1/DI39))*(CX39-60.0068749)*(1+(0.8*(((103.872/DI39)+0.2701)*(1/DI39))*((CX39-60.0068749)+0.01374979547)))),5)</f>
        <v>1.00047</v>
      </c>
      <c r="DY39" s="38">
        <f t="shared" ref="DY39:DY47" si="76">ROUND(EXP(-((103.872/((DL39*999.012)^2))+(0.2701/(DL39*999.012)))*(CV39-60)*(1+(0.8*((103.872/((DL39*999.012)^2))+(0.2701/(DL39*999.012)))*(CV39-60)))),4)</f>
        <v>1.0004999999999999</v>
      </c>
      <c r="DZ39" s="42">
        <f t="shared" ref="DZ39:DZ47" si="77">ROUND(EXP(-(((103.872/DO39)+0.2701)*(1/DO39))*(CX39-60.0068749)*(1+(0.8*(((103.872/DO39)+0.2701)*(1/DO39))*((CX39-60.0068749)+0.01374979547)))),5)</f>
        <v>1.00047</v>
      </c>
      <c r="EA39" s="38">
        <f t="shared" ref="EA39:EA47" si="78">ROUND(EXP(-((186.9696/((DR39*1000)^2))+(0.4862/(DR39*1000)))*(DA39-15)*(1+(0.8*((186.9696/((DR39*1000)^2))+(0.4862/(DR39*1000)))*(DA39-15)))),4)</f>
        <v>1</v>
      </c>
      <c r="EB39" s="42">
        <f t="shared" ref="EB39:EB47" si="79">ROUND(EXP(-((((186.9696/DU39)+0.4862)*(1/DU39)))*(DC39-15.00367851)*(1+(0.8*((((186.9696/DU39)+0.4862)*(1/DU39)))*((DC39-15.00367851)+0.01374979547)))),5)</f>
        <v>1</v>
      </c>
    </row>
    <row r="40" spans="1:132" ht="11.45" customHeight="1" x14ac:dyDescent="0.2">
      <c r="A40" s="346" t="str">
        <f t="shared" si="38"/>
        <v>4S</v>
      </c>
      <c r="B40" s="346"/>
      <c r="C40" s="346"/>
      <c r="D40" s="346"/>
      <c r="E40" s="346"/>
      <c r="F40" s="346"/>
      <c r="G40" s="346"/>
      <c r="H40" s="346"/>
      <c r="I40" s="318" t="str">
        <f t="shared" si="39"/>
        <v>LSMGO</v>
      </c>
      <c r="J40" s="318"/>
      <c r="K40" s="318"/>
      <c r="L40" s="318"/>
      <c r="M40" s="318"/>
      <c r="N40" s="318"/>
      <c r="O40" s="318"/>
      <c r="P40" s="313">
        <f t="shared" si="57"/>
        <v>0.83579999999999999</v>
      </c>
      <c r="Q40" s="313"/>
      <c r="R40" s="313"/>
      <c r="S40" s="313"/>
      <c r="T40" s="313"/>
      <c r="U40" s="308">
        <f t="shared" si="40"/>
        <v>4.1900000000000004</v>
      </c>
      <c r="V40" s="308"/>
      <c r="W40" s="308"/>
      <c r="X40" s="308"/>
      <c r="Y40" s="308"/>
      <c r="Z40" s="308">
        <v>0</v>
      </c>
      <c r="AA40" s="308"/>
      <c r="AB40" s="308"/>
      <c r="AC40" s="309"/>
      <c r="AD40" s="308"/>
      <c r="AE40" s="308">
        <v>0</v>
      </c>
      <c r="AF40" s="308"/>
      <c r="AG40" s="308"/>
      <c r="AH40" s="309"/>
      <c r="AI40" s="308"/>
      <c r="AJ40" s="308">
        <v>0</v>
      </c>
      <c r="AK40" s="308"/>
      <c r="AL40" s="308"/>
      <c r="AM40" s="308"/>
      <c r="AN40" s="308"/>
      <c r="AO40" s="308">
        <v>0</v>
      </c>
      <c r="AP40" s="308"/>
      <c r="AQ40" s="308"/>
      <c r="AR40" s="309"/>
      <c r="AS40" s="308"/>
      <c r="AT40" s="308">
        <v>0</v>
      </c>
      <c r="AU40" s="308"/>
      <c r="AV40" s="308"/>
      <c r="AW40" s="308"/>
      <c r="AX40" s="308"/>
      <c r="AY40" s="312">
        <v>15</v>
      </c>
      <c r="AZ40" s="312"/>
      <c r="BA40" s="312"/>
      <c r="BB40" s="312"/>
      <c r="BC40" s="312"/>
      <c r="BD40" s="311">
        <f t="shared" si="58"/>
        <v>0</v>
      </c>
      <c r="BE40" s="311"/>
      <c r="BF40" s="311"/>
      <c r="BG40" s="311"/>
      <c r="BH40" s="311"/>
      <c r="BI40" s="310">
        <f t="shared" si="41"/>
        <v>1</v>
      </c>
      <c r="BJ40" s="310"/>
      <c r="BK40" s="310"/>
      <c r="BL40" s="310"/>
      <c r="BM40" s="310"/>
      <c r="BN40" s="311">
        <f t="shared" si="42"/>
        <v>0</v>
      </c>
      <c r="BO40" s="311"/>
      <c r="BP40" s="311"/>
      <c r="BQ40" s="311"/>
      <c r="BR40" s="311"/>
      <c r="BS40" s="332">
        <f t="shared" si="43"/>
        <v>0.8347</v>
      </c>
      <c r="BT40" s="332"/>
      <c r="BU40" s="332"/>
      <c r="BV40" s="332"/>
      <c r="BW40" s="332"/>
      <c r="BX40" s="311">
        <f t="shared" si="44"/>
        <v>0</v>
      </c>
      <c r="BY40" s="311"/>
      <c r="BZ40" s="311"/>
      <c r="CA40" s="311"/>
      <c r="CB40" s="311"/>
      <c r="CC40" s="311">
        <f t="shared" si="45"/>
        <v>0</v>
      </c>
      <c r="CD40" s="311"/>
      <c r="CE40" s="311"/>
      <c r="CF40" s="311"/>
      <c r="CG40" s="311"/>
      <c r="CH40" s="55"/>
      <c r="CI40" s="326"/>
      <c r="CJ40" s="327"/>
      <c r="CK40" s="327"/>
      <c r="CL40" s="328"/>
      <c r="CN40" s="2" t="s">
        <v>57</v>
      </c>
      <c r="CP40" s="87">
        <f t="shared" si="46"/>
        <v>0</v>
      </c>
      <c r="CR40" s="28">
        <f t="shared" si="47"/>
        <v>0</v>
      </c>
      <c r="CS40" s="29">
        <f t="shared" si="48"/>
        <v>0</v>
      </c>
      <c r="CU40" s="28">
        <f t="shared" si="49"/>
        <v>59</v>
      </c>
      <c r="CV40" s="31">
        <f t="shared" si="50"/>
        <v>59</v>
      </c>
      <c r="CW40" s="32">
        <f>ROUND(CU40,1)</f>
        <v>59</v>
      </c>
      <c r="CX40" s="32">
        <f>(1.8*((((CW40-32)/1.8)-((-0.148759+((-0.267408+((1.08076+((1.269056+((-4.089591+((-1.871251+((7.438081+(-3.536296*(((CW40-32)/1.8)/630)))*(((CW40-32)/1.8)/630)))*(((CW40-32)/1.8)/630)))*(((CW40-32)/1.8)/630)))*(((CW40-32)/1.8)/630)))*(((CW40-32)/1.8)/630)))*(((CW40-32)/1.8)/630)))*(((CW40-32)/1.8)/630)))))+32</f>
        <v>59.006621316269118</v>
      </c>
      <c r="CY40" s="26"/>
      <c r="CZ40" s="28">
        <f t="shared" si="51"/>
        <v>15</v>
      </c>
      <c r="DA40" s="28">
        <f t="shared" si="52"/>
        <v>15</v>
      </c>
      <c r="DB40" s="34">
        <f t="shared" si="67"/>
        <v>15</v>
      </c>
      <c r="DC40" s="32">
        <f t="shared" si="60"/>
        <v>15.003678509038402</v>
      </c>
      <c r="DD40" s="35"/>
      <c r="DE40" s="28">
        <f t="shared" si="53"/>
        <v>37.716216148275123</v>
      </c>
      <c r="DF40" s="31">
        <f t="shared" si="54"/>
        <v>37.5</v>
      </c>
      <c r="DG40" s="32">
        <f t="shared" si="68"/>
        <v>37.700000000000003</v>
      </c>
      <c r="DH40" s="32">
        <f t="shared" si="61"/>
        <v>835.46550827423175</v>
      </c>
      <c r="DI40" s="32">
        <f t="shared" si="62"/>
        <v>835.46821991197794</v>
      </c>
      <c r="DK40" s="38">
        <f t="shared" si="55"/>
        <v>0.83620827377448925</v>
      </c>
      <c r="DL40" s="41">
        <f t="shared" si="69"/>
        <v>0.83599999999999997</v>
      </c>
      <c r="DM40" s="38">
        <f t="shared" si="70"/>
        <v>0.83620000000000005</v>
      </c>
      <c r="DN40" s="32">
        <f t="shared" si="63"/>
        <v>835.3771792</v>
      </c>
      <c r="DO40" s="32">
        <f t="shared" si="71"/>
        <v>835.37989092812052</v>
      </c>
      <c r="DQ40" s="38">
        <f t="shared" si="56"/>
        <v>0.83579999999999999</v>
      </c>
      <c r="DR40" s="29">
        <f t="shared" si="72"/>
        <v>0.83599999999999997</v>
      </c>
      <c r="DS40" s="38">
        <f t="shared" si="73"/>
        <v>0.83579999999999999</v>
      </c>
      <c r="DT40" s="32">
        <f t="shared" si="64"/>
        <v>835.8</v>
      </c>
      <c r="DU40" s="32">
        <f t="shared" si="65"/>
        <v>835.80488047819847</v>
      </c>
      <c r="DW40" s="38">
        <f t="shared" si="74"/>
        <v>1.0004999999999999</v>
      </c>
      <c r="DX40" s="42">
        <f t="shared" si="75"/>
        <v>1.00047</v>
      </c>
      <c r="DY40" s="38">
        <f t="shared" si="76"/>
        <v>1.0004999999999999</v>
      </c>
      <c r="DZ40" s="42">
        <f t="shared" si="77"/>
        <v>1.00047</v>
      </c>
      <c r="EA40" s="38">
        <f t="shared" si="78"/>
        <v>1</v>
      </c>
      <c r="EB40" s="42">
        <f t="shared" si="79"/>
        <v>1</v>
      </c>
    </row>
    <row r="41" spans="1:132" ht="11.45" customHeight="1" x14ac:dyDescent="0.2">
      <c r="A41" s="346" t="str">
        <f t="shared" si="38"/>
        <v>5P</v>
      </c>
      <c r="B41" s="346"/>
      <c r="C41" s="346"/>
      <c r="D41" s="346"/>
      <c r="E41" s="346"/>
      <c r="F41" s="346"/>
      <c r="G41" s="346"/>
      <c r="H41" s="346"/>
      <c r="I41" s="318" t="str">
        <f t="shared" si="39"/>
        <v>LSMGO</v>
      </c>
      <c r="J41" s="318"/>
      <c r="K41" s="318"/>
      <c r="L41" s="318"/>
      <c r="M41" s="318"/>
      <c r="N41" s="318"/>
      <c r="O41" s="318"/>
      <c r="P41" s="313">
        <f t="shared" si="57"/>
        <v>0.83579999999999999</v>
      </c>
      <c r="Q41" s="313"/>
      <c r="R41" s="313"/>
      <c r="S41" s="313"/>
      <c r="T41" s="313"/>
      <c r="U41" s="308">
        <f t="shared" si="40"/>
        <v>4.13</v>
      </c>
      <c r="V41" s="308"/>
      <c r="W41" s="308"/>
      <c r="X41" s="308"/>
      <c r="Y41" s="308"/>
      <c r="Z41" s="308">
        <v>0</v>
      </c>
      <c r="AA41" s="308"/>
      <c r="AB41" s="308"/>
      <c r="AC41" s="309"/>
      <c r="AD41" s="308"/>
      <c r="AE41" s="308">
        <v>0</v>
      </c>
      <c r="AF41" s="308"/>
      <c r="AG41" s="308"/>
      <c r="AH41" s="308"/>
      <c r="AI41" s="308"/>
      <c r="AJ41" s="308">
        <v>0</v>
      </c>
      <c r="AK41" s="308"/>
      <c r="AL41" s="308"/>
      <c r="AM41" s="308"/>
      <c r="AN41" s="308"/>
      <c r="AO41" s="308">
        <v>0</v>
      </c>
      <c r="AP41" s="308"/>
      <c r="AQ41" s="308"/>
      <c r="AR41" s="308"/>
      <c r="AS41" s="308"/>
      <c r="AT41" s="308">
        <v>0</v>
      </c>
      <c r="AU41" s="308"/>
      <c r="AV41" s="308"/>
      <c r="AW41" s="308"/>
      <c r="AX41" s="308"/>
      <c r="AY41" s="312">
        <v>15</v>
      </c>
      <c r="AZ41" s="312"/>
      <c r="BA41" s="312"/>
      <c r="BB41" s="312"/>
      <c r="BC41" s="312"/>
      <c r="BD41" s="311">
        <f t="shared" si="58"/>
        <v>0</v>
      </c>
      <c r="BE41" s="311"/>
      <c r="BF41" s="311"/>
      <c r="BG41" s="311"/>
      <c r="BH41" s="311"/>
      <c r="BI41" s="310">
        <f t="shared" si="41"/>
        <v>1</v>
      </c>
      <c r="BJ41" s="310"/>
      <c r="BK41" s="310"/>
      <c r="BL41" s="310"/>
      <c r="BM41" s="310"/>
      <c r="BN41" s="311">
        <f t="shared" si="42"/>
        <v>0</v>
      </c>
      <c r="BO41" s="311"/>
      <c r="BP41" s="311"/>
      <c r="BQ41" s="311"/>
      <c r="BR41" s="311"/>
      <c r="BS41" s="332">
        <f t="shared" si="43"/>
        <v>0.8347</v>
      </c>
      <c r="BT41" s="332"/>
      <c r="BU41" s="332"/>
      <c r="BV41" s="332"/>
      <c r="BW41" s="332"/>
      <c r="BX41" s="311">
        <f t="shared" si="44"/>
        <v>0</v>
      </c>
      <c r="BY41" s="311"/>
      <c r="BZ41" s="311"/>
      <c r="CA41" s="311"/>
      <c r="CB41" s="311"/>
      <c r="CC41" s="311">
        <f t="shared" si="45"/>
        <v>0</v>
      </c>
      <c r="CD41" s="311"/>
      <c r="CE41" s="311"/>
      <c r="CF41" s="311"/>
      <c r="CG41" s="311"/>
      <c r="CH41" s="55"/>
      <c r="CI41" s="108" t="s">
        <v>170</v>
      </c>
      <c r="CJ41" s="109"/>
      <c r="CK41" s="43">
        <f>AVERAGE(AY37:BC48)</f>
        <v>15</v>
      </c>
      <c r="CL41" s="21" t="s">
        <v>174</v>
      </c>
      <c r="CP41" s="87">
        <f t="shared" si="46"/>
        <v>0</v>
      </c>
      <c r="CR41" s="28">
        <f t="shared" si="47"/>
        <v>0</v>
      </c>
      <c r="CS41" s="29">
        <f t="shared" si="48"/>
        <v>0</v>
      </c>
      <c r="CU41" s="28">
        <f t="shared" si="49"/>
        <v>59</v>
      </c>
      <c r="CV41" s="31">
        <f t="shared" si="50"/>
        <v>59</v>
      </c>
      <c r="CW41" s="32">
        <f>ROUND(CU41,1)</f>
        <v>59</v>
      </c>
      <c r="CX41" s="32">
        <f t="shared" si="59"/>
        <v>59.006621316269118</v>
      </c>
      <c r="CY41" s="26"/>
      <c r="CZ41" s="28">
        <f t="shared" si="51"/>
        <v>15</v>
      </c>
      <c r="DA41" s="28">
        <f t="shared" si="52"/>
        <v>15</v>
      </c>
      <c r="DB41" s="34">
        <f t="shared" si="67"/>
        <v>15</v>
      </c>
      <c r="DC41" s="32">
        <f t="shared" si="60"/>
        <v>15.003678509038402</v>
      </c>
      <c r="DD41" s="35"/>
      <c r="DE41" s="28">
        <f t="shared" si="53"/>
        <v>37.716216148275123</v>
      </c>
      <c r="DF41" s="31">
        <f>ROUND(DE41*2,0)/2</f>
        <v>37.5</v>
      </c>
      <c r="DG41" s="32">
        <f t="shared" si="68"/>
        <v>37.700000000000003</v>
      </c>
      <c r="DH41" s="32">
        <f t="shared" si="61"/>
        <v>835.46550827423175</v>
      </c>
      <c r="DI41" s="32">
        <f t="shared" si="62"/>
        <v>835.46821991197794</v>
      </c>
      <c r="DK41" s="38">
        <f t="shared" si="55"/>
        <v>0.83620827377448925</v>
      </c>
      <c r="DL41" s="41">
        <f t="shared" si="69"/>
        <v>0.83599999999999997</v>
      </c>
      <c r="DM41" s="38">
        <f t="shared" si="70"/>
        <v>0.83620000000000005</v>
      </c>
      <c r="DN41" s="32">
        <f t="shared" si="63"/>
        <v>835.3771792</v>
      </c>
      <c r="DO41" s="32">
        <f t="shared" si="71"/>
        <v>835.37989092812052</v>
      </c>
      <c r="DQ41" s="38">
        <f t="shared" si="56"/>
        <v>0.83579999999999999</v>
      </c>
      <c r="DR41" s="29">
        <f t="shared" si="72"/>
        <v>0.83599999999999997</v>
      </c>
      <c r="DS41" s="38">
        <f t="shared" si="73"/>
        <v>0.83579999999999999</v>
      </c>
      <c r="DT41" s="32">
        <f t="shared" si="64"/>
        <v>835.8</v>
      </c>
      <c r="DU41" s="32">
        <f t="shared" si="65"/>
        <v>835.80488047819847</v>
      </c>
      <c r="DW41" s="38">
        <f t="shared" si="74"/>
        <v>1.0004999999999999</v>
      </c>
      <c r="DX41" s="42">
        <f t="shared" si="75"/>
        <v>1.00047</v>
      </c>
      <c r="DY41" s="38">
        <f t="shared" si="76"/>
        <v>1.0004999999999999</v>
      </c>
      <c r="DZ41" s="42">
        <f t="shared" si="77"/>
        <v>1.00047</v>
      </c>
      <c r="EA41" s="38">
        <f t="shared" si="78"/>
        <v>1</v>
      </c>
      <c r="EB41" s="42">
        <f t="shared" si="79"/>
        <v>1</v>
      </c>
    </row>
    <row r="42" spans="1:132" ht="11.45" customHeight="1" x14ac:dyDescent="0.2">
      <c r="A42" s="346" t="str">
        <f t="shared" si="38"/>
        <v>5S</v>
      </c>
      <c r="B42" s="346"/>
      <c r="C42" s="346"/>
      <c r="D42" s="346"/>
      <c r="E42" s="346"/>
      <c r="F42" s="346"/>
      <c r="G42" s="346"/>
      <c r="H42" s="346"/>
      <c r="I42" s="318" t="str">
        <f t="shared" si="39"/>
        <v>LSMGO</v>
      </c>
      <c r="J42" s="318"/>
      <c r="K42" s="318"/>
      <c r="L42" s="318"/>
      <c r="M42" s="318"/>
      <c r="N42" s="318"/>
      <c r="O42" s="318"/>
      <c r="P42" s="313">
        <f t="shared" si="57"/>
        <v>0.83579999999999999</v>
      </c>
      <c r="Q42" s="313"/>
      <c r="R42" s="313"/>
      <c r="S42" s="313"/>
      <c r="T42" s="313"/>
      <c r="U42" s="308">
        <f t="shared" si="40"/>
        <v>4.16</v>
      </c>
      <c r="V42" s="308"/>
      <c r="W42" s="308"/>
      <c r="X42" s="308"/>
      <c r="Y42" s="308"/>
      <c r="Z42" s="308">
        <v>0</v>
      </c>
      <c r="AA42" s="308"/>
      <c r="AB42" s="308"/>
      <c r="AC42" s="309"/>
      <c r="AD42" s="308"/>
      <c r="AE42" s="308">
        <v>0</v>
      </c>
      <c r="AF42" s="308"/>
      <c r="AG42" s="308"/>
      <c r="AH42" s="308"/>
      <c r="AI42" s="308"/>
      <c r="AJ42" s="308">
        <v>0</v>
      </c>
      <c r="AK42" s="308"/>
      <c r="AL42" s="308"/>
      <c r="AM42" s="308"/>
      <c r="AN42" s="308"/>
      <c r="AO42" s="308">
        <v>0</v>
      </c>
      <c r="AP42" s="308"/>
      <c r="AQ42" s="308"/>
      <c r="AR42" s="308"/>
      <c r="AS42" s="308"/>
      <c r="AT42" s="308">
        <v>0</v>
      </c>
      <c r="AU42" s="308"/>
      <c r="AV42" s="308"/>
      <c r="AW42" s="308"/>
      <c r="AX42" s="308"/>
      <c r="AY42" s="312">
        <v>15</v>
      </c>
      <c r="AZ42" s="312"/>
      <c r="BA42" s="312"/>
      <c r="BB42" s="312"/>
      <c r="BC42" s="312"/>
      <c r="BD42" s="311">
        <f t="shared" si="58"/>
        <v>0</v>
      </c>
      <c r="BE42" s="311"/>
      <c r="BF42" s="311"/>
      <c r="BG42" s="311"/>
      <c r="BH42" s="311"/>
      <c r="BI42" s="310">
        <f t="shared" si="41"/>
        <v>1</v>
      </c>
      <c r="BJ42" s="310"/>
      <c r="BK42" s="310"/>
      <c r="BL42" s="310"/>
      <c r="BM42" s="310"/>
      <c r="BN42" s="311">
        <f t="shared" si="42"/>
        <v>0</v>
      </c>
      <c r="BO42" s="311"/>
      <c r="BP42" s="311"/>
      <c r="BQ42" s="311"/>
      <c r="BR42" s="311"/>
      <c r="BS42" s="332">
        <f t="shared" si="43"/>
        <v>0.8347</v>
      </c>
      <c r="BT42" s="332"/>
      <c r="BU42" s="332"/>
      <c r="BV42" s="332"/>
      <c r="BW42" s="332"/>
      <c r="BX42" s="311">
        <f t="shared" si="44"/>
        <v>0</v>
      </c>
      <c r="BY42" s="311"/>
      <c r="BZ42" s="311"/>
      <c r="CA42" s="311"/>
      <c r="CB42" s="311"/>
      <c r="CC42" s="311">
        <f t="shared" si="45"/>
        <v>0</v>
      </c>
      <c r="CD42" s="311"/>
      <c r="CE42" s="311"/>
      <c r="CF42" s="311"/>
      <c r="CG42" s="311"/>
      <c r="CH42" s="55"/>
      <c r="CI42" s="9" t="s">
        <v>171</v>
      </c>
      <c r="CJ42" s="10"/>
      <c r="CK42" s="44" t="e">
        <f>SUM(CP37:CP48)/BD49</f>
        <v>#DIV/0!</v>
      </c>
      <c r="CL42" s="11" t="s">
        <v>174</v>
      </c>
      <c r="CP42" s="87">
        <f t="shared" si="46"/>
        <v>0</v>
      </c>
      <c r="CR42" s="28">
        <f t="shared" si="47"/>
        <v>0</v>
      </c>
      <c r="CS42" s="29">
        <f t="shared" si="48"/>
        <v>0</v>
      </c>
      <c r="CU42" s="28">
        <f t="shared" si="49"/>
        <v>59</v>
      </c>
      <c r="CV42" s="31">
        <f t="shared" si="50"/>
        <v>59</v>
      </c>
      <c r="CW42" s="32">
        <f>ROUND(CU42,1)</f>
        <v>59</v>
      </c>
      <c r="CX42" s="32">
        <f t="shared" si="59"/>
        <v>59.006621316269118</v>
      </c>
      <c r="CY42" s="26"/>
      <c r="CZ42" s="28">
        <f t="shared" si="51"/>
        <v>15</v>
      </c>
      <c r="DA42" s="28">
        <f t="shared" si="52"/>
        <v>15</v>
      </c>
      <c r="DB42" s="34">
        <f t="shared" si="67"/>
        <v>15</v>
      </c>
      <c r="DC42" s="32">
        <f t="shared" si="60"/>
        <v>15.003678509038402</v>
      </c>
      <c r="DD42" s="35"/>
      <c r="DE42" s="28">
        <f t="shared" si="53"/>
        <v>37.716216148275123</v>
      </c>
      <c r="DF42" s="31">
        <f t="shared" si="54"/>
        <v>37.5</v>
      </c>
      <c r="DG42" s="32">
        <f t="shared" si="68"/>
        <v>37.700000000000003</v>
      </c>
      <c r="DH42" s="32">
        <f t="shared" si="61"/>
        <v>835.46550827423175</v>
      </c>
      <c r="DI42" s="32">
        <f t="shared" si="62"/>
        <v>835.46821991197794</v>
      </c>
      <c r="DK42" s="38">
        <f t="shared" si="55"/>
        <v>0.83620827377448925</v>
      </c>
      <c r="DL42" s="41">
        <f t="shared" si="69"/>
        <v>0.83599999999999997</v>
      </c>
      <c r="DM42" s="38">
        <f t="shared" si="70"/>
        <v>0.83620000000000005</v>
      </c>
      <c r="DN42" s="32">
        <f t="shared" si="63"/>
        <v>835.3771792</v>
      </c>
      <c r="DO42" s="32">
        <f t="shared" si="71"/>
        <v>835.37989092812052</v>
      </c>
      <c r="DQ42" s="38">
        <f t="shared" si="56"/>
        <v>0.83579999999999999</v>
      </c>
      <c r="DR42" s="29">
        <f t="shared" si="72"/>
        <v>0.83599999999999997</v>
      </c>
      <c r="DS42" s="38">
        <f t="shared" si="73"/>
        <v>0.83579999999999999</v>
      </c>
      <c r="DT42" s="32">
        <f t="shared" si="64"/>
        <v>835.8</v>
      </c>
      <c r="DU42" s="32">
        <f t="shared" si="65"/>
        <v>835.80488047819847</v>
      </c>
      <c r="DW42" s="38">
        <f t="shared" si="74"/>
        <v>1.0004999999999999</v>
      </c>
      <c r="DX42" s="42">
        <f t="shared" si="75"/>
        <v>1.00047</v>
      </c>
      <c r="DY42" s="38">
        <f t="shared" si="76"/>
        <v>1.0004999999999999</v>
      </c>
      <c r="DZ42" s="42">
        <f t="shared" si="77"/>
        <v>1.00047</v>
      </c>
      <c r="EA42" s="38">
        <f t="shared" si="78"/>
        <v>1</v>
      </c>
      <c r="EB42" s="42">
        <f t="shared" si="79"/>
        <v>1</v>
      </c>
    </row>
    <row r="43" spans="1:132" ht="11.45" customHeight="1" x14ac:dyDescent="0.2">
      <c r="A43" s="346" t="str">
        <f t="shared" si="38"/>
        <v>6P</v>
      </c>
      <c r="B43" s="346"/>
      <c r="C43" s="346"/>
      <c r="D43" s="346"/>
      <c r="E43" s="346"/>
      <c r="F43" s="346"/>
      <c r="G43" s="346"/>
      <c r="H43" s="346"/>
      <c r="I43" s="318" t="str">
        <f t="shared" si="39"/>
        <v>LSMGO</v>
      </c>
      <c r="J43" s="318"/>
      <c r="K43" s="318"/>
      <c r="L43" s="318"/>
      <c r="M43" s="318"/>
      <c r="N43" s="318"/>
      <c r="O43" s="318"/>
      <c r="P43" s="313">
        <f t="shared" si="57"/>
        <v>0.83579999999999999</v>
      </c>
      <c r="Q43" s="313"/>
      <c r="R43" s="313"/>
      <c r="S43" s="313"/>
      <c r="T43" s="313"/>
      <c r="U43" s="308">
        <f t="shared" si="40"/>
        <v>4.1500000000000004</v>
      </c>
      <c r="V43" s="308"/>
      <c r="W43" s="308"/>
      <c r="X43" s="308"/>
      <c r="Y43" s="308"/>
      <c r="Z43" s="308">
        <v>0</v>
      </c>
      <c r="AA43" s="308"/>
      <c r="AB43" s="308"/>
      <c r="AC43" s="309"/>
      <c r="AD43" s="308"/>
      <c r="AE43" s="308">
        <v>0</v>
      </c>
      <c r="AF43" s="308"/>
      <c r="AG43" s="308"/>
      <c r="AH43" s="308"/>
      <c r="AI43" s="308"/>
      <c r="AJ43" s="308">
        <v>0</v>
      </c>
      <c r="AK43" s="308"/>
      <c r="AL43" s="308"/>
      <c r="AM43" s="308"/>
      <c r="AN43" s="308"/>
      <c r="AO43" s="308">
        <v>0</v>
      </c>
      <c r="AP43" s="308"/>
      <c r="AQ43" s="308"/>
      <c r="AR43" s="308"/>
      <c r="AS43" s="308"/>
      <c r="AT43" s="308">
        <v>0</v>
      </c>
      <c r="AU43" s="308"/>
      <c r="AV43" s="308"/>
      <c r="AW43" s="308"/>
      <c r="AX43" s="308"/>
      <c r="AY43" s="312">
        <v>15</v>
      </c>
      <c r="AZ43" s="312"/>
      <c r="BA43" s="312"/>
      <c r="BB43" s="312"/>
      <c r="BC43" s="312"/>
      <c r="BD43" s="311">
        <f t="shared" si="58"/>
        <v>0</v>
      </c>
      <c r="BE43" s="311"/>
      <c r="BF43" s="311"/>
      <c r="BG43" s="311"/>
      <c r="BH43" s="311"/>
      <c r="BI43" s="310">
        <f t="shared" si="41"/>
        <v>1</v>
      </c>
      <c r="BJ43" s="310"/>
      <c r="BK43" s="310"/>
      <c r="BL43" s="310"/>
      <c r="BM43" s="310"/>
      <c r="BN43" s="311">
        <f t="shared" si="42"/>
        <v>0</v>
      </c>
      <c r="BO43" s="311"/>
      <c r="BP43" s="311"/>
      <c r="BQ43" s="311"/>
      <c r="BR43" s="311"/>
      <c r="BS43" s="332">
        <f t="shared" si="43"/>
        <v>0.8347</v>
      </c>
      <c r="BT43" s="332"/>
      <c r="BU43" s="332"/>
      <c r="BV43" s="332"/>
      <c r="BW43" s="332"/>
      <c r="BX43" s="311">
        <f t="shared" si="44"/>
        <v>0</v>
      </c>
      <c r="BY43" s="311"/>
      <c r="BZ43" s="311"/>
      <c r="CA43" s="311"/>
      <c r="CB43" s="311"/>
      <c r="CC43" s="311">
        <f t="shared" si="45"/>
        <v>0</v>
      </c>
      <c r="CD43" s="311"/>
      <c r="CE43" s="311"/>
      <c r="CF43" s="311"/>
      <c r="CG43" s="311"/>
      <c r="CH43" s="55"/>
      <c r="CN43" s="1" t="s">
        <v>219</v>
      </c>
      <c r="CP43" s="87">
        <f t="shared" si="46"/>
        <v>0</v>
      </c>
      <c r="CR43" s="28">
        <f t="shared" si="47"/>
        <v>0</v>
      </c>
      <c r="CS43" s="29">
        <f t="shared" si="48"/>
        <v>0</v>
      </c>
      <c r="CU43" s="28">
        <f t="shared" si="49"/>
        <v>59</v>
      </c>
      <c r="CV43" s="31">
        <f t="shared" si="50"/>
        <v>59</v>
      </c>
      <c r="CW43" s="32">
        <f t="shared" si="66"/>
        <v>59</v>
      </c>
      <c r="CX43" s="32">
        <f t="shared" si="59"/>
        <v>59.006621316269118</v>
      </c>
      <c r="CY43" s="26"/>
      <c r="CZ43" s="28">
        <f t="shared" si="51"/>
        <v>15</v>
      </c>
      <c r="DA43" s="28">
        <f t="shared" si="52"/>
        <v>15</v>
      </c>
      <c r="DB43" s="34">
        <f t="shared" si="67"/>
        <v>15</v>
      </c>
      <c r="DC43" s="32">
        <f t="shared" si="60"/>
        <v>15.003678509038402</v>
      </c>
      <c r="DD43" s="35"/>
      <c r="DE43" s="28">
        <f t="shared" si="53"/>
        <v>37.716216148275123</v>
      </c>
      <c r="DF43" s="31">
        <f>ROUND(DE43*2,0)/2</f>
        <v>37.5</v>
      </c>
      <c r="DG43" s="32">
        <f t="shared" si="68"/>
        <v>37.700000000000003</v>
      </c>
      <c r="DH43" s="32">
        <f t="shared" si="61"/>
        <v>835.46550827423175</v>
      </c>
      <c r="DI43" s="32">
        <f t="shared" si="62"/>
        <v>835.46821991197794</v>
      </c>
      <c r="DK43" s="38">
        <f t="shared" si="55"/>
        <v>0.83620827377448925</v>
      </c>
      <c r="DL43" s="41">
        <f t="shared" si="69"/>
        <v>0.83599999999999997</v>
      </c>
      <c r="DM43" s="38">
        <f t="shared" si="70"/>
        <v>0.83620000000000005</v>
      </c>
      <c r="DN43" s="32">
        <f t="shared" si="63"/>
        <v>835.3771792</v>
      </c>
      <c r="DO43" s="32">
        <f t="shared" si="71"/>
        <v>835.37989092812052</v>
      </c>
      <c r="DQ43" s="38">
        <f t="shared" si="56"/>
        <v>0.83579999999999999</v>
      </c>
      <c r="DR43" s="29">
        <f t="shared" si="72"/>
        <v>0.83599999999999997</v>
      </c>
      <c r="DS43" s="38">
        <f t="shared" si="73"/>
        <v>0.83579999999999999</v>
      </c>
      <c r="DT43" s="32">
        <f t="shared" si="64"/>
        <v>835.8</v>
      </c>
      <c r="DU43" s="32">
        <f t="shared" si="65"/>
        <v>835.80488047819847</v>
      </c>
      <c r="DW43" s="38">
        <f t="shared" si="74"/>
        <v>1.0004999999999999</v>
      </c>
      <c r="DX43" s="42">
        <f t="shared" si="75"/>
        <v>1.00047</v>
      </c>
      <c r="DY43" s="38">
        <f t="shared" si="76"/>
        <v>1.0004999999999999</v>
      </c>
      <c r="DZ43" s="42">
        <f t="shared" si="77"/>
        <v>1.00047</v>
      </c>
      <c r="EA43" s="38">
        <f t="shared" si="78"/>
        <v>1</v>
      </c>
      <c r="EB43" s="42">
        <f t="shared" si="79"/>
        <v>1</v>
      </c>
    </row>
    <row r="44" spans="1:132" ht="11.45" customHeight="1" x14ac:dyDescent="0.2">
      <c r="A44" s="346" t="str">
        <f t="shared" si="38"/>
        <v>6S</v>
      </c>
      <c r="B44" s="346"/>
      <c r="C44" s="346"/>
      <c r="D44" s="346"/>
      <c r="E44" s="346"/>
      <c r="F44" s="346"/>
      <c r="G44" s="346"/>
      <c r="H44" s="346"/>
      <c r="I44" s="318" t="str">
        <f t="shared" si="39"/>
        <v>LSMGO</v>
      </c>
      <c r="J44" s="318"/>
      <c r="K44" s="318"/>
      <c r="L44" s="318"/>
      <c r="M44" s="318"/>
      <c r="N44" s="318"/>
      <c r="O44" s="318"/>
      <c r="P44" s="313">
        <f t="shared" si="57"/>
        <v>0.83579999999999999</v>
      </c>
      <c r="Q44" s="313"/>
      <c r="R44" s="313"/>
      <c r="S44" s="313"/>
      <c r="T44" s="313"/>
      <c r="U44" s="308">
        <f t="shared" si="40"/>
        <v>4.17</v>
      </c>
      <c r="V44" s="308"/>
      <c r="W44" s="308"/>
      <c r="X44" s="308"/>
      <c r="Y44" s="308"/>
      <c r="Z44" s="308">
        <v>0</v>
      </c>
      <c r="AA44" s="308"/>
      <c r="AB44" s="308"/>
      <c r="AC44" s="309"/>
      <c r="AD44" s="308"/>
      <c r="AE44" s="308">
        <v>0</v>
      </c>
      <c r="AF44" s="308"/>
      <c r="AG44" s="308"/>
      <c r="AH44" s="308"/>
      <c r="AI44" s="308"/>
      <c r="AJ44" s="308">
        <v>0</v>
      </c>
      <c r="AK44" s="308"/>
      <c r="AL44" s="308"/>
      <c r="AM44" s="308"/>
      <c r="AN44" s="308"/>
      <c r="AO44" s="308">
        <v>0</v>
      </c>
      <c r="AP44" s="308"/>
      <c r="AQ44" s="308"/>
      <c r="AR44" s="308"/>
      <c r="AS44" s="308"/>
      <c r="AT44" s="308">
        <v>0</v>
      </c>
      <c r="AU44" s="308"/>
      <c r="AV44" s="308"/>
      <c r="AW44" s="308"/>
      <c r="AX44" s="308"/>
      <c r="AY44" s="312">
        <v>15</v>
      </c>
      <c r="AZ44" s="312"/>
      <c r="BA44" s="312"/>
      <c r="BB44" s="312"/>
      <c r="BC44" s="312"/>
      <c r="BD44" s="311">
        <f t="shared" si="58"/>
        <v>0</v>
      </c>
      <c r="BE44" s="311"/>
      <c r="BF44" s="311"/>
      <c r="BG44" s="311"/>
      <c r="BH44" s="311"/>
      <c r="BI44" s="310">
        <f t="shared" si="41"/>
        <v>1</v>
      </c>
      <c r="BJ44" s="310"/>
      <c r="BK44" s="310"/>
      <c r="BL44" s="310"/>
      <c r="BM44" s="310"/>
      <c r="BN44" s="311">
        <f t="shared" si="42"/>
        <v>0</v>
      </c>
      <c r="BO44" s="311"/>
      <c r="BP44" s="311"/>
      <c r="BQ44" s="311"/>
      <c r="BR44" s="311"/>
      <c r="BS44" s="332">
        <f t="shared" si="43"/>
        <v>0.8347</v>
      </c>
      <c r="BT44" s="332"/>
      <c r="BU44" s="332"/>
      <c r="BV44" s="332"/>
      <c r="BW44" s="332"/>
      <c r="BX44" s="311">
        <f t="shared" si="44"/>
        <v>0</v>
      </c>
      <c r="BY44" s="311"/>
      <c r="BZ44" s="311"/>
      <c r="CA44" s="311"/>
      <c r="CB44" s="311"/>
      <c r="CC44" s="311">
        <f t="shared" si="45"/>
        <v>0</v>
      </c>
      <c r="CD44" s="311"/>
      <c r="CE44" s="311"/>
      <c r="CF44" s="311"/>
      <c r="CG44" s="311"/>
      <c r="CH44" s="55"/>
      <c r="CN44" s="107" t="s">
        <v>199</v>
      </c>
      <c r="CP44" s="87">
        <f t="shared" si="46"/>
        <v>0</v>
      </c>
      <c r="CR44" s="28">
        <f t="shared" si="47"/>
        <v>0</v>
      </c>
      <c r="CS44" s="29">
        <f t="shared" si="48"/>
        <v>0</v>
      </c>
      <c r="CU44" s="28">
        <f t="shared" si="49"/>
        <v>59</v>
      </c>
      <c r="CV44" s="31">
        <f t="shared" si="50"/>
        <v>59</v>
      </c>
      <c r="CW44" s="32">
        <f t="shared" si="66"/>
        <v>59</v>
      </c>
      <c r="CX44" s="32">
        <f t="shared" si="59"/>
        <v>59.006621316269118</v>
      </c>
      <c r="CY44" s="26"/>
      <c r="CZ44" s="28">
        <f t="shared" si="51"/>
        <v>15</v>
      </c>
      <c r="DA44" s="28">
        <f t="shared" si="52"/>
        <v>15</v>
      </c>
      <c r="DB44" s="34">
        <f t="shared" si="67"/>
        <v>15</v>
      </c>
      <c r="DC44" s="32">
        <f t="shared" si="60"/>
        <v>15.003678509038402</v>
      </c>
      <c r="DD44" s="35"/>
      <c r="DE44" s="28">
        <f t="shared" si="53"/>
        <v>37.716216148275123</v>
      </c>
      <c r="DF44" s="31">
        <f t="shared" si="54"/>
        <v>37.5</v>
      </c>
      <c r="DG44" s="32">
        <f t="shared" si="68"/>
        <v>37.700000000000003</v>
      </c>
      <c r="DH44" s="32">
        <f t="shared" si="61"/>
        <v>835.46550827423175</v>
      </c>
      <c r="DI44" s="32">
        <f t="shared" si="62"/>
        <v>835.46821991197794</v>
      </c>
      <c r="DK44" s="38">
        <f t="shared" si="55"/>
        <v>0.83620827377448925</v>
      </c>
      <c r="DL44" s="41">
        <f t="shared" si="69"/>
        <v>0.83599999999999997</v>
      </c>
      <c r="DM44" s="38">
        <f t="shared" si="70"/>
        <v>0.83620000000000005</v>
      </c>
      <c r="DN44" s="32">
        <f t="shared" si="63"/>
        <v>835.3771792</v>
      </c>
      <c r="DO44" s="32">
        <f t="shared" si="71"/>
        <v>835.37989092812052</v>
      </c>
      <c r="DQ44" s="38">
        <f t="shared" si="56"/>
        <v>0.83579999999999999</v>
      </c>
      <c r="DR44" s="29">
        <f t="shared" si="72"/>
        <v>0.83599999999999997</v>
      </c>
      <c r="DS44" s="38">
        <f t="shared" si="73"/>
        <v>0.83579999999999999</v>
      </c>
      <c r="DT44" s="32">
        <f t="shared" si="64"/>
        <v>835.8</v>
      </c>
      <c r="DU44" s="32">
        <f t="shared" si="65"/>
        <v>835.80488047819847</v>
      </c>
      <c r="DW44" s="38">
        <f t="shared" si="74"/>
        <v>1.0004999999999999</v>
      </c>
      <c r="DX44" s="42">
        <f t="shared" si="75"/>
        <v>1.00047</v>
      </c>
      <c r="DY44" s="38">
        <f t="shared" si="76"/>
        <v>1.0004999999999999</v>
      </c>
      <c r="DZ44" s="42">
        <f t="shared" si="77"/>
        <v>1.00047</v>
      </c>
      <c r="EA44" s="38">
        <f t="shared" si="78"/>
        <v>1</v>
      </c>
      <c r="EB44" s="42">
        <f t="shared" si="79"/>
        <v>1</v>
      </c>
    </row>
    <row r="45" spans="1:132" ht="11.45" customHeight="1" x14ac:dyDescent="0.2">
      <c r="A45" s="346" t="str">
        <f t="shared" si="38"/>
        <v/>
      </c>
      <c r="B45" s="346"/>
      <c r="C45" s="346"/>
      <c r="D45" s="346"/>
      <c r="E45" s="346"/>
      <c r="F45" s="346"/>
      <c r="G45" s="346"/>
      <c r="H45" s="346"/>
      <c r="I45" s="318" t="str">
        <f t="shared" si="39"/>
        <v/>
      </c>
      <c r="J45" s="318"/>
      <c r="K45" s="318"/>
      <c r="L45" s="318"/>
      <c r="M45" s="318"/>
      <c r="N45" s="318"/>
      <c r="O45" s="318"/>
      <c r="P45" s="313" t="str">
        <f t="shared" si="57"/>
        <v/>
      </c>
      <c r="Q45" s="313"/>
      <c r="R45" s="313"/>
      <c r="S45" s="313"/>
      <c r="T45" s="313"/>
      <c r="U45" s="308" t="str">
        <f t="shared" si="40"/>
        <v/>
      </c>
      <c r="V45" s="308"/>
      <c r="W45" s="308"/>
      <c r="X45" s="308"/>
      <c r="Y45" s="308"/>
      <c r="Z45" s="308"/>
      <c r="AA45" s="308"/>
      <c r="AB45" s="308"/>
      <c r="AC45" s="309"/>
      <c r="AD45" s="308"/>
      <c r="AE45" s="308"/>
      <c r="AF45" s="308"/>
      <c r="AG45" s="308"/>
      <c r="AH45" s="308"/>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t="str">
        <f t="shared" si="58"/>
        <v/>
      </c>
      <c r="BE45" s="311"/>
      <c r="BF45" s="311"/>
      <c r="BG45" s="311"/>
      <c r="BH45" s="311"/>
      <c r="BI45" s="310" t="str">
        <f t="shared" si="41"/>
        <v/>
      </c>
      <c r="BJ45" s="310"/>
      <c r="BK45" s="310"/>
      <c r="BL45" s="310"/>
      <c r="BM45" s="310"/>
      <c r="BN45" s="311" t="str">
        <f>IF(OR(BD45="",BI45=""),"",BD45*BI45)</f>
        <v/>
      </c>
      <c r="BO45" s="311"/>
      <c r="BP45" s="311"/>
      <c r="BQ45" s="311"/>
      <c r="BR45" s="311"/>
      <c r="BS45" s="332" t="str">
        <f t="shared" si="43"/>
        <v/>
      </c>
      <c r="BT45" s="332"/>
      <c r="BU45" s="332"/>
      <c r="BV45" s="332"/>
      <c r="BW45" s="332"/>
      <c r="BX45" s="311" t="str">
        <f t="shared" si="44"/>
        <v/>
      </c>
      <c r="BY45" s="311"/>
      <c r="BZ45" s="311"/>
      <c r="CA45" s="311"/>
      <c r="CB45" s="311"/>
      <c r="CC45" s="311" t="str">
        <f t="shared" si="45"/>
        <v/>
      </c>
      <c r="CD45" s="311"/>
      <c r="CE45" s="311"/>
      <c r="CF45" s="311"/>
      <c r="CG45" s="311"/>
      <c r="CH45" s="55"/>
      <c r="CN45" s="87" t="s">
        <v>200</v>
      </c>
      <c r="CP45" s="87">
        <f t="shared" si="46"/>
        <v>0</v>
      </c>
      <c r="CR45" s="28" t="e">
        <f t="shared" si="47"/>
        <v>#VALUE!</v>
      </c>
      <c r="CS45" s="29" t="str">
        <f t="shared" si="48"/>
        <v/>
      </c>
      <c r="CU45" s="28">
        <f t="shared" si="49"/>
        <v>32</v>
      </c>
      <c r="CV45" s="31">
        <f t="shared" si="50"/>
        <v>32</v>
      </c>
      <c r="CW45" s="32">
        <f t="shared" si="66"/>
        <v>32</v>
      </c>
      <c r="CX45" s="32">
        <f t="shared" si="59"/>
        <v>32</v>
      </c>
      <c r="CY45" s="26"/>
      <c r="CZ45" s="28">
        <f t="shared" si="51"/>
        <v>0</v>
      </c>
      <c r="DA45" s="28">
        <f t="shared" si="52"/>
        <v>0</v>
      </c>
      <c r="DB45" s="34">
        <f t="shared" si="67"/>
        <v>0</v>
      </c>
      <c r="DC45" s="32">
        <f t="shared" si="60"/>
        <v>0</v>
      </c>
      <c r="DD45" s="35"/>
      <c r="DE45" s="28" t="e">
        <f t="shared" si="53"/>
        <v>#VALUE!</v>
      </c>
      <c r="DF45" s="31" t="e">
        <f t="shared" si="54"/>
        <v>#VALUE!</v>
      </c>
      <c r="DG45" s="32" t="e">
        <f t="shared" si="68"/>
        <v>#VALUE!</v>
      </c>
      <c r="DH45" s="32" t="e">
        <f t="shared" si="61"/>
        <v>#VALUE!</v>
      </c>
      <c r="DI45" s="32" t="e">
        <f>DH45*(1+((EXP(((0.01374979547/2)*(((103.872/DH45)+0.2701)*(1/DH45)))*(1+(0.8*((0.01374979547/2)*(((103.872/DH45)+0.2701)*(1/DH45))))))-1)/(1+(((0.01374979547/2)*(((103.872/DH45)+0.2701)*(1/DH45)))*(1+(1.6*((0.01374979547/2)*(((103.872/DH45)+0.2701)*(1/DH45)))))*(((2*103.872)+(0.2701+DH45))/(103.872+(0.2701*DH45)))))))</f>
        <v>#VALUE!</v>
      </c>
      <c r="DK45" s="38" t="e">
        <f t="shared" si="55"/>
        <v>#VALUE!</v>
      </c>
      <c r="DL45" s="41" t="e">
        <f t="shared" si="69"/>
        <v>#VALUE!</v>
      </c>
      <c r="DM45" s="38" t="e">
        <f t="shared" si="70"/>
        <v>#VALUE!</v>
      </c>
      <c r="DN45" s="32" t="e">
        <f t="shared" si="63"/>
        <v>#VALUE!</v>
      </c>
      <c r="DO45" s="32" t="e">
        <f t="shared" si="71"/>
        <v>#VALUE!</v>
      </c>
      <c r="DQ45" s="38" t="str">
        <f t="shared" si="56"/>
        <v/>
      </c>
      <c r="DR45" s="29" t="e">
        <f t="shared" si="72"/>
        <v>#VALUE!</v>
      </c>
      <c r="DS45" s="38" t="e">
        <f t="shared" si="73"/>
        <v>#VALUE!</v>
      </c>
      <c r="DT45" s="32" t="e">
        <f t="shared" si="64"/>
        <v>#VALUE!</v>
      </c>
      <c r="DU45" s="32" t="e">
        <f t="shared" si="65"/>
        <v>#VALUE!</v>
      </c>
      <c r="DW45" s="38" t="e">
        <f t="shared" si="74"/>
        <v>#VALUE!</v>
      </c>
      <c r="DX45" s="42" t="e">
        <f t="shared" si="75"/>
        <v>#VALUE!</v>
      </c>
      <c r="DY45" s="38" t="e">
        <f t="shared" si="76"/>
        <v>#VALUE!</v>
      </c>
      <c r="DZ45" s="42" t="e">
        <f t="shared" si="77"/>
        <v>#VALUE!</v>
      </c>
      <c r="EA45" s="38" t="e">
        <f t="shared" si="78"/>
        <v>#VALUE!</v>
      </c>
      <c r="EB45" s="42" t="e">
        <f t="shared" si="79"/>
        <v>#VALUE!</v>
      </c>
    </row>
    <row r="46" spans="1:132" ht="11.45" customHeight="1" x14ac:dyDescent="0.2">
      <c r="A46" s="346" t="str">
        <f t="shared" si="38"/>
        <v/>
      </c>
      <c r="B46" s="346"/>
      <c r="C46" s="346"/>
      <c r="D46" s="346"/>
      <c r="E46" s="346"/>
      <c r="F46" s="346"/>
      <c r="G46" s="346"/>
      <c r="H46" s="346"/>
      <c r="I46" s="318" t="str">
        <f t="shared" si="39"/>
        <v/>
      </c>
      <c r="J46" s="318"/>
      <c r="K46" s="318"/>
      <c r="L46" s="318"/>
      <c r="M46" s="318"/>
      <c r="N46" s="318"/>
      <c r="O46" s="318"/>
      <c r="P46" s="313" t="str">
        <f t="shared" si="57"/>
        <v/>
      </c>
      <c r="Q46" s="313"/>
      <c r="R46" s="313"/>
      <c r="S46" s="313"/>
      <c r="T46" s="313"/>
      <c r="U46" s="308" t="str">
        <f t="shared" si="40"/>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si="58"/>
        <v/>
      </c>
      <c r="BE46" s="311"/>
      <c r="BF46" s="311"/>
      <c r="BG46" s="311"/>
      <c r="BH46" s="311"/>
      <c r="BI46" s="310" t="str">
        <f t="shared" si="41"/>
        <v/>
      </c>
      <c r="BJ46" s="310"/>
      <c r="BK46" s="310"/>
      <c r="BL46" s="310"/>
      <c r="BM46" s="310"/>
      <c r="BN46" s="311" t="str">
        <f t="shared" si="42"/>
        <v/>
      </c>
      <c r="BO46" s="311"/>
      <c r="BP46" s="311"/>
      <c r="BQ46" s="311"/>
      <c r="BR46" s="311"/>
      <c r="BS46" s="332" t="str">
        <f t="shared" si="43"/>
        <v/>
      </c>
      <c r="BT46" s="332"/>
      <c r="BU46" s="332"/>
      <c r="BV46" s="332"/>
      <c r="BW46" s="332"/>
      <c r="BX46" s="311" t="str">
        <f t="shared" si="44"/>
        <v/>
      </c>
      <c r="BY46" s="311"/>
      <c r="BZ46" s="311"/>
      <c r="CA46" s="311"/>
      <c r="CB46" s="311"/>
      <c r="CC46" s="311" t="str">
        <f t="shared" si="45"/>
        <v/>
      </c>
      <c r="CD46" s="311"/>
      <c r="CE46" s="311"/>
      <c r="CF46" s="311"/>
      <c r="CG46" s="311"/>
      <c r="CH46" s="55"/>
      <c r="CN46" s="87" t="s">
        <v>201</v>
      </c>
      <c r="CP46" s="87">
        <f t="shared" si="46"/>
        <v>0</v>
      </c>
      <c r="CR46" s="28" t="e">
        <f t="shared" si="47"/>
        <v>#VALUE!</v>
      </c>
      <c r="CS46" s="29" t="str">
        <f t="shared" si="48"/>
        <v/>
      </c>
      <c r="CU46" s="28">
        <f t="shared" si="49"/>
        <v>32</v>
      </c>
      <c r="CV46" s="31">
        <f t="shared" si="50"/>
        <v>32</v>
      </c>
      <c r="CW46" s="32">
        <f t="shared" si="66"/>
        <v>32</v>
      </c>
      <c r="CX46" s="32">
        <f t="shared" si="59"/>
        <v>32</v>
      </c>
      <c r="CY46" s="26"/>
      <c r="CZ46" s="28">
        <f t="shared" si="51"/>
        <v>0</v>
      </c>
      <c r="DA46" s="28">
        <f t="shared" si="52"/>
        <v>0</v>
      </c>
      <c r="DB46" s="34">
        <f t="shared" si="67"/>
        <v>0</v>
      </c>
      <c r="DC46" s="32">
        <f t="shared" si="60"/>
        <v>0</v>
      </c>
      <c r="DD46" s="35"/>
      <c r="DE46" s="28" t="e">
        <f t="shared" si="53"/>
        <v>#VALUE!</v>
      </c>
      <c r="DF46" s="31" t="e">
        <f t="shared" si="54"/>
        <v>#VALUE!</v>
      </c>
      <c r="DG46" s="32" t="e">
        <f t="shared" si="68"/>
        <v>#VALUE!</v>
      </c>
      <c r="DH46" s="32" t="e">
        <f t="shared" si="61"/>
        <v>#VALUE!</v>
      </c>
      <c r="DI46" s="32" t="e">
        <f t="shared" si="62"/>
        <v>#VALUE!</v>
      </c>
      <c r="DK46" s="38" t="e">
        <f t="shared" si="55"/>
        <v>#VALUE!</v>
      </c>
      <c r="DL46" s="41" t="e">
        <f t="shared" si="69"/>
        <v>#VALUE!</v>
      </c>
      <c r="DM46" s="38" t="e">
        <f t="shared" si="70"/>
        <v>#VALUE!</v>
      </c>
      <c r="DN46" s="32" t="e">
        <f t="shared" si="63"/>
        <v>#VALUE!</v>
      </c>
      <c r="DO46" s="32" t="e">
        <f t="shared" si="71"/>
        <v>#VALUE!</v>
      </c>
      <c r="DQ46" s="38" t="str">
        <f t="shared" si="56"/>
        <v/>
      </c>
      <c r="DR46" s="29" t="e">
        <f t="shared" si="72"/>
        <v>#VALUE!</v>
      </c>
      <c r="DS46" s="38" t="e">
        <f t="shared" si="73"/>
        <v>#VALUE!</v>
      </c>
      <c r="DT46" s="32" t="e">
        <f t="shared" si="64"/>
        <v>#VALUE!</v>
      </c>
      <c r="DU46" s="32" t="e">
        <f t="shared" si="65"/>
        <v>#VALUE!</v>
      </c>
      <c r="DW46" s="38" t="e">
        <f t="shared" si="74"/>
        <v>#VALUE!</v>
      </c>
      <c r="DX46" s="42" t="e">
        <f t="shared" si="75"/>
        <v>#VALUE!</v>
      </c>
      <c r="DY46" s="38" t="e">
        <f t="shared" si="76"/>
        <v>#VALUE!</v>
      </c>
      <c r="DZ46" s="42" t="e">
        <f t="shared" si="77"/>
        <v>#VALUE!</v>
      </c>
      <c r="EA46" s="38" t="e">
        <f t="shared" si="78"/>
        <v>#VALUE!</v>
      </c>
      <c r="EB46" s="42" t="e">
        <f t="shared" si="79"/>
        <v>#VALUE!</v>
      </c>
    </row>
    <row r="47" spans="1:132" ht="11.45" customHeight="1" x14ac:dyDescent="0.2">
      <c r="A47" s="346" t="str">
        <f t="shared" si="38"/>
        <v/>
      </c>
      <c r="B47" s="346"/>
      <c r="C47" s="346"/>
      <c r="D47" s="346"/>
      <c r="E47" s="346"/>
      <c r="F47" s="346"/>
      <c r="G47" s="346"/>
      <c r="H47" s="346"/>
      <c r="I47" s="318" t="str">
        <f t="shared" si="39"/>
        <v/>
      </c>
      <c r="J47" s="318"/>
      <c r="K47" s="318"/>
      <c r="L47" s="318"/>
      <c r="M47" s="318"/>
      <c r="N47" s="318"/>
      <c r="O47" s="318"/>
      <c r="P47" s="313" t="str">
        <f t="shared" si="57"/>
        <v/>
      </c>
      <c r="Q47" s="313"/>
      <c r="R47" s="313"/>
      <c r="S47" s="313"/>
      <c r="T47" s="313"/>
      <c r="U47" s="308" t="str">
        <f t="shared" si="40"/>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8"/>
        <v/>
      </c>
      <c r="BE47" s="311"/>
      <c r="BF47" s="311"/>
      <c r="BG47" s="311"/>
      <c r="BH47" s="311"/>
      <c r="BI47" s="310" t="str">
        <f t="shared" si="41"/>
        <v/>
      </c>
      <c r="BJ47" s="310"/>
      <c r="BK47" s="310"/>
      <c r="BL47" s="310"/>
      <c r="BM47" s="310"/>
      <c r="BN47" s="311" t="str">
        <f t="shared" si="42"/>
        <v/>
      </c>
      <c r="BO47" s="311"/>
      <c r="BP47" s="311"/>
      <c r="BQ47" s="311"/>
      <c r="BR47" s="311"/>
      <c r="BS47" s="332" t="str">
        <f t="shared" si="43"/>
        <v/>
      </c>
      <c r="BT47" s="332"/>
      <c r="BU47" s="332"/>
      <c r="BV47" s="332"/>
      <c r="BW47" s="332"/>
      <c r="BX47" s="311" t="str">
        <f t="shared" si="44"/>
        <v/>
      </c>
      <c r="BY47" s="311"/>
      <c r="BZ47" s="311"/>
      <c r="CA47" s="311"/>
      <c r="CB47" s="311"/>
      <c r="CC47" s="311" t="str">
        <f t="shared" si="45"/>
        <v/>
      </c>
      <c r="CD47" s="311"/>
      <c r="CE47" s="311"/>
      <c r="CF47" s="311"/>
      <c r="CG47" s="311"/>
      <c r="CH47" s="55"/>
      <c r="CN47" s="87" t="s">
        <v>202</v>
      </c>
      <c r="CP47" s="87">
        <f t="shared" si="46"/>
        <v>0</v>
      </c>
      <c r="CR47" s="28" t="e">
        <f t="shared" si="47"/>
        <v>#VALUE!</v>
      </c>
      <c r="CS47" s="29" t="str">
        <f t="shared" si="48"/>
        <v/>
      </c>
      <c r="CU47" s="28">
        <f t="shared" si="49"/>
        <v>32</v>
      </c>
      <c r="CV47" s="31">
        <f t="shared" si="50"/>
        <v>32</v>
      </c>
      <c r="CW47" s="32">
        <f t="shared" si="66"/>
        <v>32</v>
      </c>
      <c r="CX47" s="32">
        <f t="shared" si="59"/>
        <v>32</v>
      </c>
      <c r="CY47" s="26"/>
      <c r="CZ47" s="28">
        <f t="shared" si="51"/>
        <v>0</v>
      </c>
      <c r="DA47" s="28">
        <f t="shared" si="52"/>
        <v>0</v>
      </c>
      <c r="DB47" s="34">
        <f t="shared" si="67"/>
        <v>0</v>
      </c>
      <c r="DC47" s="32">
        <f t="shared" si="60"/>
        <v>0</v>
      </c>
      <c r="DD47" s="35"/>
      <c r="DE47" s="28" t="e">
        <f t="shared" si="53"/>
        <v>#VALUE!</v>
      </c>
      <c r="DF47" s="31" t="e">
        <f t="shared" si="54"/>
        <v>#VALUE!</v>
      </c>
      <c r="DG47" s="32" t="e">
        <f t="shared" si="68"/>
        <v>#VALUE!</v>
      </c>
      <c r="DH47" s="32" t="e">
        <f t="shared" si="61"/>
        <v>#VALUE!</v>
      </c>
      <c r="DI47" s="32" t="e">
        <f t="shared" si="62"/>
        <v>#VALUE!</v>
      </c>
      <c r="DK47" s="38" t="e">
        <f t="shared" si="55"/>
        <v>#VALUE!</v>
      </c>
      <c r="DL47" s="41" t="e">
        <f t="shared" si="69"/>
        <v>#VALUE!</v>
      </c>
      <c r="DM47" s="38" t="e">
        <f t="shared" si="70"/>
        <v>#VALUE!</v>
      </c>
      <c r="DN47" s="32" t="e">
        <f t="shared" si="63"/>
        <v>#VALUE!</v>
      </c>
      <c r="DO47" s="32" t="e">
        <f t="shared" si="71"/>
        <v>#VALUE!</v>
      </c>
      <c r="DQ47" s="38" t="str">
        <f t="shared" si="56"/>
        <v/>
      </c>
      <c r="DR47" s="29" t="e">
        <f t="shared" si="72"/>
        <v>#VALUE!</v>
      </c>
      <c r="DS47" s="38" t="e">
        <f t="shared" si="73"/>
        <v>#VALUE!</v>
      </c>
      <c r="DT47" s="32" t="e">
        <f t="shared" si="64"/>
        <v>#VALUE!</v>
      </c>
      <c r="DU47" s="32" t="e">
        <f t="shared" si="65"/>
        <v>#VALUE!</v>
      </c>
      <c r="DW47" s="38" t="e">
        <f t="shared" si="74"/>
        <v>#VALUE!</v>
      </c>
      <c r="DX47" s="42" t="e">
        <f t="shared" si="75"/>
        <v>#VALUE!</v>
      </c>
      <c r="DY47" s="38" t="e">
        <f t="shared" si="76"/>
        <v>#VALUE!</v>
      </c>
      <c r="DZ47" s="42" t="e">
        <f t="shared" si="77"/>
        <v>#VALUE!</v>
      </c>
      <c r="EA47" s="38" t="e">
        <f t="shared" si="78"/>
        <v>#VALUE!</v>
      </c>
      <c r="EB47" s="42" t="e">
        <f t="shared" si="79"/>
        <v>#VALUE!</v>
      </c>
    </row>
    <row r="48" spans="1:132" ht="11.45" customHeight="1" x14ac:dyDescent="0.2">
      <c r="A48" s="346" t="str">
        <f t="shared" si="38"/>
        <v/>
      </c>
      <c r="B48" s="346"/>
      <c r="C48" s="346"/>
      <c r="D48" s="346"/>
      <c r="E48" s="346"/>
      <c r="F48" s="346"/>
      <c r="G48" s="346"/>
      <c r="H48" s="346"/>
      <c r="I48" s="318" t="str">
        <f t="shared" si="39"/>
        <v/>
      </c>
      <c r="J48" s="318"/>
      <c r="K48" s="318"/>
      <c r="L48" s="318"/>
      <c r="M48" s="318"/>
      <c r="N48" s="318"/>
      <c r="O48" s="318"/>
      <c r="P48" s="313" t="str">
        <f t="shared" si="57"/>
        <v/>
      </c>
      <c r="Q48" s="313"/>
      <c r="R48" s="313"/>
      <c r="S48" s="313"/>
      <c r="T48" s="313"/>
      <c r="U48" s="308" t="str">
        <f t="shared" si="40"/>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8"/>
        <v/>
      </c>
      <c r="BE48" s="311"/>
      <c r="BF48" s="311"/>
      <c r="BG48" s="311"/>
      <c r="BH48" s="311"/>
      <c r="BI48" s="310" t="str">
        <f t="shared" si="41"/>
        <v/>
      </c>
      <c r="BJ48" s="310"/>
      <c r="BK48" s="310"/>
      <c r="BL48" s="310"/>
      <c r="BM48" s="310"/>
      <c r="BN48" s="311" t="str">
        <f t="shared" si="42"/>
        <v/>
      </c>
      <c r="BO48" s="311"/>
      <c r="BP48" s="311"/>
      <c r="BQ48" s="311"/>
      <c r="BR48" s="311"/>
      <c r="BS48" s="332" t="str">
        <f t="shared" si="43"/>
        <v/>
      </c>
      <c r="BT48" s="332"/>
      <c r="BU48" s="332"/>
      <c r="BV48" s="332"/>
      <c r="BW48" s="332"/>
      <c r="BX48" s="311" t="str">
        <f t="shared" si="44"/>
        <v/>
      </c>
      <c r="BY48" s="311"/>
      <c r="BZ48" s="311"/>
      <c r="CA48" s="311"/>
      <c r="CB48" s="311"/>
      <c r="CC48" s="311" t="str">
        <f t="shared" si="45"/>
        <v/>
      </c>
      <c r="CD48" s="311"/>
      <c r="CE48" s="311"/>
      <c r="CF48" s="311"/>
      <c r="CG48" s="311"/>
      <c r="CH48" s="55"/>
      <c r="CN48" s="87" t="s">
        <v>203</v>
      </c>
      <c r="CP48" s="2">
        <f t="shared" si="46"/>
        <v>0</v>
      </c>
      <c r="CR48" s="45" t="e">
        <f t="shared" si="47"/>
        <v>#VALUE!</v>
      </c>
      <c r="CS48" s="46" t="str">
        <f t="shared" si="48"/>
        <v/>
      </c>
      <c r="CU48" s="45">
        <f t="shared" si="49"/>
        <v>32</v>
      </c>
      <c r="CV48" s="47">
        <f t="shared" si="50"/>
        <v>32</v>
      </c>
      <c r="CW48" s="48">
        <f>ROUND(CU48,1)</f>
        <v>32</v>
      </c>
      <c r="CX48" s="48">
        <f t="shared" si="59"/>
        <v>32</v>
      </c>
      <c r="CZ48" s="45">
        <f t="shared" si="51"/>
        <v>0</v>
      </c>
      <c r="DA48" s="45">
        <f t="shared" si="52"/>
        <v>0</v>
      </c>
      <c r="DB48" s="49">
        <f>ROUND(CZ48,1)</f>
        <v>0</v>
      </c>
      <c r="DC48" s="48">
        <f t="shared" si="60"/>
        <v>0</v>
      </c>
      <c r="DD48" s="35"/>
      <c r="DE48" s="45" t="e">
        <f t="shared" si="53"/>
        <v>#VALUE!</v>
      </c>
      <c r="DF48" s="47" t="e">
        <f t="shared" si="54"/>
        <v>#VALUE!</v>
      </c>
      <c r="DG48" s="48" t="e">
        <f>ROUND(DE48,1)</f>
        <v>#VALUE!</v>
      </c>
      <c r="DH48" s="48" t="e">
        <f t="shared" si="61"/>
        <v>#VALUE!</v>
      </c>
      <c r="DI48" s="48" t="e">
        <f t="shared" si="62"/>
        <v>#VALUE!</v>
      </c>
      <c r="DK48" s="50" t="e">
        <f t="shared" si="55"/>
        <v>#VALUE!</v>
      </c>
      <c r="DL48" s="51" t="e">
        <f>ROUND(DK48*5,2)/5</f>
        <v>#VALUE!</v>
      </c>
      <c r="DM48" s="50" t="e">
        <f>ROUND(DK48,4)</f>
        <v>#VALUE!</v>
      </c>
      <c r="DN48" s="48" t="e">
        <f t="shared" si="63"/>
        <v>#VALUE!</v>
      </c>
      <c r="DO48" s="48" t="e">
        <f>DN48*(1+((EXP(((0.01374979547/2)*(((103.872/DN48)+0.2701)*(1/DN48)))*(1+(0.8*((0.01374979547/2)*(((103.872/DN48)+0.2701)*(1/DN48))))))-1)/(1+(((0.01374979547/2)*(((103.872/DN48)+0.2701)*(1/DN48)))*(1+(1.6*((0.01374979547/2)*(((103.872/DN48)+0.2701)*(1/DN48)))))*(((2*103.872)+(0.2701+DN48))/(103.872+(0.2701*DN48)))))))</f>
        <v>#VALUE!</v>
      </c>
      <c r="DQ48" s="50" t="str">
        <f t="shared" si="56"/>
        <v/>
      </c>
      <c r="DR48" s="46" t="e">
        <f>ROUND(DQ48*5,2)/5</f>
        <v>#VALUE!</v>
      </c>
      <c r="DS48" s="50" t="e">
        <f>ROUND(DQ48,4)</f>
        <v>#VALUE!</v>
      </c>
      <c r="DT48" s="48" t="e">
        <f t="shared" si="64"/>
        <v>#VALUE!</v>
      </c>
      <c r="DU48" s="48" t="e">
        <f t="shared" si="65"/>
        <v>#VALUE!</v>
      </c>
      <c r="DW48" s="50" t="e">
        <f>ROUND(EXP(-((103.872/(((141.5/(DF48+131.5))*999.012)^2))+(0.2701/((141.5/(DF48+131.5))*999.012)))*(CV48-60)*(1+(0.8*((103.872/(((141.5/(DF48+131.5))*999.012)^2))+(0.2701/((141.5/(DF48+131.5))*999.012)))*(CV48-60)))),4)</f>
        <v>#VALUE!</v>
      </c>
      <c r="DX48" s="52" t="e">
        <f>ROUND(EXP(-(((103.872/DI48)+0.2701)*(1/DI48))*(CX48-60.0068749)*(1+(0.8*(((103.872/DI48)+0.2701)*(1/DI48))*((CX48-60.0068749)+0.01374979547)))),5)</f>
        <v>#VALUE!</v>
      </c>
      <c r="DY48" s="50" t="e">
        <f>ROUND(EXP(-((103.872/((DL48*999.012)^2))+(0.2701/(DL48*999.012)))*(CV48-60)*(1+(0.8*((103.872/((DL48*999.012)^2))+(0.2701/(DL48*999.012)))*(CV48-60)))),4)</f>
        <v>#VALUE!</v>
      </c>
      <c r="DZ48" s="52" t="e">
        <f>ROUND(EXP(-(((103.872/DO48)+0.2701)*(1/DO48))*(CX48-60.0068749)*(1+(0.8*(((103.872/DO48)+0.2701)*(1/DO48))*((CX48-60.0068749)+0.01374979547)))),5)</f>
        <v>#VALUE!</v>
      </c>
      <c r="EA48" s="50" t="e">
        <f>ROUND(EXP(-((186.9696/((DR48*1000)^2))+(0.4862/(DR48*1000)))*(DA48-15)*(1+(0.8*((186.9696/((DR48*1000)^2))+(0.4862/(DR48*1000)))*(DA48-15)))),4)</f>
        <v>#VALUE!</v>
      </c>
      <c r="EB48" s="52" t="e">
        <f>ROUND(EXP(-((((186.9696/DU48)+0.4862)*(1/DU48)))*(DC48-15.00367851)*(1+(0.8*((((186.9696/DU48)+0.4862)*(1/DU48)))*((DC48-15.00367851)+0.01374979547)))),5)</f>
        <v>#VALUE!</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f>IF(COUNT(AJ37:AN48)=0,"",ROUND(SUM(AJ37:AN48),3))</f>
        <v>0</v>
      </c>
      <c r="AK49" s="321"/>
      <c r="AL49" s="321"/>
      <c r="AM49" s="321"/>
      <c r="AN49" s="322"/>
      <c r="AO49" s="341" t="s">
        <v>214</v>
      </c>
      <c r="AP49" s="341"/>
      <c r="AQ49" s="341"/>
      <c r="AR49" s="341"/>
      <c r="AS49" s="341"/>
      <c r="AT49" s="320">
        <f>IF(COUNT(AT37:AX48)=0,"",ROUND(SUM(AT37:AX48),3))</f>
        <v>0</v>
      </c>
      <c r="AU49" s="321"/>
      <c r="AV49" s="321"/>
      <c r="AW49" s="321"/>
      <c r="AX49" s="322"/>
      <c r="AY49" s="341" t="s">
        <v>211</v>
      </c>
      <c r="AZ49" s="341"/>
      <c r="BA49" s="341"/>
      <c r="BB49" s="341"/>
      <c r="BC49" s="341"/>
      <c r="BD49" s="320">
        <f>IF(COUNT(BD37:BH48)=0,"",ROUND(SUM(BD37:BH48),3))</f>
        <v>0</v>
      </c>
      <c r="BE49" s="321"/>
      <c r="BF49" s="321"/>
      <c r="BG49" s="321"/>
      <c r="BH49" s="322"/>
      <c r="BI49" s="341" t="s">
        <v>210</v>
      </c>
      <c r="BJ49" s="341"/>
      <c r="BK49" s="341"/>
      <c r="BL49" s="341"/>
      <c r="BM49" s="341"/>
      <c r="BN49" s="320">
        <f>IF(COUNT(BN37:BR48)=0,"",ROUND(SUM(BN37:BR48),3))</f>
        <v>0</v>
      </c>
      <c r="BO49" s="321"/>
      <c r="BP49" s="321"/>
      <c r="BQ49" s="321"/>
      <c r="BR49" s="322"/>
      <c r="BS49" s="341" t="s">
        <v>209</v>
      </c>
      <c r="BT49" s="341"/>
      <c r="BU49" s="341"/>
      <c r="BV49" s="341"/>
      <c r="BW49" s="341"/>
      <c r="BX49" s="320">
        <f>IF(COUNT(BX37:CB48)=0,"",ROUND(SUM(BX37:CB48),3))</f>
        <v>0</v>
      </c>
      <c r="BY49" s="321"/>
      <c r="BZ49" s="321"/>
      <c r="CA49" s="321"/>
      <c r="CB49" s="322"/>
      <c r="CC49" s="320">
        <f>IF(COUNT(CC37:CG48)=0,"",ROUND(SUM(CC37:CG48),3))</f>
        <v>0</v>
      </c>
      <c r="CD49" s="321"/>
      <c r="CE49" s="321"/>
      <c r="CF49" s="321"/>
      <c r="CG49" s="322"/>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row>
    <row r="51" spans="1:131" ht="11.45" hidden="1" customHeight="1" x14ac:dyDescent="0.2">
      <c r="A51" s="336" t="s">
        <v>446</v>
      </c>
      <c r="B51" s="336"/>
      <c r="C51" s="336"/>
      <c r="D51" s="336"/>
      <c r="E51" s="336"/>
      <c r="F51" s="336"/>
      <c r="G51" s="336"/>
      <c r="H51" s="336"/>
      <c r="I51" s="336"/>
      <c r="J51" s="336"/>
      <c r="K51" s="336"/>
      <c r="L51" s="336"/>
      <c r="M51" s="336"/>
      <c r="N51" s="336"/>
      <c r="O51" s="336"/>
      <c r="P51" s="336"/>
      <c r="Q51" s="336"/>
      <c r="R51" s="336"/>
      <c r="S51" s="343" t="s">
        <v>445</v>
      </c>
      <c r="T51" s="343"/>
      <c r="U51" s="343"/>
      <c r="V51" s="343"/>
      <c r="W51" s="343"/>
      <c r="X51" s="343"/>
      <c r="Y51" s="343"/>
      <c r="Z51" s="343"/>
      <c r="AA51" s="343"/>
      <c r="AB51" s="343"/>
      <c r="AC51" s="343"/>
      <c r="AD51" s="343"/>
      <c r="AE51" s="343"/>
      <c r="AF51" s="343"/>
      <c r="AG51" s="95" t="s">
        <v>0</v>
      </c>
      <c r="AH51" s="343"/>
      <c r="AI51" s="343"/>
      <c r="AJ51" s="343"/>
      <c r="AK51" s="343"/>
      <c r="AL51" s="343"/>
      <c r="AM51" s="343"/>
      <c r="AN51" s="343"/>
      <c r="AO51" s="95"/>
      <c r="AP51" s="393" t="s">
        <v>447</v>
      </c>
      <c r="AQ51" s="393"/>
      <c r="AR51" s="393"/>
      <c r="AS51" s="393"/>
      <c r="AT51" s="393"/>
      <c r="AU51" s="393"/>
      <c r="AV51" s="393"/>
      <c r="AW51" s="393"/>
      <c r="AX51" s="393"/>
      <c r="AY51" s="95" t="s">
        <v>0</v>
      </c>
      <c r="AZ51" s="343"/>
      <c r="BA51" s="343"/>
      <c r="BB51" s="343"/>
      <c r="BC51" s="343"/>
      <c r="BD51" s="343"/>
      <c r="BE51" s="343"/>
      <c r="BF51" s="343"/>
      <c r="BG51" s="96"/>
      <c r="BH51" s="365" t="s">
        <v>458</v>
      </c>
      <c r="BI51" s="365"/>
      <c r="BJ51" s="365"/>
      <c r="BK51" s="365"/>
      <c r="BL51" s="365"/>
      <c r="BM51" s="365"/>
      <c r="BN51" s="365"/>
      <c r="BO51" s="365"/>
      <c r="BP51" s="365"/>
      <c r="BQ51" s="365"/>
      <c r="BR51" s="365"/>
      <c r="BS51" s="365"/>
      <c r="BT51" s="365"/>
      <c r="BU51" s="365"/>
      <c r="BV51" s="365"/>
      <c r="BW51" s="365"/>
      <c r="BX51" s="365"/>
      <c r="BY51" s="95" t="s">
        <v>0</v>
      </c>
      <c r="BZ51" s="343"/>
      <c r="CA51" s="343"/>
      <c r="CB51" s="343"/>
      <c r="CC51" s="343"/>
      <c r="CD51" s="343"/>
      <c r="CE51" s="343"/>
      <c r="CF51" s="343"/>
      <c r="CG51" s="95"/>
    </row>
    <row r="52" spans="1:131" ht="11.45" hidden="1" customHeight="1" x14ac:dyDescent="0.2">
      <c r="A52" s="154"/>
      <c r="B52" s="154"/>
      <c r="C52" s="154"/>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N52" s="1" t="s">
        <v>222</v>
      </c>
    </row>
    <row r="53" spans="1:131" ht="11.45" hidden="1" customHeight="1" x14ac:dyDescent="0.2">
      <c r="A53" s="430" t="s">
        <v>448</v>
      </c>
      <c r="B53" s="430"/>
      <c r="C53" s="430"/>
      <c r="D53" s="430"/>
      <c r="E53" s="430"/>
      <c r="F53" s="430"/>
      <c r="G53" s="430" t="s">
        <v>197</v>
      </c>
      <c r="H53" s="430"/>
      <c r="I53" s="430"/>
      <c r="J53" s="430"/>
      <c r="K53" s="430"/>
      <c r="L53" s="430"/>
      <c r="M53" s="423" t="s">
        <v>449</v>
      </c>
      <c r="N53" s="423"/>
      <c r="O53" s="423"/>
      <c r="P53" s="423"/>
      <c r="Q53" s="423"/>
      <c r="R53" s="423"/>
      <c r="S53" s="197" t="s">
        <v>450</v>
      </c>
      <c r="T53" s="198"/>
      <c r="U53" s="198"/>
      <c r="V53" s="198"/>
      <c r="W53" s="198"/>
      <c r="X53" s="199"/>
      <c r="Y53" s="197" t="s">
        <v>451</v>
      </c>
      <c r="Z53" s="198"/>
      <c r="AA53" s="198"/>
      <c r="AB53" s="198"/>
      <c r="AC53" s="198"/>
      <c r="AD53" s="199"/>
      <c r="AE53" s="197" t="s">
        <v>84</v>
      </c>
      <c r="AF53" s="198"/>
      <c r="AG53" s="198"/>
      <c r="AH53" s="198"/>
      <c r="AI53" s="198"/>
      <c r="AJ53" s="199"/>
      <c r="AK53" s="197" t="s">
        <v>10</v>
      </c>
      <c r="AL53" s="198"/>
      <c r="AM53" s="198"/>
      <c r="AN53" s="198"/>
      <c r="AO53" s="198"/>
      <c r="AP53" s="199"/>
      <c r="AQ53" s="197" t="s">
        <v>452</v>
      </c>
      <c r="AR53" s="198"/>
      <c r="AS53" s="198"/>
      <c r="AT53" s="198"/>
      <c r="AU53" s="198"/>
      <c r="AV53" s="199"/>
      <c r="AW53" s="195"/>
      <c r="AX53" s="430" t="s">
        <v>456</v>
      </c>
      <c r="AY53" s="430"/>
      <c r="AZ53" s="430"/>
      <c r="BA53" s="430"/>
      <c r="BB53" s="430"/>
      <c r="BC53" s="430"/>
      <c r="BD53" s="430"/>
      <c r="BE53" s="430"/>
      <c r="BF53" s="430"/>
      <c r="BG53" s="430" t="s">
        <v>457</v>
      </c>
      <c r="BH53" s="430"/>
      <c r="BI53" s="430"/>
      <c r="BJ53" s="430"/>
      <c r="BK53" s="430"/>
      <c r="BL53" s="430"/>
      <c r="BM53" s="430"/>
      <c r="BN53" s="430"/>
      <c r="BO53" s="430"/>
      <c r="BP53" s="430"/>
      <c r="BQ53" s="430" t="s">
        <v>439</v>
      </c>
      <c r="BR53" s="430"/>
      <c r="BS53" s="430"/>
      <c r="BT53" s="430"/>
      <c r="BU53" s="430"/>
      <c r="BV53" s="430"/>
      <c r="BW53" s="430"/>
      <c r="BX53" s="430"/>
      <c r="BY53" s="430" t="s">
        <v>440</v>
      </c>
      <c r="BZ53" s="430"/>
      <c r="CA53" s="430"/>
      <c r="CB53" s="430"/>
      <c r="CC53" s="430"/>
      <c r="CD53" s="430"/>
      <c r="CE53" s="430"/>
      <c r="CF53" s="430"/>
      <c r="CG53" s="430"/>
      <c r="CN53" s="100">
        <f>IF(BI17=CN44,1,IF(BI17=CN45,2,IF(BI17=CN46,3,IF(BI17=CN47,4,IF(BI17=CN48,5,6)))))</f>
        <v>6</v>
      </c>
    </row>
    <row r="54" spans="1:131" ht="11.45" hidden="1" customHeight="1" x14ac:dyDescent="0.2">
      <c r="A54" s="430"/>
      <c r="B54" s="430"/>
      <c r="C54" s="430"/>
      <c r="D54" s="430"/>
      <c r="E54" s="430"/>
      <c r="F54" s="430"/>
      <c r="G54" s="430"/>
      <c r="H54" s="430"/>
      <c r="I54" s="430"/>
      <c r="J54" s="430"/>
      <c r="K54" s="430"/>
      <c r="L54" s="430"/>
      <c r="M54" s="423"/>
      <c r="N54" s="423"/>
      <c r="O54" s="423"/>
      <c r="P54" s="423"/>
      <c r="Q54" s="423"/>
      <c r="R54" s="423"/>
      <c r="S54" s="333" t="s">
        <v>454</v>
      </c>
      <c r="T54" s="209"/>
      <c r="U54" s="209"/>
      <c r="V54" s="209"/>
      <c r="W54" s="209"/>
      <c r="X54" s="334"/>
      <c r="Y54" s="333" t="s">
        <v>454</v>
      </c>
      <c r="Z54" s="209"/>
      <c r="AA54" s="209"/>
      <c r="AB54" s="209"/>
      <c r="AC54" s="209"/>
      <c r="AD54" s="334"/>
      <c r="AE54" s="424" t="s">
        <v>455</v>
      </c>
      <c r="AF54" s="425"/>
      <c r="AG54" s="425"/>
      <c r="AH54" s="425"/>
      <c r="AI54" s="425"/>
      <c r="AJ54" s="426"/>
      <c r="AK54" s="333" t="str">
        <f>IF(BI17="","",BI17)</f>
        <v>T54B-2004</v>
      </c>
      <c r="AL54" s="209"/>
      <c r="AM54" s="209"/>
      <c r="AN54" s="209"/>
      <c r="AO54" s="209"/>
      <c r="AP54" s="334"/>
      <c r="AQ54" s="333" t="str">
        <f>AJ36</f>
        <v>M³</v>
      </c>
      <c r="AR54" s="209"/>
      <c r="AS54" s="209"/>
      <c r="AT54" s="209"/>
      <c r="AU54" s="209"/>
      <c r="AV54" s="334"/>
      <c r="AW54" s="195"/>
      <c r="AX54" s="430"/>
      <c r="AY54" s="430"/>
      <c r="AZ54" s="430"/>
      <c r="BA54" s="430"/>
      <c r="BB54" s="430"/>
      <c r="BC54" s="430"/>
      <c r="BD54" s="430"/>
      <c r="BE54" s="430"/>
      <c r="BF54" s="430"/>
      <c r="BG54" s="430"/>
      <c r="BH54" s="430"/>
      <c r="BI54" s="430"/>
      <c r="BJ54" s="430"/>
      <c r="BK54" s="430"/>
      <c r="BL54" s="430"/>
      <c r="BM54" s="430"/>
      <c r="BN54" s="430"/>
      <c r="BO54" s="430"/>
      <c r="BP54" s="430"/>
      <c r="BQ54" s="430"/>
      <c r="BR54" s="430"/>
      <c r="BS54" s="430"/>
      <c r="BT54" s="430"/>
      <c r="BU54" s="430"/>
      <c r="BV54" s="430"/>
      <c r="BW54" s="430"/>
      <c r="BX54" s="430"/>
      <c r="BY54" s="430"/>
      <c r="BZ54" s="430"/>
      <c r="CA54" s="430"/>
      <c r="CB54" s="430"/>
      <c r="CC54" s="430"/>
      <c r="CD54" s="430"/>
      <c r="CE54" s="430"/>
      <c r="CF54" s="430"/>
      <c r="CG54" s="430"/>
      <c r="CN54" s="91"/>
    </row>
    <row r="55" spans="1:131" ht="11.45" hidden="1" customHeight="1" x14ac:dyDescent="0.2">
      <c r="A55" s="423"/>
      <c r="B55" s="423"/>
      <c r="C55" s="423"/>
      <c r="D55" s="423"/>
      <c r="E55" s="423"/>
      <c r="F55" s="423"/>
      <c r="G55" s="423"/>
      <c r="H55" s="423"/>
      <c r="I55" s="423"/>
      <c r="J55" s="423"/>
      <c r="K55" s="423"/>
      <c r="L55" s="423"/>
      <c r="M55" s="423"/>
      <c r="N55" s="423"/>
      <c r="O55" s="423"/>
      <c r="P55" s="423"/>
      <c r="Q55" s="423"/>
      <c r="R55" s="423"/>
      <c r="S55" s="423"/>
      <c r="T55" s="423"/>
      <c r="U55" s="423"/>
      <c r="V55" s="423"/>
      <c r="W55" s="423"/>
      <c r="X55" s="423"/>
      <c r="Y55" s="423"/>
      <c r="Z55" s="423"/>
      <c r="AA55" s="423"/>
      <c r="AB55" s="423"/>
      <c r="AC55" s="423"/>
      <c r="AD55" s="423"/>
      <c r="AE55" s="423"/>
      <c r="AF55" s="423"/>
      <c r="AG55" s="423"/>
      <c r="AH55" s="423"/>
      <c r="AI55" s="423"/>
      <c r="AJ55" s="423"/>
      <c r="AK55" s="423"/>
      <c r="AL55" s="423"/>
      <c r="AM55" s="423"/>
      <c r="AN55" s="423"/>
      <c r="AO55" s="423"/>
      <c r="AP55" s="423"/>
      <c r="AQ55" s="423"/>
      <c r="AR55" s="423"/>
      <c r="AS55" s="423"/>
      <c r="AT55" s="423"/>
      <c r="AU55" s="423"/>
      <c r="AV55" s="423"/>
      <c r="AW55" s="195"/>
      <c r="AX55" s="311">
        <f>IF('Bunker Certificate 1'!U25="","",'Bunker Certificate 1'!U25)</f>
        <v>0.83579999999999999</v>
      </c>
      <c r="AY55" s="311"/>
      <c r="AZ55" s="311"/>
      <c r="BA55" s="311"/>
      <c r="BB55" s="311"/>
      <c r="BC55" s="311"/>
      <c r="BD55" s="311"/>
      <c r="BE55" s="311"/>
      <c r="BF55" s="311"/>
      <c r="BG55" s="311">
        <f>IF(OR(BQ55="",BY55=""),"",BY55/BQ55)</f>
        <v>479.89696897088771</v>
      </c>
      <c r="BH55" s="311"/>
      <c r="BI55" s="311"/>
      <c r="BJ55" s="311"/>
      <c r="BK55" s="311"/>
      <c r="BL55" s="311"/>
      <c r="BM55" s="311"/>
      <c r="BN55" s="311"/>
      <c r="BO55" s="311"/>
      <c r="BP55" s="311"/>
      <c r="BQ55" s="423">
        <f>IF(AX55="","",AX55-0.0011)</f>
        <v>0.8347</v>
      </c>
      <c r="BR55" s="423"/>
      <c r="BS55" s="423"/>
      <c r="BT55" s="423"/>
      <c r="BU55" s="423"/>
      <c r="BV55" s="423"/>
      <c r="BW55" s="423"/>
      <c r="BX55" s="423"/>
      <c r="BY55" s="423">
        <f>IF(BR11="","",BR11)</f>
        <v>400.57</v>
      </c>
      <c r="BZ55" s="423"/>
      <c r="CA55" s="423"/>
      <c r="CB55" s="423"/>
      <c r="CC55" s="423"/>
      <c r="CD55" s="423"/>
      <c r="CE55" s="423"/>
      <c r="CF55" s="423"/>
      <c r="CG55" s="423"/>
    </row>
    <row r="56" spans="1:131" ht="11.45" hidden="1" customHeight="1" x14ac:dyDescent="0.2">
      <c r="A56" s="423"/>
      <c r="B56" s="423"/>
      <c r="C56" s="423"/>
      <c r="D56" s="423"/>
      <c r="E56" s="423"/>
      <c r="F56" s="423"/>
      <c r="G56" s="423"/>
      <c r="H56" s="423"/>
      <c r="I56" s="423"/>
      <c r="J56" s="423"/>
      <c r="K56" s="423"/>
      <c r="L56" s="423"/>
      <c r="M56" s="423"/>
      <c r="N56" s="423"/>
      <c r="O56" s="423"/>
      <c r="P56" s="423"/>
      <c r="Q56" s="423"/>
      <c r="R56" s="423"/>
      <c r="S56" s="423"/>
      <c r="T56" s="423"/>
      <c r="U56" s="423"/>
      <c r="V56" s="423"/>
      <c r="W56" s="423"/>
      <c r="X56" s="423"/>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195"/>
      <c r="AX56" s="311"/>
      <c r="AY56" s="311"/>
      <c r="AZ56" s="311"/>
      <c r="BA56" s="311"/>
      <c r="BB56" s="311"/>
      <c r="BC56" s="311"/>
      <c r="BD56" s="311"/>
      <c r="BE56" s="311"/>
      <c r="BF56" s="311"/>
      <c r="BG56" s="311"/>
      <c r="BH56" s="311"/>
      <c r="BI56" s="311"/>
      <c r="BJ56" s="311"/>
      <c r="BK56" s="311"/>
      <c r="BL56" s="311"/>
      <c r="BM56" s="311"/>
      <c r="BN56" s="311"/>
      <c r="BO56" s="311"/>
      <c r="BP56" s="311"/>
      <c r="BQ56" s="423"/>
      <c r="BR56" s="423"/>
      <c r="BS56" s="423"/>
      <c r="BT56" s="423"/>
      <c r="BU56" s="423"/>
      <c r="BV56" s="423"/>
      <c r="BW56" s="423"/>
      <c r="BX56" s="423"/>
      <c r="BY56" s="423"/>
      <c r="BZ56" s="423"/>
      <c r="CA56" s="423"/>
      <c r="CB56" s="423"/>
      <c r="CC56" s="423"/>
      <c r="CD56" s="423"/>
      <c r="CE56" s="423"/>
      <c r="CF56" s="423"/>
      <c r="CG56" s="423"/>
      <c r="CN56" s="1" t="s">
        <v>425</v>
      </c>
    </row>
    <row r="57" spans="1:131" ht="11.45" hidden="1" customHeight="1" x14ac:dyDescent="0.2">
      <c r="A57" s="423"/>
      <c r="B57" s="423"/>
      <c r="C57" s="423"/>
      <c r="D57" s="423"/>
      <c r="E57" s="423"/>
      <c r="F57" s="423"/>
      <c r="G57" s="423"/>
      <c r="H57" s="423"/>
      <c r="I57" s="423"/>
      <c r="J57" s="423"/>
      <c r="K57" s="423"/>
      <c r="L57" s="423"/>
      <c r="M57" s="423"/>
      <c r="N57" s="423"/>
      <c r="O57" s="423"/>
      <c r="P57" s="423"/>
      <c r="Q57" s="423"/>
      <c r="R57" s="423"/>
      <c r="S57" s="423"/>
      <c r="T57" s="423"/>
      <c r="U57" s="423"/>
      <c r="V57" s="423"/>
      <c r="W57" s="423"/>
      <c r="X57" s="423"/>
      <c r="Y57" s="423"/>
      <c r="Z57" s="423"/>
      <c r="AA57" s="423"/>
      <c r="AB57" s="423"/>
      <c r="AC57" s="423"/>
      <c r="AD57" s="423"/>
      <c r="AE57" s="423"/>
      <c r="AF57" s="423"/>
      <c r="AG57" s="423"/>
      <c r="AH57" s="423"/>
      <c r="AI57" s="423"/>
      <c r="AJ57" s="423"/>
      <c r="AK57" s="423"/>
      <c r="AL57" s="423"/>
      <c r="AM57" s="423"/>
      <c r="AN57" s="423"/>
      <c r="AO57" s="423"/>
      <c r="AP57" s="423"/>
      <c r="AQ57" s="423"/>
      <c r="AR57" s="423"/>
      <c r="AS57" s="423"/>
      <c r="AT57" s="423"/>
      <c r="AU57" s="423"/>
      <c r="AV57" s="423"/>
      <c r="AW57" s="195"/>
      <c r="AX57" s="311"/>
      <c r="AY57" s="311"/>
      <c r="AZ57" s="311"/>
      <c r="BA57" s="311"/>
      <c r="BB57" s="311"/>
      <c r="BC57" s="311"/>
      <c r="BD57" s="311"/>
      <c r="BE57" s="311"/>
      <c r="BF57" s="311"/>
      <c r="BG57" s="311"/>
      <c r="BH57" s="311"/>
      <c r="BI57" s="311"/>
      <c r="BJ57" s="311"/>
      <c r="BK57" s="311"/>
      <c r="BL57" s="311"/>
      <c r="BM57" s="311"/>
      <c r="BN57" s="311"/>
      <c r="BO57" s="311"/>
      <c r="BP57" s="311"/>
      <c r="BQ57" s="423"/>
      <c r="BR57" s="423"/>
      <c r="BS57" s="423"/>
      <c r="BT57" s="423"/>
      <c r="BU57" s="423"/>
      <c r="BV57" s="423"/>
      <c r="BW57" s="423"/>
      <c r="BX57" s="423"/>
      <c r="BY57" s="423"/>
      <c r="BZ57" s="423"/>
      <c r="CA57" s="423"/>
      <c r="CB57" s="423"/>
      <c r="CC57" s="423"/>
      <c r="CD57" s="423"/>
      <c r="CE57" s="423"/>
      <c r="CF57" s="423"/>
      <c r="CG57" s="423"/>
      <c r="CN57" s="107" t="s">
        <v>429</v>
      </c>
    </row>
    <row r="58" spans="1:131" ht="11.45" hidden="1" customHeight="1" x14ac:dyDescent="0.2">
      <c r="A58" s="428" t="s">
        <v>441</v>
      </c>
      <c r="B58" s="428"/>
      <c r="C58" s="428"/>
      <c r="D58" s="428"/>
      <c r="E58" s="102" t="s">
        <v>0</v>
      </c>
      <c r="F58" s="429"/>
      <c r="G58" s="429"/>
      <c r="H58" s="429"/>
      <c r="I58" s="429"/>
      <c r="J58" s="429"/>
      <c r="K58" s="429"/>
      <c r="L58" s="429"/>
      <c r="M58" s="429"/>
      <c r="N58" s="429"/>
      <c r="O58" s="429"/>
      <c r="P58" s="429"/>
      <c r="Q58" s="429"/>
      <c r="R58" s="429"/>
      <c r="S58" s="429"/>
      <c r="T58" s="429"/>
      <c r="U58" s="429"/>
      <c r="V58" s="429"/>
      <c r="W58" s="429"/>
      <c r="X58" s="429"/>
      <c r="Y58" s="429"/>
      <c r="Z58" s="429"/>
      <c r="AA58" s="429"/>
      <c r="AB58" s="429"/>
      <c r="AC58" s="429"/>
      <c r="AD58" s="429"/>
      <c r="AE58" s="429"/>
      <c r="AF58" s="429"/>
      <c r="AG58" s="429"/>
      <c r="AH58" s="429"/>
      <c r="AI58" s="429"/>
      <c r="AJ58" s="429"/>
      <c r="AK58" s="429"/>
      <c r="AL58" s="429"/>
      <c r="AM58" s="429"/>
      <c r="AN58" s="429"/>
      <c r="AO58" s="429"/>
      <c r="AP58" s="429"/>
      <c r="AQ58" s="429"/>
      <c r="AR58" s="429"/>
      <c r="AS58" s="429"/>
      <c r="AT58" s="429"/>
      <c r="AU58" s="429"/>
      <c r="AV58" s="429"/>
      <c r="AW58" s="429"/>
      <c r="AX58" s="429"/>
      <c r="AY58" s="429"/>
      <c r="AZ58" s="429"/>
      <c r="BA58" s="429"/>
      <c r="BB58" s="429"/>
      <c r="BC58" s="429"/>
      <c r="BD58" s="429"/>
      <c r="BE58" s="429"/>
      <c r="BF58" s="429"/>
      <c r="BG58" s="429"/>
      <c r="BH58" s="429"/>
      <c r="BI58" s="429"/>
      <c r="BJ58" s="429"/>
      <c r="BK58" s="429"/>
      <c r="BL58" s="429"/>
      <c r="BM58" s="429"/>
      <c r="BN58" s="429"/>
      <c r="BO58" s="429"/>
      <c r="BP58" s="429"/>
      <c r="BQ58" s="429"/>
      <c r="BR58" s="429"/>
      <c r="BS58" s="429"/>
      <c r="BT58" s="429"/>
      <c r="BU58" s="429"/>
      <c r="BV58" s="429"/>
      <c r="BW58" s="429"/>
      <c r="BX58" s="429"/>
      <c r="BY58" s="429"/>
      <c r="BZ58" s="429"/>
      <c r="CA58" s="429"/>
      <c r="CB58" s="429"/>
      <c r="CC58" s="429"/>
      <c r="CD58" s="429"/>
      <c r="CE58" s="429"/>
      <c r="CF58" s="429"/>
      <c r="CG58" s="429"/>
      <c r="CM58" s="91"/>
      <c r="CN58" s="87" t="s">
        <v>430</v>
      </c>
      <c r="CO58" s="91"/>
      <c r="CP58" s="91"/>
      <c r="CQ58" s="91"/>
    </row>
    <row r="59" spans="1:131" ht="11.45" customHeight="1" x14ac:dyDescent="0.2">
      <c r="A59" s="154"/>
      <c r="B59" s="154"/>
      <c r="C59" s="215" t="str">
        <f>IF('Data Entry'!N29="","",'Data Entry'!N29)&amp;IF(OR('Data Entry'!N29="",'Data Entry'!N30=""),""," / Licence No")&amp; IF('Data Entry'!N30="","",'Data Entry'!N30)</f>
        <v>MEHMET EROĞLU</v>
      </c>
      <c r="D59" s="215"/>
      <c r="E59" s="215"/>
      <c r="F59" s="215"/>
      <c r="G59" s="215"/>
      <c r="H59" s="215"/>
      <c r="I59" s="215"/>
      <c r="J59" s="215"/>
      <c r="K59" s="215"/>
      <c r="L59" s="215"/>
      <c r="M59" s="215"/>
      <c r="N59" s="215"/>
      <c r="O59" s="215"/>
      <c r="P59" s="215"/>
      <c r="Q59" s="154"/>
      <c r="R59" s="154"/>
      <c r="S59" s="154"/>
      <c r="T59" s="154"/>
      <c r="U59" s="154"/>
      <c r="V59" s="154"/>
      <c r="W59" s="154"/>
      <c r="X59" s="154"/>
      <c r="Y59" s="154"/>
      <c r="Z59" s="154"/>
      <c r="AA59" s="154"/>
      <c r="AB59" s="154"/>
      <c r="AC59" s="154"/>
      <c r="AD59" s="154"/>
      <c r="AE59" s="154"/>
      <c r="AF59" s="154"/>
      <c r="AG59" s="154"/>
      <c r="AH59" s="154"/>
      <c r="AI59" s="154"/>
      <c r="AJ59" s="154"/>
      <c r="AK59" s="215" t="str">
        <f>IF('Data Entry'!N13="","",'Data Entry'!N13)</f>
        <v/>
      </c>
      <c r="AL59" s="215"/>
      <c r="AM59" s="215"/>
      <c r="AN59" s="215"/>
      <c r="AO59" s="215"/>
      <c r="AP59" s="215"/>
      <c r="AQ59" s="215"/>
      <c r="AR59" s="215"/>
      <c r="AS59" s="215"/>
      <c r="AT59" s="215"/>
      <c r="AU59" s="215"/>
      <c r="AV59" s="215"/>
      <c r="AW59" s="215"/>
      <c r="AX59" s="215"/>
      <c r="AY59" s="154"/>
      <c r="AZ59" s="154"/>
      <c r="BA59" s="154"/>
      <c r="BB59" s="154"/>
      <c r="BC59" s="154"/>
      <c r="BD59" s="154"/>
      <c r="BE59" s="154"/>
      <c r="BF59" s="154"/>
      <c r="BG59" s="154"/>
      <c r="BH59" s="154"/>
      <c r="BI59" s="154"/>
      <c r="BJ59" s="154"/>
      <c r="BK59" s="154"/>
      <c r="BL59" s="154"/>
      <c r="BM59" s="154"/>
      <c r="BN59" s="154"/>
      <c r="BO59" s="154"/>
      <c r="BP59" s="154"/>
      <c r="BQ59" s="154"/>
      <c r="BR59" s="215" t="str">
        <f>IF('Data Entry'!N9="","",'Data Entry'!N9)</f>
        <v/>
      </c>
      <c r="BS59" s="215"/>
      <c r="BT59" s="215"/>
      <c r="BU59" s="215"/>
      <c r="BV59" s="215"/>
      <c r="BW59" s="215"/>
      <c r="BX59" s="215"/>
      <c r="BY59" s="215"/>
      <c r="BZ59" s="215"/>
      <c r="CA59" s="215"/>
      <c r="CB59" s="215"/>
      <c r="CC59" s="215"/>
      <c r="CD59" s="215"/>
      <c r="CE59" s="215"/>
      <c r="CF59" s="375"/>
      <c r="CG59" s="375"/>
      <c r="CN59" s="87" t="s">
        <v>444</v>
      </c>
      <c r="DW59" s="35"/>
      <c r="DX59" s="56"/>
      <c r="DZ59" s="35"/>
      <c r="EA59" s="56"/>
    </row>
    <row r="60" spans="1:131" ht="11.45" customHeight="1" x14ac:dyDescent="0.2">
      <c r="A60" s="154"/>
      <c r="B60" s="154"/>
      <c r="C60" s="215"/>
      <c r="D60" s="215"/>
      <c r="E60" s="215"/>
      <c r="F60" s="215"/>
      <c r="G60" s="215"/>
      <c r="H60" s="215"/>
      <c r="I60" s="215"/>
      <c r="J60" s="215"/>
      <c r="K60" s="215"/>
      <c r="L60" s="215"/>
      <c r="M60" s="215"/>
      <c r="N60" s="215"/>
      <c r="O60" s="215"/>
      <c r="P60" s="215"/>
      <c r="Q60" s="154"/>
      <c r="R60" s="154"/>
      <c r="S60" s="154"/>
      <c r="T60" s="154"/>
      <c r="U60" s="154"/>
      <c r="V60" s="154"/>
      <c r="W60" s="154"/>
      <c r="X60" s="154"/>
      <c r="Y60" s="154"/>
      <c r="Z60" s="154"/>
      <c r="AA60" s="154"/>
      <c r="AB60" s="154"/>
      <c r="AC60" s="154"/>
      <c r="AD60" s="154"/>
      <c r="AE60" s="154"/>
      <c r="AF60" s="154"/>
      <c r="AG60" s="154"/>
      <c r="AH60" s="154"/>
      <c r="AI60" s="154"/>
      <c r="AJ60" s="154"/>
      <c r="AK60" s="215"/>
      <c r="AL60" s="215"/>
      <c r="AM60" s="215"/>
      <c r="AN60" s="215"/>
      <c r="AO60" s="215"/>
      <c r="AP60" s="215"/>
      <c r="AQ60" s="215"/>
      <c r="AR60" s="215"/>
      <c r="AS60" s="215"/>
      <c r="AT60" s="215"/>
      <c r="AU60" s="215"/>
      <c r="AV60" s="215"/>
      <c r="AW60" s="215"/>
      <c r="AX60" s="215"/>
      <c r="AY60" s="154"/>
      <c r="AZ60" s="154"/>
      <c r="BA60" s="154"/>
      <c r="BB60" s="154"/>
      <c r="BC60" s="154"/>
      <c r="BD60" s="154"/>
      <c r="BE60" s="154"/>
      <c r="BF60" s="154"/>
      <c r="BG60" s="154"/>
      <c r="BH60" s="154"/>
      <c r="BI60" s="154"/>
      <c r="BJ60" s="154"/>
      <c r="BK60" s="154"/>
      <c r="BL60" s="154"/>
      <c r="BM60" s="154"/>
      <c r="BN60" s="154"/>
      <c r="BO60" s="154"/>
      <c r="BP60" s="154"/>
      <c r="BQ60" s="154"/>
      <c r="BR60" s="215"/>
      <c r="BS60" s="215"/>
      <c r="BT60" s="215"/>
      <c r="BU60" s="215"/>
      <c r="BV60" s="215"/>
      <c r="BW60" s="215"/>
      <c r="BX60" s="215"/>
      <c r="BY60" s="215"/>
      <c r="BZ60" s="215"/>
      <c r="CA60" s="215"/>
      <c r="CB60" s="215"/>
      <c r="CC60" s="215"/>
      <c r="CD60" s="215"/>
      <c r="CE60" s="215"/>
      <c r="CF60" s="375"/>
      <c r="CG60" s="375"/>
      <c r="CN60" s="2" t="s">
        <v>431</v>
      </c>
      <c r="DW60" s="35"/>
      <c r="DX60" s="56"/>
      <c r="DZ60" s="35"/>
      <c r="EA60" s="56"/>
    </row>
    <row r="61" spans="1:131" ht="11.45" customHeight="1" x14ac:dyDescent="0.2">
      <c r="A61" s="154"/>
      <c r="B61" s="154"/>
      <c r="C61" s="216"/>
      <c r="D61" s="216"/>
      <c r="E61" s="216"/>
      <c r="F61" s="216"/>
      <c r="G61" s="216"/>
      <c r="H61" s="216"/>
      <c r="I61" s="216"/>
      <c r="J61" s="216"/>
      <c r="K61" s="216"/>
      <c r="L61" s="216"/>
      <c r="M61" s="216"/>
      <c r="N61" s="216"/>
      <c r="O61" s="216"/>
      <c r="P61" s="216"/>
      <c r="Q61" s="154"/>
      <c r="R61" s="154"/>
      <c r="S61" s="154"/>
      <c r="T61" s="154"/>
      <c r="U61" s="154"/>
      <c r="V61" s="154"/>
      <c r="W61" s="154"/>
      <c r="X61" s="154"/>
      <c r="Y61" s="154"/>
      <c r="Z61" s="154"/>
      <c r="AA61" s="154"/>
      <c r="AB61" s="154"/>
      <c r="AC61" s="154"/>
      <c r="AD61" s="154"/>
      <c r="AE61" s="154"/>
      <c r="AF61" s="154"/>
      <c r="AG61" s="154"/>
      <c r="AH61" s="154"/>
      <c r="AI61" s="154"/>
      <c r="AJ61" s="154"/>
      <c r="AK61" s="216"/>
      <c r="AL61" s="216"/>
      <c r="AM61" s="216"/>
      <c r="AN61" s="216"/>
      <c r="AO61" s="216"/>
      <c r="AP61" s="216"/>
      <c r="AQ61" s="216"/>
      <c r="AR61" s="216"/>
      <c r="AS61" s="216"/>
      <c r="AT61" s="216"/>
      <c r="AU61" s="216"/>
      <c r="AV61" s="216"/>
      <c r="AW61" s="216"/>
      <c r="AX61" s="216"/>
      <c r="AY61" s="154"/>
      <c r="AZ61" s="154"/>
      <c r="BA61" s="154"/>
      <c r="BB61" s="154"/>
      <c r="BC61" s="154"/>
      <c r="BD61" s="154"/>
      <c r="BE61" s="154"/>
      <c r="BF61" s="154"/>
      <c r="BG61" s="154"/>
      <c r="BH61" s="154"/>
      <c r="BI61" s="154"/>
      <c r="BJ61" s="154"/>
      <c r="BK61" s="154"/>
      <c r="BL61" s="154"/>
      <c r="BM61" s="154"/>
      <c r="BN61" s="154"/>
      <c r="BO61" s="154"/>
      <c r="BP61" s="154"/>
      <c r="BQ61" s="154"/>
      <c r="BR61" s="216"/>
      <c r="BS61" s="216"/>
      <c r="BT61" s="216"/>
      <c r="BU61" s="216"/>
      <c r="BV61" s="216"/>
      <c r="BW61" s="216"/>
      <c r="BX61" s="216"/>
      <c r="BY61" s="216"/>
      <c r="BZ61" s="216"/>
      <c r="CA61" s="216"/>
      <c r="CB61" s="216"/>
      <c r="CC61" s="216"/>
      <c r="CD61" s="216"/>
      <c r="CE61" s="216"/>
      <c r="CF61" s="375"/>
      <c r="CG61" s="375"/>
      <c r="CN61" s="91"/>
      <c r="DW61" s="35"/>
      <c r="DX61" s="56"/>
      <c r="DZ61" s="35"/>
      <c r="EA61" s="56"/>
    </row>
    <row r="62" spans="1:131" ht="11.45" customHeight="1" x14ac:dyDescent="0.2">
      <c r="A62" s="154"/>
      <c r="B62" s="154"/>
      <c r="C62" s="211" t="s">
        <v>184</v>
      </c>
      <c r="D62" s="211"/>
      <c r="E62" s="211"/>
      <c r="F62" s="211"/>
      <c r="G62" s="211"/>
      <c r="H62" s="211"/>
      <c r="I62" s="211"/>
      <c r="J62" s="211"/>
      <c r="K62" s="211"/>
      <c r="L62" s="211"/>
      <c r="M62" s="211"/>
      <c r="N62" s="211"/>
      <c r="O62" s="211"/>
      <c r="P62" s="211"/>
      <c r="Q62" s="154"/>
      <c r="R62" s="154"/>
      <c r="S62" s="154"/>
      <c r="T62" s="154"/>
      <c r="U62" s="154"/>
      <c r="V62" s="154"/>
      <c r="W62" s="154"/>
      <c r="X62" s="154"/>
      <c r="Y62" s="154"/>
      <c r="Z62" s="154"/>
      <c r="AA62" s="154"/>
      <c r="AB62" s="154"/>
      <c r="AC62" s="154"/>
      <c r="AD62" s="154"/>
      <c r="AE62" s="154"/>
      <c r="AF62" s="154"/>
      <c r="AG62" s="154"/>
      <c r="AH62" s="154"/>
      <c r="AI62" s="154"/>
      <c r="AJ62" s="154"/>
      <c r="AK62" s="218" t="s">
        <v>51</v>
      </c>
      <c r="AL62" s="218"/>
      <c r="AM62" s="218"/>
      <c r="AN62" s="218"/>
      <c r="AO62" s="218"/>
      <c r="AP62" s="218"/>
      <c r="AQ62" s="218"/>
      <c r="AR62" s="218"/>
      <c r="AS62" s="218"/>
      <c r="AT62" s="218"/>
      <c r="AU62" s="218"/>
      <c r="AV62" s="218"/>
      <c r="AW62" s="218"/>
      <c r="AX62" s="218"/>
      <c r="AY62" s="154"/>
      <c r="AZ62" s="154"/>
      <c r="BA62" s="154"/>
      <c r="BB62" s="154"/>
      <c r="BC62" s="154"/>
      <c r="BD62" s="154"/>
      <c r="BE62" s="154"/>
      <c r="BF62" s="154"/>
      <c r="BG62" s="154"/>
      <c r="BH62" s="154"/>
      <c r="BI62" s="154"/>
      <c r="BJ62" s="154"/>
      <c r="BK62" s="154"/>
      <c r="BL62" s="154"/>
      <c r="BM62" s="154"/>
      <c r="BN62" s="154"/>
      <c r="BO62" s="154"/>
      <c r="BP62" s="154"/>
      <c r="BQ62" s="154"/>
      <c r="BR62" s="218" t="s">
        <v>17</v>
      </c>
      <c r="BS62" s="218"/>
      <c r="BT62" s="218"/>
      <c r="BU62" s="218"/>
      <c r="BV62" s="218"/>
      <c r="BW62" s="218"/>
      <c r="BX62" s="218"/>
      <c r="BY62" s="218"/>
      <c r="BZ62" s="218"/>
      <c r="CA62" s="218"/>
      <c r="CB62" s="218"/>
      <c r="CC62" s="218"/>
      <c r="CD62" s="218"/>
      <c r="CE62" s="218"/>
      <c r="CF62" s="375"/>
      <c r="CG62" s="375"/>
      <c r="DW62" s="35"/>
      <c r="DX62" s="56"/>
      <c r="DZ62" s="35"/>
      <c r="EA62" s="56"/>
    </row>
    <row r="63" spans="1:131" ht="11.45" customHeight="1" x14ac:dyDescent="0.2">
      <c r="A63" s="148" t="s">
        <v>157</v>
      </c>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9" t="str">
        <f>'Data Entry'!AK9</f>
        <v>LTS-CUS-F-01 rev 2.0</v>
      </c>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c r="BS63" s="149"/>
      <c r="BT63" s="149"/>
      <c r="BU63" s="149"/>
      <c r="BV63" s="149"/>
      <c r="BW63" s="149"/>
      <c r="BX63" s="149"/>
      <c r="BY63" s="149"/>
      <c r="BZ63" s="149"/>
      <c r="CA63" s="149"/>
      <c r="CB63" s="149"/>
      <c r="CC63" s="149"/>
      <c r="CD63" s="149"/>
      <c r="CE63" s="149"/>
      <c r="CF63" s="149"/>
      <c r="CG63" s="149"/>
      <c r="CN63" s="1" t="s">
        <v>428</v>
      </c>
      <c r="DW63" s="35"/>
      <c r="DX63" s="56"/>
      <c r="DZ63" s="35"/>
      <c r="EA63" s="56"/>
    </row>
    <row r="64" spans="1:131" ht="11.45" customHeight="1" x14ac:dyDescent="0.2">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N64" s="107" t="s">
        <v>432</v>
      </c>
      <c r="DW64" s="35"/>
      <c r="DX64" s="56"/>
      <c r="DZ64" s="35"/>
      <c r="EA64" s="56"/>
    </row>
    <row r="65" spans="57:131" ht="11.45" customHeight="1" x14ac:dyDescent="0.2">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N65" s="2" t="s">
        <v>433</v>
      </c>
      <c r="DW65" s="35"/>
      <c r="DX65" s="56"/>
      <c r="DZ65" s="35"/>
      <c r="EA65" s="56"/>
    </row>
    <row r="66" spans="57:131" ht="11.45" customHeight="1" x14ac:dyDescent="0.2">
      <c r="CB66" s="90"/>
      <c r="CC66" s="90"/>
      <c r="CD66" s="90"/>
      <c r="CE66" s="90"/>
      <c r="CF66" s="90"/>
      <c r="CG66" s="90"/>
    </row>
  </sheetData>
  <sheetProtection formatCells="0" selectLockedCells="1"/>
  <mergeCells count="665">
    <mergeCell ref="AO63:CG63"/>
    <mergeCell ref="CC47:CG47"/>
    <mergeCell ref="CC48:CG48"/>
    <mergeCell ref="CC49:CG49"/>
    <mergeCell ref="AK59:AX61"/>
    <mergeCell ref="AK62:AX62"/>
    <mergeCell ref="AE49:AI49"/>
    <mergeCell ref="AJ49:AN49"/>
    <mergeCell ref="CF59:CG62"/>
    <mergeCell ref="A63:AN63"/>
    <mergeCell ref="C62:P62"/>
    <mergeCell ref="A59:B62"/>
    <mergeCell ref="C59:P61"/>
    <mergeCell ref="BI49:BM49"/>
    <mergeCell ref="A49:AD49"/>
    <mergeCell ref="P48:T48"/>
    <mergeCell ref="U48:Y48"/>
    <mergeCell ref="Z48:AD48"/>
    <mergeCell ref="AE48:AI48"/>
    <mergeCell ref="M53:R54"/>
    <mergeCell ref="BD49:BH49"/>
    <mergeCell ref="AT48:AX48"/>
    <mergeCell ref="BR62:CE62"/>
    <mergeCell ref="AT49:AX49"/>
    <mergeCell ref="CC46:CG46"/>
    <mergeCell ref="BX49:CB49"/>
    <mergeCell ref="BX48:CB48"/>
    <mergeCell ref="BX46:CB46"/>
    <mergeCell ref="BX44:CB44"/>
    <mergeCell ref="BR59:CE61"/>
    <mergeCell ref="BS45:BW45"/>
    <mergeCell ref="BX45:CB45"/>
    <mergeCell ref="BS49:BW49"/>
    <mergeCell ref="BN49:BR49"/>
    <mergeCell ref="BN48:BR48"/>
    <mergeCell ref="BS48:BW48"/>
    <mergeCell ref="BN47:BR47"/>
    <mergeCell ref="BN44:BR44"/>
    <mergeCell ref="BS44:BW44"/>
    <mergeCell ref="BN45:BR45"/>
    <mergeCell ref="A52:CG52"/>
    <mergeCell ref="AK53:AP53"/>
    <mergeCell ref="A53:F54"/>
    <mergeCell ref="G53:L54"/>
    <mergeCell ref="A56:F56"/>
    <mergeCell ref="Q59:AJ62"/>
    <mergeCell ref="AY59:BQ62"/>
    <mergeCell ref="BI48:BM48"/>
    <mergeCell ref="AY49:BC49"/>
    <mergeCell ref="AO49:AS49"/>
    <mergeCell ref="AZ51:BF51"/>
    <mergeCell ref="A51:R51"/>
    <mergeCell ref="AJ48:AN48"/>
    <mergeCell ref="A50:CG50"/>
    <mergeCell ref="BZ51:CF51"/>
    <mergeCell ref="BH51:BX51"/>
    <mergeCell ref="AO48:AS48"/>
    <mergeCell ref="A48:H48"/>
    <mergeCell ref="I48:O48"/>
    <mergeCell ref="AY48:BC48"/>
    <mergeCell ref="BD48:BH48"/>
    <mergeCell ref="BR33:CG34"/>
    <mergeCell ref="BX28:CB28"/>
    <mergeCell ref="AY47:BC47"/>
    <mergeCell ref="BD47:BH47"/>
    <mergeCell ref="BI47:BM47"/>
    <mergeCell ref="CC37:CG37"/>
    <mergeCell ref="CC38:CG38"/>
    <mergeCell ref="CC42:CG42"/>
    <mergeCell ref="BS42:BW42"/>
    <mergeCell ref="BX42:CB42"/>
    <mergeCell ref="AY41:BC41"/>
    <mergeCell ref="BD42:BH42"/>
    <mergeCell ref="BI42:BM42"/>
    <mergeCell ref="BN42:BR42"/>
    <mergeCell ref="BS37:BW37"/>
    <mergeCell ref="BS47:BW47"/>
    <mergeCell ref="BX47:CB47"/>
    <mergeCell ref="BX37:CB37"/>
    <mergeCell ref="BN38:BR38"/>
    <mergeCell ref="BS38:BW38"/>
    <mergeCell ref="BX38:CB38"/>
    <mergeCell ref="AY37:BC37"/>
    <mergeCell ref="BD37:BH37"/>
    <mergeCell ref="BI37:BM37"/>
    <mergeCell ref="BN46:BR46"/>
    <mergeCell ref="BS46:BW46"/>
    <mergeCell ref="A47:H47"/>
    <mergeCell ref="I47:O47"/>
    <mergeCell ref="P47:T47"/>
    <mergeCell ref="U47:Y47"/>
    <mergeCell ref="Z47:AD47"/>
    <mergeCell ref="AE47:AI47"/>
    <mergeCell ref="AT46:AX46"/>
    <mergeCell ref="AY46:BC46"/>
    <mergeCell ref="BD46:BH46"/>
    <mergeCell ref="BI46:BM46"/>
    <mergeCell ref="AJ47:AN47"/>
    <mergeCell ref="AT47:AX47"/>
    <mergeCell ref="BN37:BR37"/>
    <mergeCell ref="A42:H42"/>
    <mergeCell ref="I42:O42"/>
    <mergeCell ref="P42:T42"/>
    <mergeCell ref="U42:Y42"/>
    <mergeCell ref="Z42:AD42"/>
    <mergeCell ref="AE42:AI42"/>
    <mergeCell ref="AJ42:AN42"/>
    <mergeCell ref="AO42:AS42"/>
    <mergeCell ref="AE41:AI41"/>
    <mergeCell ref="AJ41:AN41"/>
    <mergeCell ref="AO41:AS41"/>
    <mergeCell ref="A41:H41"/>
    <mergeCell ref="I41:O41"/>
    <mergeCell ref="P41:T41"/>
    <mergeCell ref="A40:H40"/>
    <mergeCell ref="I40:O40"/>
    <mergeCell ref="A39:H39"/>
    <mergeCell ref="I39:O39"/>
    <mergeCell ref="P39:T39"/>
    <mergeCell ref="U39:Y39"/>
    <mergeCell ref="Z39:AD39"/>
    <mergeCell ref="AE39:AI39"/>
    <mergeCell ref="AJ39:AN39"/>
    <mergeCell ref="CC43:CG43"/>
    <mergeCell ref="CC44:CG44"/>
    <mergeCell ref="CC45:CG45"/>
    <mergeCell ref="BN43:BR43"/>
    <mergeCell ref="BS43:BW43"/>
    <mergeCell ref="BX43:CB43"/>
    <mergeCell ref="A46:H46"/>
    <mergeCell ref="I46:O46"/>
    <mergeCell ref="P46:T46"/>
    <mergeCell ref="U46:Y46"/>
    <mergeCell ref="BI45:BM45"/>
    <mergeCell ref="A45:H45"/>
    <mergeCell ref="I45:O45"/>
    <mergeCell ref="P45:T45"/>
    <mergeCell ref="U45:Y45"/>
    <mergeCell ref="Z45:AD45"/>
    <mergeCell ref="AE45:AI45"/>
    <mergeCell ref="AJ45:AN45"/>
    <mergeCell ref="BD45:BH45"/>
    <mergeCell ref="AO45:AS45"/>
    <mergeCell ref="AT45:AX45"/>
    <mergeCell ref="AY45:BC45"/>
    <mergeCell ref="A43:H43"/>
    <mergeCell ref="I43:O43"/>
    <mergeCell ref="I44:O44"/>
    <mergeCell ref="P44:T44"/>
    <mergeCell ref="U44:Y44"/>
    <mergeCell ref="AT43:AX43"/>
    <mergeCell ref="AY43:BC43"/>
    <mergeCell ref="BI44:BM44"/>
    <mergeCell ref="AT44:AX44"/>
    <mergeCell ref="Z40:AD40"/>
    <mergeCell ref="AJ40:AN40"/>
    <mergeCell ref="AT42:AX42"/>
    <mergeCell ref="Z43:AD43"/>
    <mergeCell ref="AE43:AI43"/>
    <mergeCell ref="AJ43:AN43"/>
    <mergeCell ref="AO43:AS43"/>
    <mergeCell ref="P43:T43"/>
    <mergeCell ref="U43:Y43"/>
    <mergeCell ref="BD43:BH43"/>
    <mergeCell ref="BI43:BM43"/>
    <mergeCell ref="AY44:BC44"/>
    <mergeCell ref="BD44:BH44"/>
    <mergeCell ref="Z44:AD44"/>
    <mergeCell ref="AE44:AI44"/>
    <mergeCell ref="AJ44:AN44"/>
    <mergeCell ref="AO44:AS44"/>
    <mergeCell ref="CI39:CL40"/>
    <mergeCell ref="CC39:CG39"/>
    <mergeCell ref="CC40:CG40"/>
    <mergeCell ref="BX41:CB41"/>
    <mergeCell ref="BS41:BW41"/>
    <mergeCell ref="BX40:CB40"/>
    <mergeCell ref="BD40:BH40"/>
    <mergeCell ref="BI40:BM40"/>
    <mergeCell ref="BN40:BR40"/>
    <mergeCell ref="BS40:BW40"/>
    <mergeCell ref="BN41:BR41"/>
    <mergeCell ref="BD41:BH41"/>
    <mergeCell ref="BI41:BM41"/>
    <mergeCell ref="BS39:BW39"/>
    <mergeCell ref="BX39:CB39"/>
    <mergeCell ref="CC41:CG41"/>
    <mergeCell ref="BI39:BM39"/>
    <mergeCell ref="BN39:BR39"/>
    <mergeCell ref="AO39:AS39"/>
    <mergeCell ref="AT39:AX39"/>
    <mergeCell ref="AY39:BC39"/>
    <mergeCell ref="BD39:BH39"/>
    <mergeCell ref="A38:H38"/>
    <mergeCell ref="I38:O38"/>
    <mergeCell ref="P38:T38"/>
    <mergeCell ref="U38:Y38"/>
    <mergeCell ref="Z38:AD38"/>
    <mergeCell ref="AE38:AI38"/>
    <mergeCell ref="AO38:AS38"/>
    <mergeCell ref="AJ38:AN38"/>
    <mergeCell ref="AT38:AX38"/>
    <mergeCell ref="DY35:DZ35"/>
    <mergeCell ref="EA35:EB35"/>
    <mergeCell ref="BD35:BH35"/>
    <mergeCell ref="BI35:BM35"/>
    <mergeCell ref="BN35:BR35"/>
    <mergeCell ref="BS35:BW36"/>
    <mergeCell ref="BX36:CB36"/>
    <mergeCell ref="DF35:DI35"/>
    <mergeCell ref="DL35:DO35"/>
    <mergeCell ref="DR35:DU35"/>
    <mergeCell ref="CC36:CG36"/>
    <mergeCell ref="BD36:BH36"/>
    <mergeCell ref="BI36:BM36"/>
    <mergeCell ref="BN36:BR36"/>
    <mergeCell ref="DW35:DX35"/>
    <mergeCell ref="BX35:CB35"/>
    <mergeCell ref="CR35:CS35"/>
    <mergeCell ref="CV35:CX35"/>
    <mergeCell ref="DA35:DC35"/>
    <mergeCell ref="CC35:CG35"/>
    <mergeCell ref="BJ32:BP32"/>
    <mergeCell ref="BR32:CG32"/>
    <mergeCell ref="BN33:BQ33"/>
    <mergeCell ref="A31:CG31"/>
    <mergeCell ref="BN30:BR30"/>
    <mergeCell ref="BS30:BW30"/>
    <mergeCell ref="P35:T35"/>
    <mergeCell ref="U35:Y35"/>
    <mergeCell ref="AJ35:AN35"/>
    <mergeCell ref="AO35:AS35"/>
    <mergeCell ref="A35:H35"/>
    <mergeCell ref="A33:F34"/>
    <mergeCell ref="G33:L33"/>
    <mergeCell ref="N33:S33"/>
    <mergeCell ref="T33:W33"/>
    <mergeCell ref="X33:AC34"/>
    <mergeCell ref="AD34:AF34"/>
    <mergeCell ref="BI30:BM30"/>
    <mergeCell ref="AQ33:AU34"/>
    <mergeCell ref="AV33:BL33"/>
    <mergeCell ref="AV34:BL34"/>
    <mergeCell ref="BN34:BQ34"/>
    <mergeCell ref="AT30:AX30"/>
    <mergeCell ref="AX32:AZ32"/>
    <mergeCell ref="BN28:BR28"/>
    <mergeCell ref="BN21:BR21"/>
    <mergeCell ref="DY16:DZ16"/>
    <mergeCell ref="DW16:DX16"/>
    <mergeCell ref="DF16:DI16"/>
    <mergeCell ref="DL16:DO16"/>
    <mergeCell ref="DR16:DU16"/>
    <mergeCell ref="CV16:CX16"/>
    <mergeCell ref="BX30:CB30"/>
    <mergeCell ref="BX23:CB23"/>
    <mergeCell ref="BX24:CB24"/>
    <mergeCell ref="CC24:CG24"/>
    <mergeCell ref="CC25:CG25"/>
    <mergeCell ref="CC26:CG26"/>
    <mergeCell ref="CC21:CG21"/>
    <mergeCell ref="BX16:CB16"/>
    <mergeCell ref="BX17:CB17"/>
    <mergeCell ref="BX18:CB18"/>
    <mergeCell ref="BX25:CB25"/>
    <mergeCell ref="BX19:CB19"/>
    <mergeCell ref="BX20:CB20"/>
    <mergeCell ref="CC27:CG27"/>
    <mergeCell ref="CC28:CG28"/>
    <mergeCell ref="CC29:CG29"/>
    <mergeCell ref="CI29:CL30"/>
    <mergeCell ref="BS29:BW29"/>
    <mergeCell ref="BX29:CB29"/>
    <mergeCell ref="CC22:CG22"/>
    <mergeCell ref="CC23:CG23"/>
    <mergeCell ref="BS24:BW24"/>
    <mergeCell ref="BS25:BW25"/>
    <mergeCell ref="BS16:BW17"/>
    <mergeCell ref="BS28:BW28"/>
    <mergeCell ref="CC30:CG30"/>
    <mergeCell ref="CN1:EB2"/>
    <mergeCell ref="CI21:CL22"/>
    <mergeCell ref="EA16:EB16"/>
    <mergeCell ref="BZ10:CG10"/>
    <mergeCell ref="BZ9:CG9"/>
    <mergeCell ref="CC19:CG19"/>
    <mergeCell ref="CC20:CG20"/>
    <mergeCell ref="CC16:CG16"/>
    <mergeCell ref="A12:CG12"/>
    <mergeCell ref="BZ11:CG11"/>
    <mergeCell ref="AJ21:AN21"/>
    <mergeCell ref="AO8:CG8"/>
    <mergeCell ref="A9:J9"/>
    <mergeCell ref="BR11:BY11"/>
    <mergeCell ref="O10:R10"/>
    <mergeCell ref="A10:N10"/>
    <mergeCell ref="AI11:AN11"/>
    <mergeCell ref="BR9:BY9"/>
    <mergeCell ref="BI16:BM16"/>
    <mergeCell ref="DA16:DC16"/>
    <mergeCell ref="CC17:CG17"/>
    <mergeCell ref="CC18:CG18"/>
    <mergeCell ref="BR10:BY10"/>
    <mergeCell ref="AA11:AH11"/>
    <mergeCell ref="A29:H29"/>
    <mergeCell ref="G34:L34"/>
    <mergeCell ref="N34:S34"/>
    <mergeCell ref="T34:W34"/>
    <mergeCell ref="P27:T27"/>
    <mergeCell ref="AD33:AF33"/>
    <mergeCell ref="AL32:AN32"/>
    <mergeCell ref="AP32:AW32"/>
    <mergeCell ref="Z36:AD36"/>
    <mergeCell ref="AE36:AI36"/>
    <mergeCell ref="A30:AD30"/>
    <mergeCell ref="A44:H44"/>
    <mergeCell ref="AX53:BF54"/>
    <mergeCell ref="AX55:BF57"/>
    <mergeCell ref="Z35:AD35"/>
    <mergeCell ref="AE35:AI35"/>
    <mergeCell ref="BD26:BH26"/>
    <mergeCell ref="A28:H28"/>
    <mergeCell ref="I28:O28"/>
    <mergeCell ref="P28:T28"/>
    <mergeCell ref="U28:Y28"/>
    <mergeCell ref="Z28:AD28"/>
    <mergeCell ref="AY30:BC30"/>
    <mergeCell ref="BD30:BH30"/>
    <mergeCell ref="AJ26:AN26"/>
    <mergeCell ref="AY38:BC38"/>
    <mergeCell ref="BD38:BH38"/>
    <mergeCell ref="P40:T40"/>
    <mergeCell ref="U40:Y40"/>
    <mergeCell ref="AO40:AS40"/>
    <mergeCell ref="AT40:AX40"/>
    <mergeCell ref="AY40:BC40"/>
    <mergeCell ref="AT36:AX36"/>
    <mergeCell ref="A36:H36"/>
    <mergeCell ref="A37:H37"/>
    <mergeCell ref="A58:D58"/>
    <mergeCell ref="F58:CG58"/>
    <mergeCell ref="AQ56:AV56"/>
    <mergeCell ref="BG53:BP54"/>
    <mergeCell ref="BG55:BP57"/>
    <mergeCell ref="A57:F57"/>
    <mergeCell ref="G57:L57"/>
    <mergeCell ref="M57:R57"/>
    <mergeCell ref="S57:X57"/>
    <mergeCell ref="Y57:AD57"/>
    <mergeCell ref="AK57:AP57"/>
    <mergeCell ref="AQ57:AV57"/>
    <mergeCell ref="AK56:AP56"/>
    <mergeCell ref="S53:X53"/>
    <mergeCell ref="S54:X54"/>
    <mergeCell ref="A55:F55"/>
    <mergeCell ref="G55:L55"/>
    <mergeCell ref="M55:R55"/>
    <mergeCell ref="S55:X55"/>
    <mergeCell ref="M56:R56"/>
    <mergeCell ref="S56:X56"/>
    <mergeCell ref="BY53:CG54"/>
    <mergeCell ref="BQ53:BX54"/>
    <mergeCell ref="BQ55:BX57"/>
    <mergeCell ref="I37:O37"/>
    <mergeCell ref="P37:T37"/>
    <mergeCell ref="U37:Y37"/>
    <mergeCell ref="Z37:AD37"/>
    <mergeCell ref="AY17:BC17"/>
    <mergeCell ref="AY18:BC18"/>
    <mergeCell ref="AO17:AS17"/>
    <mergeCell ref="AO18:AS18"/>
    <mergeCell ref="AO36:AS36"/>
    <mergeCell ref="I35:O36"/>
    <mergeCell ref="AT35:AX35"/>
    <mergeCell ref="AE37:AI37"/>
    <mergeCell ref="AJ37:AN37"/>
    <mergeCell ref="AO37:AS37"/>
    <mergeCell ref="AT37:AX37"/>
    <mergeCell ref="Z17:AD17"/>
    <mergeCell ref="Z18:AD18"/>
    <mergeCell ref="AO28:AS28"/>
    <mergeCell ref="AJ20:AN20"/>
    <mergeCell ref="AJ27:AN27"/>
    <mergeCell ref="A32:AK32"/>
    <mergeCell ref="AT26:AX26"/>
    <mergeCell ref="P36:T36"/>
    <mergeCell ref="U36:Y36"/>
    <mergeCell ref="BD16:BH16"/>
    <mergeCell ref="BD17:BH17"/>
    <mergeCell ref="BD18:BH18"/>
    <mergeCell ref="CR16:CS16"/>
    <mergeCell ref="BS19:BW19"/>
    <mergeCell ref="BS20:BW20"/>
    <mergeCell ref="BI20:BM20"/>
    <mergeCell ref="AO16:AS16"/>
    <mergeCell ref="BD20:BH20"/>
    <mergeCell ref="AY16:BC16"/>
    <mergeCell ref="BI19:BM19"/>
    <mergeCell ref="AT16:AX16"/>
    <mergeCell ref="AT17:AX17"/>
    <mergeCell ref="BN16:BR16"/>
    <mergeCell ref="BN17:BR17"/>
    <mergeCell ref="BI17:BM17"/>
    <mergeCell ref="AY19:BC19"/>
    <mergeCell ref="BD19:BH19"/>
    <mergeCell ref="BI18:BM18"/>
    <mergeCell ref="BS18:BW18"/>
    <mergeCell ref="BN18:BR18"/>
    <mergeCell ref="BN19:BR19"/>
    <mergeCell ref="BN20:BR20"/>
    <mergeCell ref="AQ55:AV55"/>
    <mergeCell ref="AE40:AI40"/>
    <mergeCell ref="Y55:AD55"/>
    <mergeCell ref="AE55:AJ55"/>
    <mergeCell ref="AO47:AS47"/>
    <mergeCell ref="AQ54:AV54"/>
    <mergeCell ref="Y53:AD53"/>
    <mergeCell ref="Y54:AD54"/>
    <mergeCell ref="AE53:AJ53"/>
    <mergeCell ref="AE54:AJ54"/>
    <mergeCell ref="AK54:AP54"/>
    <mergeCell ref="AQ53:AV53"/>
    <mergeCell ref="AT41:AX41"/>
    <mergeCell ref="Z46:AD46"/>
    <mergeCell ref="AE46:AI46"/>
    <mergeCell ref="AJ46:AN46"/>
    <mergeCell ref="AO46:AS46"/>
    <mergeCell ref="A6:CG6"/>
    <mergeCell ref="A7:CG7"/>
    <mergeCell ref="BX27:CB27"/>
    <mergeCell ref="BX26:CB26"/>
    <mergeCell ref="BS27:BW27"/>
    <mergeCell ref="BX21:CB21"/>
    <mergeCell ref="BS26:BW26"/>
    <mergeCell ref="BN25:BR25"/>
    <mergeCell ref="BN24:BR24"/>
    <mergeCell ref="BX22:CB22"/>
    <mergeCell ref="AJ16:AN16"/>
    <mergeCell ref="AJ17:AN17"/>
    <mergeCell ref="AJ18:AN18"/>
    <mergeCell ref="AY24:BC24"/>
    <mergeCell ref="BI21:BM21"/>
    <mergeCell ref="AE16:AI16"/>
    <mergeCell ref="AE17:AI17"/>
    <mergeCell ref="AJ19:AN19"/>
    <mergeCell ref="Z16:AD16"/>
    <mergeCell ref="AT25:AX25"/>
    <mergeCell ref="BN26:BR26"/>
    <mergeCell ref="BI26:BM26"/>
    <mergeCell ref="BN27:BR27"/>
    <mergeCell ref="BI27:BM27"/>
    <mergeCell ref="AY23:BC23"/>
    <mergeCell ref="AJ22:AN22"/>
    <mergeCell ref="AJ23:AN23"/>
    <mergeCell ref="BY55:CG57"/>
    <mergeCell ref="G56:L56"/>
    <mergeCell ref="BS21:BW21"/>
    <mergeCell ref="BS22:BW22"/>
    <mergeCell ref="BS23:BW23"/>
    <mergeCell ref="AY29:BC29"/>
    <mergeCell ref="BD29:BH29"/>
    <mergeCell ref="BI29:BM29"/>
    <mergeCell ref="BN29:BR29"/>
    <mergeCell ref="BI28:BM28"/>
    <mergeCell ref="BD27:BH27"/>
    <mergeCell ref="BD28:BH28"/>
    <mergeCell ref="AW53:AW57"/>
    <mergeCell ref="Y56:AD56"/>
    <mergeCell ref="AE56:AJ56"/>
    <mergeCell ref="AE57:AJ57"/>
    <mergeCell ref="S51:AF51"/>
    <mergeCell ref="AH51:AN51"/>
    <mergeCell ref="U41:Y41"/>
    <mergeCell ref="Z41:AD41"/>
    <mergeCell ref="AK55:AP55"/>
    <mergeCell ref="AE18:AI18"/>
    <mergeCell ref="AE19:AI19"/>
    <mergeCell ref="AE20:AI20"/>
    <mergeCell ref="AE21:AI21"/>
    <mergeCell ref="AE22:AI22"/>
    <mergeCell ref="AE23:AI23"/>
    <mergeCell ref="AT18:AX18"/>
    <mergeCell ref="AT19:AX19"/>
    <mergeCell ref="AT29:AX29"/>
    <mergeCell ref="AO20:AS20"/>
    <mergeCell ref="AE29:AI29"/>
    <mergeCell ref="Z19:AD19"/>
    <mergeCell ref="Z20:AD20"/>
    <mergeCell ref="Z21:AD21"/>
    <mergeCell ref="AO19:AS19"/>
    <mergeCell ref="Z22:AD22"/>
    <mergeCell ref="AP51:AX51"/>
    <mergeCell ref="AY42:BC42"/>
    <mergeCell ref="AH33:AL33"/>
    <mergeCell ref="AT20:AX20"/>
    <mergeCell ref="AT21:AX21"/>
    <mergeCell ref="AT22:AX22"/>
    <mergeCell ref="AY25:BC25"/>
    <mergeCell ref="AY26:BC26"/>
    <mergeCell ref="AY20:BC20"/>
    <mergeCell ref="AY21:BC21"/>
    <mergeCell ref="AH34:AL34"/>
    <mergeCell ref="AM34:AP34"/>
    <mergeCell ref="AO27:AS27"/>
    <mergeCell ref="AJ36:AN36"/>
    <mergeCell ref="AJ30:AN30"/>
    <mergeCell ref="AO30:AS30"/>
    <mergeCell ref="AY35:BC35"/>
    <mergeCell ref="Z29:AD29"/>
    <mergeCell ref="AO23:AS23"/>
    <mergeCell ref="BB32:BI32"/>
    <mergeCell ref="AY36:BC36"/>
    <mergeCell ref="AM33:AP33"/>
    <mergeCell ref="BI38:BM38"/>
    <mergeCell ref="AE28:AI28"/>
    <mergeCell ref="AJ28:AN28"/>
    <mergeCell ref="BD22:BH22"/>
    <mergeCell ref="AE25:AI25"/>
    <mergeCell ref="BI25:BM25"/>
    <mergeCell ref="AE26:AI26"/>
    <mergeCell ref="BD25:BH25"/>
    <mergeCell ref="AY27:BC27"/>
    <mergeCell ref="AY28:BC28"/>
    <mergeCell ref="AE27:AI27"/>
    <mergeCell ref="AT27:AX27"/>
    <mergeCell ref="AT28:AX28"/>
    <mergeCell ref="AE24:AI24"/>
    <mergeCell ref="AJ25:AN25"/>
    <mergeCell ref="AO25:AS25"/>
    <mergeCell ref="AO26:AS26"/>
    <mergeCell ref="AJ29:AN29"/>
    <mergeCell ref="AO29:AS29"/>
    <mergeCell ref="AE30:AI30"/>
    <mergeCell ref="AY22:BC22"/>
    <mergeCell ref="BD21:BH21"/>
    <mergeCell ref="BN23:BR23"/>
    <mergeCell ref="AO21:AS21"/>
    <mergeCell ref="AO22:AS22"/>
    <mergeCell ref="AO24:AS24"/>
    <mergeCell ref="BN22:BR22"/>
    <mergeCell ref="Z23:AD23"/>
    <mergeCell ref="U27:Y27"/>
    <mergeCell ref="U23:Y23"/>
    <mergeCell ref="U24:Y24"/>
    <mergeCell ref="Z26:AD26"/>
    <mergeCell ref="Z27:AD27"/>
    <mergeCell ref="U26:Y26"/>
    <mergeCell ref="Z24:AD24"/>
    <mergeCell ref="Z25:AD25"/>
    <mergeCell ref="U25:Y25"/>
    <mergeCell ref="AJ24:AN24"/>
    <mergeCell ref="BD24:BH24"/>
    <mergeCell ref="BI24:BM24"/>
    <mergeCell ref="BI22:BM22"/>
    <mergeCell ref="BI23:BM23"/>
    <mergeCell ref="AT24:AX24"/>
    <mergeCell ref="AT23:AX23"/>
    <mergeCell ref="BD23:BH23"/>
    <mergeCell ref="U17:Y17"/>
    <mergeCell ref="P16:T16"/>
    <mergeCell ref="P17:T17"/>
    <mergeCell ref="A16:H16"/>
    <mergeCell ref="I16:O17"/>
    <mergeCell ref="A17:H17"/>
    <mergeCell ref="U16:Y16"/>
    <mergeCell ref="U18:Y18"/>
    <mergeCell ref="U19:Y19"/>
    <mergeCell ref="P18:T18"/>
    <mergeCell ref="P19:T19"/>
    <mergeCell ref="P20:T20"/>
    <mergeCell ref="P21:T21"/>
    <mergeCell ref="P22:T22"/>
    <mergeCell ref="P24:T24"/>
    <mergeCell ref="P25:T25"/>
    <mergeCell ref="A19:H19"/>
    <mergeCell ref="I19:O19"/>
    <mergeCell ref="A18:H18"/>
    <mergeCell ref="I18:O18"/>
    <mergeCell ref="U20:Y20"/>
    <mergeCell ref="U21:Y21"/>
    <mergeCell ref="U22:Y22"/>
    <mergeCell ref="I29:O29"/>
    <mergeCell ref="P29:T29"/>
    <mergeCell ref="U29:Y29"/>
    <mergeCell ref="P26:T26"/>
    <mergeCell ref="I26:O26"/>
    <mergeCell ref="A24:H24"/>
    <mergeCell ref="I24:O24"/>
    <mergeCell ref="A20:H20"/>
    <mergeCell ref="I20:O20"/>
    <mergeCell ref="A23:H23"/>
    <mergeCell ref="I23:O23"/>
    <mergeCell ref="A21:H21"/>
    <mergeCell ref="P23:T23"/>
    <mergeCell ref="A25:H25"/>
    <mergeCell ref="I25:O25"/>
    <mergeCell ref="A26:H26"/>
    <mergeCell ref="I21:O21"/>
    <mergeCell ref="A22:H22"/>
    <mergeCell ref="I22:O22"/>
    <mergeCell ref="A27:H27"/>
    <mergeCell ref="I27:O27"/>
    <mergeCell ref="A1:BK1"/>
    <mergeCell ref="A2:BK2"/>
    <mergeCell ref="BL1:BP1"/>
    <mergeCell ref="BL2:BP2"/>
    <mergeCell ref="I4:T4"/>
    <mergeCell ref="U4:W4"/>
    <mergeCell ref="Y4:AD4"/>
    <mergeCell ref="A4:G4"/>
    <mergeCell ref="BR1:CG1"/>
    <mergeCell ref="BR2:CG2"/>
    <mergeCell ref="AE4:AG4"/>
    <mergeCell ref="AI4:AN4"/>
    <mergeCell ref="A14:F15"/>
    <mergeCell ref="G14:L14"/>
    <mergeCell ref="G15:L15"/>
    <mergeCell ref="N14:S14"/>
    <mergeCell ref="AD14:AF14"/>
    <mergeCell ref="AD15:AF15"/>
    <mergeCell ref="AM15:AP15"/>
    <mergeCell ref="AQ14:AV15"/>
    <mergeCell ref="AW14:BL14"/>
    <mergeCell ref="AW15:BL15"/>
    <mergeCell ref="N15:S15"/>
    <mergeCell ref="T14:W14"/>
    <mergeCell ref="T15:W15"/>
    <mergeCell ref="X14:AC15"/>
    <mergeCell ref="AM14:AP14"/>
    <mergeCell ref="AH14:AL14"/>
    <mergeCell ref="AH15:AL15"/>
    <mergeCell ref="BM5:BV5"/>
    <mergeCell ref="AO4:AP5"/>
    <mergeCell ref="AQ4:AZ4"/>
    <mergeCell ref="BB4:BL4"/>
    <mergeCell ref="BM4:BV4"/>
    <mergeCell ref="I5:T5"/>
    <mergeCell ref="U5:AA5"/>
    <mergeCell ref="AC5:AN5"/>
    <mergeCell ref="AQ5:AZ5"/>
    <mergeCell ref="BB5:BL5"/>
    <mergeCell ref="BN14:BQ14"/>
    <mergeCell ref="BN15:BQ15"/>
    <mergeCell ref="BR14:CG15"/>
    <mergeCell ref="AO9:BP9"/>
    <mergeCell ref="AO10:BP10"/>
    <mergeCell ref="AO11:BP11"/>
    <mergeCell ref="A3:BQ3"/>
    <mergeCell ref="BR3:CG3"/>
    <mergeCell ref="BX5:CG5"/>
    <mergeCell ref="A13:AK13"/>
    <mergeCell ref="AL13:AN13"/>
    <mergeCell ref="AP13:AW13"/>
    <mergeCell ref="AX13:AZ13"/>
    <mergeCell ref="BB13:BI13"/>
    <mergeCell ref="BJ13:BP13"/>
    <mergeCell ref="BR13:CG13"/>
    <mergeCell ref="BX4:CG4"/>
    <mergeCell ref="A8:AN8"/>
    <mergeCell ref="A11:Y11"/>
    <mergeCell ref="T10:AB10"/>
    <mergeCell ref="AC10:AF10"/>
    <mergeCell ref="AH10:AN10"/>
    <mergeCell ref="L9:AN9"/>
    <mergeCell ref="A5:G5"/>
  </mergeCells>
  <phoneticPr fontId="2" type="noConversion"/>
  <conditionalFormatting sqref="AX55:CG57 BN30 BD30 AT30 AJ30 A37:O48 C59 AK59 BR59 BR9:BY11 U37:Y48 CC30 BD18:CG29 BD37:CG48 BR1:CG2 AI4 AC5 Y4 I4:T5 AH14 AP13 AH33 AJ49 AT49 BD49 BN49 BX49 CC49 BX30 P37:T48">
    <cfRule type="containsBlanks" dxfId="110" priority="8" stopIfTrue="1">
      <formula>LEN(TRIM(A1))=0</formula>
    </cfRule>
  </conditionalFormatting>
  <conditionalFormatting sqref="L9 T10 N14:S15 AH15 BB13 BR13 BN1543 BB4:BL5 AA11 AH10 BN14:BQ15 AM15 AM34 AH34 N33:S34 BN33:BQ34 BB32 BR32 BZ51 AZ51 AH51 AP32 BX4:CG5 A18:BC29 Z37:BC48">
    <cfRule type="containsBlanks" dxfId="109" priority="7" stopIfTrue="1">
      <formula>LEN(TRIM(A4))=0</formula>
    </cfRule>
  </conditionalFormatting>
  <dataValidations xWindow="235" yWindow="332" count="42">
    <dataValidation type="list" allowBlank="1" showInputMessage="1" showErrorMessage="1" sqref="BZ51:CF51" xr:uid="{00000000-0002-0000-0800-000000000000}">
      <formula1>$CN$13:$CN$14</formula1>
    </dataValidation>
    <dataValidation type="list" allowBlank="1" showInputMessage="1" showErrorMessage="1" sqref="Z36:AD36 Z17:AD17 AO17:AS17 AO36:AS36" xr:uid="{00000000-0002-0000-0800-000001000000}">
      <formula1>$CN$29:$CN$30</formula1>
    </dataValidation>
    <dataValidation type="list" allowBlank="1" showInputMessage="1" showErrorMessage="1" sqref="P16:T16" xr:uid="{00000000-0002-0000-0800-000002000000}">
      <formula1>$CN$18:$CN$20</formula1>
    </dataValidation>
    <dataValidation type="list" allowBlank="1" showInputMessage="1" showErrorMessage="1" sqref="U17:Y17" xr:uid="{00000000-0002-0000-0800-000003000000}">
      <formula1>$CN$24:$CN$25</formula1>
    </dataValidation>
    <dataValidation type="list" allowBlank="1" showInputMessage="1" showErrorMessage="1" sqref="T14 T33" xr:uid="{00000000-0002-0000-0800-000004000000}">
      <formula1>$CN$8:$CN$9</formula1>
    </dataValidation>
    <dataValidation type="list" allowBlank="1" showInputMessage="1" showErrorMessage="1" sqref="AJ17:AN17" xr:uid="{00000000-0002-0000-0800-000005000000}">
      <formula1>$CN$34:$CN$35</formula1>
    </dataValidation>
    <dataValidation type="list" allowBlank="1" showInputMessage="1" showErrorMessage="1" sqref="AY17:BC17" xr:uid="{00000000-0002-0000-0800-000006000000}">
      <formula1>$CN$39:$CN$40</formula1>
    </dataValidation>
    <dataValidation allowBlank="1" showInputMessage="1" showErrorMessage="1" prompt="Enter the barge's last port of call" sqref="L9:AN9" xr:uid="{00000000-0002-0000-0800-000007000000}"/>
    <dataValidation allowBlank="1" showInputMessage="1" showErrorMessage="1" prompt="Enter the date barge sailed from the last port of call" sqref="T10:AB10" xr:uid="{00000000-0002-0000-0800-000008000000}"/>
    <dataValidation allowBlank="1" showInputMessage="1" showErrorMessage="1" prompt="Enter the time barge sailed from last port of call" sqref="AH10:AN10" xr:uid="{00000000-0002-0000-0800-000009000000}"/>
    <dataValidation allowBlank="1" showInputMessage="1" showErrorMessage="1" prompt="Enter the amount of bunkers on departure from the last port of call as advised by the barge" sqref="AA11:AH11" xr:uid="{00000000-0002-0000-0800-00000A000000}"/>
    <dataValidation allowBlank="1" showInputMessage="1" showErrorMessage="1" prompt="Enter the name of the barge tank" sqref="A18:H18" xr:uid="{00000000-0002-0000-0800-00000B000000}"/>
    <dataValidation allowBlank="1" showInputMessage="1" showErrorMessage="1" prompt="Enter the grade of fuel within the tank" sqref="I18:O25" xr:uid="{00000000-0002-0000-0800-00000C000000}"/>
    <dataValidation allowBlank="1" showInputMessage="1" showErrorMessage="1" promptTitle="Opening Density" prompt="Enter the density/API/specific gravity of the fuel within the tank as advised by the barge. Ensure that it is correctly stated above." sqref="P18:T25" xr:uid="{00000000-0002-0000-0800-00000D000000}"/>
    <dataValidation allowBlank="1" showInputMessage="1" showErrorMessage="1" prompt="Enter the reference height in metres or in Ft&amp;In, this should be available in the vessels calibration tables. Ensure to select the correct units above._x000a_" sqref="U18:Y18" xr:uid="{00000000-0002-0000-0800-00000E000000}"/>
    <dataValidation allowBlank="1" showInputMessage="1" showErrorMessage="1" promptTitle="Opening Soundings" prompt="Enter observed innage/ullage figures. Ensure that innage or ullage is correctly stated above." sqref="Z37:AI37 Z18:AI18 AO37:AS37" xr:uid="{00000000-0002-0000-0800-00000F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AJ37:AN37 AT37:AX37" xr:uid="{00000000-0002-0000-0800-000011000000}"/>
    <dataValidation allowBlank="1" showInputMessage="1" showErrorMessage="1" promptTitle="Opening Soundings" prompt="Enter if any Free Water (F.W.) was observed during the soundings." sqref="AO18:AS18" xr:uid="{00000000-0002-0000-0800-000012000000}"/>
    <dataValidation allowBlank="1" showInputMessage="1" showErrorMessage="1" promptTitle="Opening Soundings" prompt="Calculate the volume of F.W. This can be entered in m³ or barrels, ensure the correct units are selected above." sqref="AT18:AX18" xr:uid="{00000000-0002-0000-0800-000013000000}"/>
    <dataValidation allowBlank="1" showInputMessage="1" showErrorMessage="1" promptTitle="Opening Temperatures" prompt="Enter the temperature of the fuel within the tank in either °C or °F. Ensure the correct units are selected above." sqref="AY18:BC18 AY37:BC37" xr:uid="{00000000-0002-0000-0800-000014000000}"/>
    <dataValidation allowBlank="1" showInputMessage="1" showErrorMessage="1" promptTitle="Closing Density" prompt="Enter the density/API/specific gravity of the fuel within the tank. Ensure that it is correctly stated above." sqref="P37:T37" xr:uid="{00000000-0002-0000-0800-000015000000}"/>
    <dataValidation allowBlank="1" sqref="U36:Y36" xr:uid="{00000000-0002-0000-0800-00001C000000}"/>
    <dataValidation allowBlank="1" prompt="Enter the reference height in metres or in Ft&amp;In, this should be available in the vessels calibration tables. Ensure to select the correct units above._x000a_" sqref="U37:Y48" xr:uid="{00000000-0002-0000-0800-00001D000000}"/>
    <dataValidation allowBlank="1" showInputMessage="1" showErrorMessage="1" prompt="Enter the serial number of the sounding tape used" sqref="BX4:CG5" xr:uid="{00000000-0002-0000-0800-00001F000000}"/>
    <dataValidation operator="greaterThan" allowBlank="1" showInputMessage="1" showErrorMessage="1" prompt="Enter the date of the calibration table_x000a_" sqref="BB5:BL5" xr:uid="{00000000-0002-0000-0800-000020000000}"/>
    <dataValidation allowBlank="1" showInputMessage="1" showErrorMessage="1" prompt="Please enter the name of the company that has certified/created the calibration table." sqref="BB4:BL4" xr:uid="{00000000-0002-0000-0800-000021000000}"/>
    <dataValidation type="list" allowBlank="1" showInputMessage="1" showErrorMessage="1" sqref="AM15 AM34" xr:uid="{00000000-0002-0000-0800-000022000000}">
      <formula1>$CN$64:$CN$65</formula1>
    </dataValidation>
    <dataValidation type="list" allowBlank="1" showInputMessage="1" showErrorMessage="1" prompt="Advise the sea condition during the opening soundings" sqref="BR13:CG13" xr:uid="{00000000-0002-0000-0800-000023000000}">
      <formula1>$CN$57:$CN$60</formula1>
    </dataValidation>
    <dataValidation allowBlank="1" showInputMessage="1" showErrorMessage="1" prompt="Advise the list of the vessel when opening soundings were made and select either °P or °S in the adjacent box" sqref="AH15:AL15" xr:uid="{00000000-0002-0000-0800-000024000000}"/>
    <dataValidation type="list" allowBlank="1" showInputMessage="1" showErrorMessage="1" prompt="Advise whether trim corrections were made on arrival" sqref="BN14:BQ14" xr:uid="{00000000-0002-0000-0800-000025000000}">
      <formula1>$CN$13:$CN$14</formula1>
    </dataValidation>
    <dataValidation allowBlank="1" showInputMessage="1" showErrorMessage="1" prompt="Advise time that the opening soundings were made_x000a_" sqref="BB13:BI13" xr:uid="{00000000-0002-0000-0800-000026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0800-000027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0800-000028000000}"/>
    <dataValidation type="list" allowBlank="1" showInputMessage="1" showErrorMessage="1" prompt="Advise whether list corrections were made on arrival" sqref="BN15:BQ15" xr:uid="{00000000-0002-0000-0800-000029000000}">
      <formula1>$CN$13:$CN$14</formula1>
    </dataValidation>
    <dataValidation type="list" allowBlank="1" showInputMessage="1" showErrorMessage="1" prompt="Advise the sea condition during the closing soundings" sqref="BR32:CG32" xr:uid="{00000000-0002-0000-0800-00002A000000}">
      <formula1>$CN$57:$CN$60</formula1>
    </dataValidation>
    <dataValidation type="list" allowBlank="1" showInputMessage="1" showErrorMessage="1" prompt="Advise whether list corrections were made on departure_x000a_" sqref="BN34:BQ34" xr:uid="{00000000-0002-0000-0800-00002B000000}">
      <formula1>$CN$13:$CN$14</formula1>
    </dataValidation>
    <dataValidation type="list" allowBlank="1" showInputMessage="1" showErrorMessage="1" prompt="Advise whether trim corrections were made on departure" sqref="BN33:BQ33" xr:uid="{00000000-0002-0000-0800-00002C000000}">
      <formula1>$CN$13:$CN$14</formula1>
    </dataValidation>
    <dataValidation allowBlank="1" showInputMessage="1" showErrorMessage="1" prompt="Advise time that the closing soundings were made_x000a_" sqref="BB32:BI32" xr:uid="{00000000-0002-0000-0800-00002D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0800-00002E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0800-00002F000000}"/>
    <dataValidation allowBlank="1" showInputMessage="1" showErrorMessage="1" prompt="Advise the list of the vessel when closing soundings were made and select either °P or °S in the adjacent box" sqref="AH34:AL34" xr:uid="{00000000-0002-0000-0800-000030000000}"/>
    <dataValidation allowBlank="1" showInputMessage="1" showErrorMessage="1" prompt="Advise date closing measurements were made" sqref="AP32:AW32" xr:uid="{7BA03E26-1A90-4218-86C7-6875726BF75C}"/>
  </dataValidations>
  <printOptions horizontalCentered="1" verticalCentered="1"/>
  <pageMargins left="0.23622047244094491" right="0.23622047244094491" top="0.23622047244094491" bottom="0.23622047244094491" header="0.51181102362204722" footer="0.23622047244094491"/>
  <pageSetup scale="94" orientation="landscape" horizontalDpi="4294967293" r:id="rId1"/>
  <headerFooter alignWithMargins="0">
    <oddFooter>&amp;C&amp;06 &amp;P &amp;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0">
    <tabColor rgb="FF92D050"/>
    <pageSetUpPr fitToPage="1"/>
  </sheetPr>
  <dimension ref="A1:EB65"/>
  <sheetViews>
    <sheetView zoomScaleNormal="100" workbookViewId="0">
      <selection activeCell="CI13" sqref="CI13"/>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96" t="s">
        <v>280</v>
      </c>
      <c r="BM1" s="196"/>
      <c r="BN1" s="196"/>
      <c r="BO1" s="196"/>
      <c r="BP1" s="196"/>
      <c r="BQ1" s="6" t="s">
        <v>0</v>
      </c>
      <c r="BR1" s="196" t="str">
        <f>IF('Data Entry'!N28="","",'Data Entry'!N28)</f>
        <v/>
      </c>
      <c r="BS1" s="196"/>
      <c r="BT1" s="196"/>
      <c r="BU1" s="196"/>
      <c r="BV1" s="196"/>
      <c r="BW1" s="196"/>
      <c r="BX1" s="196"/>
      <c r="BY1" s="196"/>
      <c r="BZ1" s="196"/>
      <c r="CA1" s="196"/>
      <c r="CB1" s="196"/>
      <c r="CC1" s="196"/>
      <c r="CD1" s="196"/>
      <c r="CE1" s="196"/>
      <c r="CF1" s="196"/>
      <c r="CG1" s="196"/>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394" t="s">
        <v>542</v>
      </c>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BK2" s="394"/>
      <c r="BL2" s="196" t="s">
        <v>281</v>
      </c>
      <c r="BM2" s="196"/>
      <c r="BN2" s="196"/>
      <c r="BO2" s="196"/>
      <c r="BP2" s="196"/>
      <c r="BQ2" s="6" t="s">
        <v>0</v>
      </c>
      <c r="BR2" s="196" t="str">
        <f>IF('Data Entry'!N39="","",'Data Entry'!N39)</f>
        <v>SC17124</v>
      </c>
      <c r="BS2" s="196"/>
      <c r="BT2" s="196"/>
      <c r="BU2" s="196"/>
      <c r="BV2" s="196"/>
      <c r="BW2" s="196"/>
      <c r="BX2" s="196"/>
      <c r="BY2" s="196"/>
      <c r="BZ2" s="196"/>
      <c r="CA2" s="196"/>
      <c r="CB2" s="196"/>
      <c r="CC2" s="196"/>
      <c r="CD2" s="196"/>
      <c r="CE2" s="196"/>
      <c r="CF2" s="196"/>
      <c r="CG2" s="196"/>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92" t="str">
        <f>IF('Data Entry'!N10="","",'Data Entry'!N10)</f>
        <v/>
      </c>
      <c r="Z4" s="392"/>
      <c r="AA4" s="392"/>
      <c r="AB4" s="392"/>
      <c r="AC4" s="392"/>
      <c r="AD4" s="392"/>
      <c r="AE4" s="155" t="s">
        <v>25</v>
      </c>
      <c r="AF4" s="155"/>
      <c r="AG4" s="155"/>
      <c r="AH4" s="90" t="s">
        <v>0</v>
      </c>
      <c r="AI4" s="155"/>
      <c r="AJ4" s="155"/>
      <c r="AK4" s="155"/>
      <c r="AL4" s="155"/>
      <c r="AM4" s="155"/>
      <c r="AN4" s="155"/>
      <c r="AO4" s="155"/>
      <c r="AP4" s="155"/>
      <c r="AQ4" s="155" t="s">
        <v>421</v>
      </c>
      <c r="AR4" s="155"/>
      <c r="AS4" s="155"/>
      <c r="AT4" s="155"/>
      <c r="AU4" s="155"/>
      <c r="AV4" s="155"/>
      <c r="AW4" s="155"/>
      <c r="AX4" s="155"/>
      <c r="AY4" s="155"/>
      <c r="AZ4" s="155"/>
      <c r="BA4" s="90" t="s">
        <v>0</v>
      </c>
      <c r="BB4" s="155"/>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Entry'!N12="","",'Data Entry'!N12)</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92"/>
      <c r="BC5" s="392"/>
      <c r="BD5" s="392"/>
      <c r="BE5" s="392"/>
      <c r="BF5" s="392"/>
      <c r="BG5" s="392"/>
      <c r="BH5" s="392"/>
      <c r="BI5" s="392"/>
      <c r="BJ5" s="392"/>
      <c r="BK5" s="392"/>
      <c r="BL5" s="392"/>
      <c r="BM5" s="155" t="s">
        <v>424</v>
      </c>
      <c r="BN5" s="155"/>
      <c r="BO5" s="155"/>
      <c r="BP5" s="155"/>
      <c r="BQ5" s="155"/>
      <c r="BR5" s="155"/>
      <c r="BS5" s="155"/>
      <c r="BT5" s="155"/>
      <c r="BU5" s="155"/>
      <c r="BV5" s="155"/>
      <c r="BW5" s="90" t="s">
        <v>0</v>
      </c>
      <c r="BX5" s="155"/>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219" t="s">
        <v>29</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367"/>
      <c r="AO8" s="195" t="s">
        <v>351</v>
      </c>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N8" s="107" t="s">
        <v>192</v>
      </c>
    </row>
    <row r="9" spans="1:132" ht="11.45" customHeight="1" x14ac:dyDescent="0.2">
      <c r="A9" s="155" t="s">
        <v>4</v>
      </c>
      <c r="B9" s="155"/>
      <c r="C9" s="155"/>
      <c r="D9" s="155"/>
      <c r="E9" s="155"/>
      <c r="F9" s="155"/>
      <c r="G9" s="155"/>
      <c r="H9" s="155"/>
      <c r="I9" s="155"/>
      <c r="J9" s="155"/>
      <c r="K9" s="91" t="s">
        <v>0</v>
      </c>
      <c r="L9" s="182"/>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402"/>
      <c r="AO9" s="330" t="s">
        <v>229</v>
      </c>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91" t="s">
        <v>0</v>
      </c>
      <c r="BR9" s="335" t="str">
        <f>IF(BX30="","",BX30)</f>
        <v/>
      </c>
      <c r="BS9" s="335"/>
      <c r="BT9" s="335"/>
      <c r="BU9" s="335"/>
      <c r="BV9" s="335"/>
      <c r="BW9" s="335"/>
      <c r="BX9" s="335"/>
      <c r="BY9" s="335"/>
      <c r="BZ9" s="155" t="s">
        <v>173</v>
      </c>
      <c r="CA9" s="155"/>
      <c r="CB9" s="155"/>
      <c r="CC9" s="155"/>
      <c r="CD9" s="155"/>
      <c r="CE9" s="155"/>
      <c r="CF9" s="155"/>
      <c r="CG9" s="155"/>
      <c r="CN9" s="2" t="s">
        <v>193</v>
      </c>
    </row>
    <row r="10" spans="1:132" ht="11.45" customHeight="1" x14ac:dyDescent="0.2">
      <c r="A10" s="155" t="s">
        <v>228</v>
      </c>
      <c r="B10" s="155"/>
      <c r="C10" s="155"/>
      <c r="D10" s="155"/>
      <c r="E10" s="155"/>
      <c r="F10" s="155"/>
      <c r="G10" s="155"/>
      <c r="H10" s="155"/>
      <c r="I10" s="155"/>
      <c r="J10" s="155"/>
      <c r="K10" s="155"/>
      <c r="L10" s="155"/>
      <c r="M10" s="155"/>
      <c r="N10" s="155"/>
      <c r="O10" s="155" t="s">
        <v>2</v>
      </c>
      <c r="P10" s="155"/>
      <c r="Q10" s="155"/>
      <c r="R10" s="155"/>
      <c r="S10" s="91" t="s">
        <v>0</v>
      </c>
      <c r="T10" s="236"/>
      <c r="U10" s="236"/>
      <c r="V10" s="236"/>
      <c r="W10" s="236"/>
      <c r="X10" s="236"/>
      <c r="Y10" s="236"/>
      <c r="Z10" s="236"/>
      <c r="AA10" s="236"/>
      <c r="AB10" s="236"/>
      <c r="AC10" s="315" t="s">
        <v>16</v>
      </c>
      <c r="AD10" s="315"/>
      <c r="AE10" s="315"/>
      <c r="AF10" s="315"/>
      <c r="AG10" s="91" t="s">
        <v>0</v>
      </c>
      <c r="AH10" s="156"/>
      <c r="AI10" s="156"/>
      <c r="AJ10" s="156"/>
      <c r="AK10" s="156"/>
      <c r="AL10" s="156"/>
      <c r="AM10" s="156"/>
      <c r="AN10" s="157"/>
      <c r="AO10" s="330" t="s">
        <v>230</v>
      </c>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91" t="s">
        <v>0</v>
      </c>
      <c r="BR10" s="335" t="str">
        <f>IF(BX49="","",BX49)</f>
        <v/>
      </c>
      <c r="BS10" s="335"/>
      <c r="BT10" s="335"/>
      <c r="BU10" s="335"/>
      <c r="BV10" s="335"/>
      <c r="BW10" s="335"/>
      <c r="BX10" s="335"/>
      <c r="BY10" s="335"/>
      <c r="BZ10" s="155" t="s">
        <v>173</v>
      </c>
      <c r="CA10" s="155"/>
      <c r="CB10" s="155"/>
      <c r="CC10" s="155"/>
      <c r="CD10" s="155"/>
      <c r="CE10" s="155"/>
      <c r="CF10" s="155"/>
      <c r="CG10" s="155"/>
    </row>
    <row r="11" spans="1:132" ht="11.45" customHeight="1" x14ac:dyDescent="0.2">
      <c r="A11" s="155" t="s">
        <v>227</v>
      </c>
      <c r="B11" s="155"/>
      <c r="C11" s="155"/>
      <c r="D11" s="155"/>
      <c r="E11" s="155"/>
      <c r="F11" s="155"/>
      <c r="G11" s="155"/>
      <c r="H11" s="155"/>
      <c r="I11" s="155"/>
      <c r="J11" s="155"/>
      <c r="K11" s="155"/>
      <c r="L11" s="155"/>
      <c r="M11" s="155"/>
      <c r="N11" s="155"/>
      <c r="O11" s="155"/>
      <c r="P11" s="155"/>
      <c r="Q11" s="155"/>
      <c r="R11" s="155"/>
      <c r="S11" s="155"/>
      <c r="T11" s="155"/>
      <c r="U11" s="155"/>
      <c r="V11" s="155"/>
      <c r="W11" s="155"/>
      <c r="X11" s="155"/>
      <c r="Y11" s="155"/>
      <c r="Z11" s="91" t="s">
        <v>0</v>
      </c>
      <c r="AA11" s="364"/>
      <c r="AB11" s="364"/>
      <c r="AC11" s="364"/>
      <c r="AD11" s="364"/>
      <c r="AE11" s="364"/>
      <c r="AF11" s="364"/>
      <c r="AG11" s="364"/>
      <c r="AH11" s="364"/>
      <c r="AI11" s="155" t="s">
        <v>173</v>
      </c>
      <c r="AJ11" s="155"/>
      <c r="AK11" s="155"/>
      <c r="AL11" s="155"/>
      <c r="AM11" s="155"/>
      <c r="AN11" s="366"/>
      <c r="AO11" s="155" t="s">
        <v>234</v>
      </c>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91" t="s">
        <v>0</v>
      </c>
      <c r="BR11" s="382" t="str">
        <f>IF(OR(BR9="",BR10=""),"",ROUND(ABS(BR9-BR10),3))</f>
        <v/>
      </c>
      <c r="BS11" s="382"/>
      <c r="BT11" s="382"/>
      <c r="BU11" s="382"/>
      <c r="BV11" s="382"/>
      <c r="BW11" s="382"/>
      <c r="BX11" s="382"/>
      <c r="BY11" s="382"/>
      <c r="BZ11" s="155" t="s">
        <v>173</v>
      </c>
      <c r="CA11" s="155"/>
      <c r="CB11" s="155"/>
      <c r="CC11" s="155"/>
      <c r="CD11" s="155"/>
      <c r="CE11" s="155"/>
      <c r="CF11" s="155"/>
      <c r="CG11" s="155"/>
    </row>
    <row r="12" spans="1:132" ht="11.45" customHeight="1" thickBot="1" x14ac:dyDescent="0.25">
      <c r="A12" s="363"/>
      <c r="B12" s="363"/>
      <c r="C12" s="363"/>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c r="AP12" s="363"/>
      <c r="AQ12" s="363"/>
      <c r="AR12" s="363"/>
      <c r="AS12" s="363"/>
      <c r="AT12" s="363"/>
      <c r="AU12" s="363"/>
      <c r="AV12" s="363"/>
      <c r="AW12" s="363"/>
      <c r="AX12" s="363"/>
      <c r="AY12" s="363"/>
      <c r="AZ12" s="363"/>
      <c r="BA12" s="363"/>
      <c r="BB12" s="363"/>
      <c r="BC12" s="363"/>
      <c r="BD12" s="363"/>
      <c r="BE12" s="363"/>
      <c r="BF12" s="363"/>
      <c r="BG12" s="363"/>
      <c r="BH12" s="363"/>
      <c r="BI12" s="363"/>
      <c r="BJ12" s="363"/>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N12" s="1" t="s">
        <v>224</v>
      </c>
    </row>
    <row r="13" spans="1:132" ht="11.45" customHeight="1" x14ac:dyDescent="0.2">
      <c r="A13" s="396" t="s">
        <v>27</v>
      </c>
      <c r="B13" s="396"/>
      <c r="C13" s="396"/>
      <c r="D13" s="396"/>
      <c r="E13" s="396"/>
      <c r="F13" s="396"/>
      <c r="G13" s="396"/>
      <c r="H13" s="396"/>
      <c r="I13" s="396"/>
      <c r="J13" s="396"/>
      <c r="K13" s="396"/>
      <c r="L13" s="396"/>
      <c r="M13" s="396"/>
      <c r="N13" s="396"/>
      <c r="O13" s="396"/>
      <c r="P13" s="396"/>
      <c r="Q13" s="396"/>
      <c r="R13" s="396"/>
      <c r="S13" s="396"/>
      <c r="T13" s="396"/>
      <c r="U13" s="396"/>
      <c r="V13" s="396"/>
      <c r="W13" s="396"/>
      <c r="X13" s="396"/>
      <c r="Y13" s="396"/>
      <c r="Z13" s="396"/>
      <c r="AA13" s="396"/>
      <c r="AB13" s="396"/>
      <c r="AC13" s="396"/>
      <c r="AD13" s="396"/>
      <c r="AE13" s="396"/>
      <c r="AF13" s="396"/>
      <c r="AG13" s="396"/>
      <c r="AH13" s="396"/>
      <c r="AI13" s="396"/>
      <c r="AJ13" s="396"/>
      <c r="AK13" s="396"/>
      <c r="AL13" s="397" t="s">
        <v>2</v>
      </c>
      <c r="AM13" s="397"/>
      <c r="AN13" s="397"/>
      <c r="AO13" s="97" t="s">
        <v>0</v>
      </c>
      <c r="AP13" s="440" t="str">
        <f>IF('Data Entry'!N10="","",'Data Entry'!N10)</f>
        <v/>
      </c>
      <c r="AQ13" s="440"/>
      <c r="AR13" s="440"/>
      <c r="AS13" s="440"/>
      <c r="AT13" s="440"/>
      <c r="AU13" s="440"/>
      <c r="AV13" s="440"/>
      <c r="AW13" s="440"/>
      <c r="AX13" s="397" t="s">
        <v>16</v>
      </c>
      <c r="AY13" s="397"/>
      <c r="AZ13" s="397"/>
      <c r="BA13" s="97" t="s">
        <v>0</v>
      </c>
      <c r="BB13" s="399"/>
      <c r="BC13" s="399"/>
      <c r="BD13" s="399"/>
      <c r="BE13" s="399"/>
      <c r="BF13" s="399"/>
      <c r="BG13" s="399"/>
      <c r="BH13" s="399"/>
      <c r="BI13" s="399"/>
      <c r="BJ13" s="397" t="s">
        <v>425</v>
      </c>
      <c r="BK13" s="397"/>
      <c r="BL13" s="397"/>
      <c r="BM13" s="397"/>
      <c r="BN13" s="397"/>
      <c r="BO13" s="397"/>
      <c r="BP13" s="397"/>
      <c r="BQ13" s="97" t="s">
        <v>0</v>
      </c>
      <c r="BR13" s="397"/>
      <c r="BS13" s="397"/>
      <c r="BT13" s="397"/>
      <c r="BU13" s="397"/>
      <c r="BV13" s="397"/>
      <c r="BW13" s="397"/>
      <c r="BX13" s="397"/>
      <c r="BY13" s="397"/>
      <c r="BZ13" s="397"/>
      <c r="CA13" s="397"/>
      <c r="CB13" s="397"/>
      <c r="CC13" s="397"/>
      <c r="CD13" s="397"/>
      <c r="CE13" s="397"/>
      <c r="CF13" s="397"/>
      <c r="CG13" s="397"/>
      <c r="CN13" s="107" t="s">
        <v>93</v>
      </c>
      <c r="CO13" s="91"/>
      <c r="CP13" s="91"/>
      <c r="CQ13" s="91"/>
    </row>
    <row r="14" spans="1:132" ht="11.45" customHeight="1" x14ac:dyDescent="0.2">
      <c r="A14" s="196"/>
      <c r="B14" s="196"/>
      <c r="C14" s="196"/>
      <c r="D14" s="196"/>
      <c r="E14" s="196"/>
      <c r="F14" s="196"/>
      <c r="G14" s="196" t="s">
        <v>196</v>
      </c>
      <c r="H14" s="196"/>
      <c r="I14" s="196"/>
      <c r="J14" s="196"/>
      <c r="K14" s="196"/>
      <c r="L14" s="196"/>
      <c r="M14" s="6" t="s">
        <v>0</v>
      </c>
      <c r="N14" s="403"/>
      <c r="O14" s="403"/>
      <c r="P14" s="403"/>
      <c r="Q14" s="403"/>
      <c r="R14" s="403"/>
      <c r="S14" s="403"/>
      <c r="T14" s="403" t="s">
        <v>192</v>
      </c>
      <c r="U14" s="403"/>
      <c r="V14" s="403"/>
      <c r="W14" s="403"/>
      <c r="X14" s="408"/>
      <c r="Y14" s="408"/>
      <c r="Z14" s="408"/>
      <c r="AA14" s="408"/>
      <c r="AB14" s="408"/>
      <c r="AC14" s="408"/>
      <c r="AD14" s="404" t="s">
        <v>427</v>
      </c>
      <c r="AE14" s="404"/>
      <c r="AF14" s="404"/>
      <c r="AG14" s="6" t="s">
        <v>0</v>
      </c>
      <c r="AH14" s="403" t="str">
        <f>IF(OR(N14="",N15=""),"",(N15-N14))</f>
        <v/>
      </c>
      <c r="AI14" s="403"/>
      <c r="AJ14" s="403"/>
      <c r="AK14" s="403"/>
      <c r="AL14" s="403"/>
      <c r="AM14" s="410" t="str">
        <f>T14</f>
        <v xml:space="preserve"> M</v>
      </c>
      <c r="AN14" s="410"/>
      <c r="AO14" s="410"/>
      <c r="AP14" s="410"/>
      <c r="AQ14" s="196"/>
      <c r="AR14" s="196"/>
      <c r="AS14" s="196"/>
      <c r="AT14" s="196"/>
      <c r="AU14" s="196"/>
      <c r="AV14" s="196"/>
      <c r="AW14" s="403" t="s">
        <v>434</v>
      </c>
      <c r="AX14" s="403"/>
      <c r="AY14" s="403"/>
      <c r="AZ14" s="403"/>
      <c r="BA14" s="403"/>
      <c r="BB14" s="403"/>
      <c r="BC14" s="403"/>
      <c r="BD14" s="403"/>
      <c r="BE14" s="403"/>
      <c r="BF14" s="403"/>
      <c r="BG14" s="403"/>
      <c r="BH14" s="403"/>
      <c r="BI14" s="403"/>
      <c r="BJ14" s="403"/>
      <c r="BK14" s="403"/>
      <c r="BL14" s="403"/>
      <c r="BM14" s="88" t="s">
        <v>0</v>
      </c>
      <c r="BN14" s="196"/>
      <c r="BO14" s="196"/>
      <c r="BP14" s="196"/>
      <c r="BQ14" s="196"/>
      <c r="BR14" s="196"/>
      <c r="BS14" s="196"/>
      <c r="BT14" s="196"/>
      <c r="BU14" s="196"/>
      <c r="BV14" s="196"/>
      <c r="BW14" s="196"/>
      <c r="BX14" s="196"/>
      <c r="BY14" s="196"/>
      <c r="BZ14" s="196"/>
      <c r="CA14" s="196"/>
      <c r="CB14" s="196"/>
      <c r="CC14" s="196"/>
      <c r="CD14" s="196"/>
      <c r="CE14" s="196"/>
      <c r="CF14" s="196"/>
      <c r="CG14" s="196"/>
      <c r="CN14" s="2" t="s">
        <v>94</v>
      </c>
      <c r="CZ14" s="91"/>
      <c r="DA14" s="91"/>
      <c r="DB14" s="91"/>
      <c r="DC14" s="91"/>
      <c r="DD14" s="91"/>
    </row>
    <row r="15" spans="1:132" ht="11.45" customHeight="1" x14ac:dyDescent="0.2">
      <c r="A15" s="395"/>
      <c r="B15" s="395"/>
      <c r="C15" s="395"/>
      <c r="D15" s="395"/>
      <c r="E15" s="395"/>
      <c r="F15" s="395"/>
      <c r="G15" s="395" t="s">
        <v>426</v>
      </c>
      <c r="H15" s="395"/>
      <c r="I15" s="395"/>
      <c r="J15" s="395"/>
      <c r="K15" s="395"/>
      <c r="L15" s="395"/>
      <c r="M15" s="6" t="s">
        <v>0</v>
      </c>
      <c r="N15" s="406"/>
      <c r="O15" s="406"/>
      <c r="P15" s="406"/>
      <c r="Q15" s="406"/>
      <c r="R15" s="406"/>
      <c r="S15" s="406"/>
      <c r="T15" s="407" t="str">
        <f>T14</f>
        <v xml:space="preserve"> M</v>
      </c>
      <c r="U15" s="407"/>
      <c r="V15" s="407"/>
      <c r="W15" s="407"/>
      <c r="X15" s="409"/>
      <c r="Y15" s="409"/>
      <c r="Z15" s="409"/>
      <c r="AA15" s="409"/>
      <c r="AB15" s="409"/>
      <c r="AC15" s="409"/>
      <c r="AD15" s="405" t="s">
        <v>428</v>
      </c>
      <c r="AE15" s="405"/>
      <c r="AF15" s="405"/>
      <c r="AG15" s="6" t="s">
        <v>0</v>
      </c>
      <c r="AH15" s="395"/>
      <c r="AI15" s="395"/>
      <c r="AJ15" s="395"/>
      <c r="AK15" s="395"/>
      <c r="AL15" s="395"/>
      <c r="AM15" s="395"/>
      <c r="AN15" s="395"/>
      <c r="AO15" s="395"/>
      <c r="AP15" s="395"/>
      <c r="AQ15" s="395"/>
      <c r="AR15" s="395"/>
      <c r="AS15" s="395"/>
      <c r="AT15" s="395"/>
      <c r="AU15" s="395"/>
      <c r="AV15" s="395"/>
      <c r="AW15" s="406" t="s">
        <v>435</v>
      </c>
      <c r="AX15" s="406"/>
      <c r="AY15" s="406"/>
      <c r="AZ15" s="406"/>
      <c r="BA15" s="406"/>
      <c r="BB15" s="406"/>
      <c r="BC15" s="406"/>
      <c r="BD15" s="406"/>
      <c r="BE15" s="406"/>
      <c r="BF15" s="406"/>
      <c r="BG15" s="406"/>
      <c r="BH15" s="406"/>
      <c r="BI15" s="406"/>
      <c r="BJ15" s="406"/>
      <c r="BK15" s="406"/>
      <c r="BL15" s="406"/>
      <c r="BM15" s="88" t="s">
        <v>0</v>
      </c>
      <c r="BN15" s="395"/>
      <c r="BO15" s="395"/>
      <c r="BP15" s="395"/>
      <c r="BQ15" s="395"/>
      <c r="BR15" s="395"/>
      <c r="BS15" s="395"/>
      <c r="BT15" s="395"/>
      <c r="BU15" s="395"/>
      <c r="BV15" s="395"/>
      <c r="BW15" s="395"/>
      <c r="BX15" s="395"/>
      <c r="BY15" s="395"/>
      <c r="BZ15" s="395"/>
      <c r="CA15" s="395"/>
      <c r="CB15" s="395"/>
      <c r="CC15" s="395"/>
      <c r="CD15" s="395"/>
      <c r="CE15" s="395"/>
      <c r="CF15" s="395"/>
      <c r="CG15" s="395"/>
    </row>
    <row r="16" spans="1:132" ht="11.45" customHeight="1" x14ac:dyDescent="0.2">
      <c r="A16" s="359" t="s">
        <v>7</v>
      </c>
      <c r="B16" s="360"/>
      <c r="C16" s="360"/>
      <c r="D16" s="360"/>
      <c r="E16" s="360"/>
      <c r="F16" s="360"/>
      <c r="G16" s="360"/>
      <c r="H16" s="388"/>
      <c r="I16" s="329" t="s">
        <v>197</v>
      </c>
      <c r="J16" s="414"/>
      <c r="K16" s="414"/>
      <c r="L16" s="414"/>
      <c r="M16" s="414"/>
      <c r="N16" s="414"/>
      <c r="O16" s="415"/>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416"/>
      <c r="J17" s="417"/>
      <c r="K17" s="417"/>
      <c r="L17" s="417"/>
      <c r="M17" s="417"/>
      <c r="N17" s="417"/>
      <c r="O17" s="418"/>
      <c r="P17" s="333" t="str">
        <f>IF(P16="API","@ 60°F",IF(P16="SPEC GRAV","@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c r="B18" s="317"/>
      <c r="C18" s="317"/>
      <c r="D18" s="317"/>
      <c r="E18" s="317"/>
      <c r="F18" s="317"/>
      <c r="G18" s="317"/>
      <c r="H18" s="317"/>
      <c r="I18" s="345"/>
      <c r="J18" s="345"/>
      <c r="K18" s="345"/>
      <c r="L18" s="345"/>
      <c r="M18" s="345"/>
      <c r="N18" s="345"/>
      <c r="O18" s="345"/>
      <c r="P18" s="443"/>
      <c r="Q18" s="443"/>
      <c r="R18" s="443"/>
      <c r="S18" s="443"/>
      <c r="T18" s="443"/>
      <c r="U18" s="308"/>
      <c r="V18" s="308"/>
      <c r="W18" s="308"/>
      <c r="X18" s="308"/>
      <c r="Y18" s="308"/>
      <c r="Z18" s="308"/>
      <c r="AA18" s="308"/>
      <c r="AB18" s="308"/>
      <c r="AC18" s="309"/>
      <c r="AD18" s="308"/>
      <c r="AE18" s="308"/>
      <c r="AF18" s="308"/>
      <c r="AG18" s="308"/>
      <c r="AH18" s="308"/>
      <c r="AI18" s="308"/>
      <c r="AJ18" s="441"/>
      <c r="AK18" s="441"/>
      <c r="AL18" s="441"/>
      <c r="AM18" s="441"/>
      <c r="AN18" s="441"/>
      <c r="AO18" s="441"/>
      <c r="AP18" s="441"/>
      <c r="AQ18" s="441"/>
      <c r="AR18" s="441"/>
      <c r="AS18" s="441"/>
      <c r="AT18" s="441"/>
      <c r="AU18" s="441"/>
      <c r="AV18" s="441"/>
      <c r="AW18" s="441"/>
      <c r="AX18" s="441"/>
      <c r="AY18" s="442"/>
      <c r="AZ18" s="442"/>
      <c r="BA18" s="442"/>
      <c r="BB18" s="442"/>
      <c r="BC18" s="442"/>
      <c r="BD18" s="311" t="str">
        <f>IF(OR(AJ18="",AT18=""),"",AJ18-AT18)</f>
        <v/>
      </c>
      <c r="BE18" s="311"/>
      <c r="BF18" s="311"/>
      <c r="BG18" s="311"/>
      <c r="BH18" s="311"/>
      <c r="BI18" s="310" t="str">
        <f t="shared" ref="BI18:BI29" si="0">IF(OR(AY18="",P18=""),"",IF($CN$53=1,DW18,IF($CN$53=2,DY18,IF($CN$53=3,EA18,IF($CN$53=4,DX18,IF($CN$53=5,DZ18,IF($CN$53=6,EB18)))))))</f>
        <v/>
      </c>
      <c r="BJ18" s="310"/>
      <c r="BK18" s="310"/>
      <c r="BL18" s="310"/>
      <c r="BM18" s="310"/>
      <c r="BN18" s="311" t="str">
        <f t="shared" ref="BN18:BN29" si="1">IF(OR(BD18="",BI18=""),"",BD18*BI18)</f>
        <v/>
      </c>
      <c r="BO18" s="311"/>
      <c r="BP18" s="311"/>
      <c r="BQ18" s="311"/>
      <c r="BR18" s="311"/>
      <c r="BS18" s="332" t="str">
        <f t="shared" ref="BS18:BS29" si="2">IF(OR(BD18="",P18="",BI18=""),"",ROUND((DS18-0.0011),4))</f>
        <v/>
      </c>
      <c r="BT18" s="332"/>
      <c r="BU18" s="332"/>
      <c r="BV18" s="332"/>
      <c r="BW18" s="332"/>
      <c r="BX18" s="311" t="str">
        <f t="shared" ref="BX18:BX29" si="3">IF(OR(BD18="",P18="",BI18=""),"",IF($AJ$17=$CN$34,ROUND(BN18*BS18,3),ROUND(CS18*BI18*BS18,3)))</f>
        <v/>
      </c>
      <c r="BY18" s="311"/>
      <c r="BZ18" s="311"/>
      <c r="CA18" s="311"/>
      <c r="CB18" s="311"/>
      <c r="CC18" s="311" t="str">
        <f t="shared" ref="CC18:CC29" si="4">IF(OR(BD18="",P18="",BI18=""),"",IF($AJ$17=$CN$34,ROUND(BN18*DQ18,3),ROUND(CS18*BI18*DQ18,3)))</f>
        <v/>
      </c>
      <c r="CD18" s="311"/>
      <c r="CE18" s="311"/>
      <c r="CF18" s="311"/>
      <c r="CG18" s="311"/>
      <c r="CN18" s="107" t="s">
        <v>13</v>
      </c>
      <c r="CP18" s="107">
        <f t="shared" ref="CP18:CP29" si="5">IF(OR(AY18="",BD18=""),0,AY18*BD18)</f>
        <v>0</v>
      </c>
      <c r="CR18" s="28" t="e">
        <f t="shared" ref="CR18:CR29" si="6">IF($BD$17=$CN$35,BD18,(BD18*6.28981))</f>
        <v>#VALUE!</v>
      </c>
      <c r="CS18" s="29" t="str">
        <f t="shared" ref="CS18:CS29" si="7">IF($BD$17=$CN$34,BD18,(BD18/6.28981))</f>
        <v/>
      </c>
      <c r="CU18" s="30">
        <f t="shared" ref="CU18:CU29" si="8">IF($AY$17=$CN$40,AY18,(AY18*1.8+32))</f>
        <v>32</v>
      </c>
      <c r="CV18" s="31">
        <f t="shared" ref="CV18:CV29" si="9">ROUND(CU18*2,0)/2</f>
        <v>32</v>
      </c>
      <c r="CW18" s="32">
        <f>ROUND(CU18,1)</f>
        <v>32</v>
      </c>
      <c r="CX18" s="33">
        <f>(1.8*((((CW18-32)/1.8)-((-0.148759+((-0.267408+((1.08076+((1.269056+((-4.089591+((-1.871251+((7.438081+(-3.536296*(((CW18-32)/1.8)/630)))*(((CW18-32)/1.8)/630)))*(((CW18-32)/1.8)/630)))*(((CW18-32)/1.8)/630)))*(((CW18-32)/1.8)/630)))*(((CW18-32)/1.8)/630)))*(((CW18-32)/1.8)/630)))*(((CW18-32)/1.8)/630)))))+32</f>
        <v>32</v>
      </c>
      <c r="CY18" s="26"/>
      <c r="CZ18" s="30">
        <f t="shared" ref="CZ18:CZ29" si="10">IF($AY$17=$CN$39,AY18,(AY18-32)/1.8)</f>
        <v>0</v>
      </c>
      <c r="DA18" s="28">
        <f t="shared" ref="DA18:DA29" si="11">ROUND(CZ18*4,0)/4</f>
        <v>0</v>
      </c>
      <c r="DB18" s="34">
        <f>ROUND(CZ18,1)</f>
        <v>0</v>
      </c>
      <c r="DC18" s="33">
        <f>DB18-((-0.148759+((-0.267408+((1.08076+((1.269056+((-4.089591+((-1.871251+((7.438081+(-3.536296*(DB18/630)))*(DB18/630)))*(DB18/630)))*(DB18/630)))*(DB18/630)))*(DB18/630)))*(DB18/630)))*(DB18/630))</f>
        <v>0</v>
      </c>
      <c r="DD18" s="35"/>
      <c r="DE18" s="30" t="e">
        <f t="shared" ref="DE18:DE29" si="12">IF($P$16=$CN$18,P18,(141.5/DK18)-131.5)</f>
        <v>#DIV/0!</v>
      </c>
      <c r="DF18" s="31" t="e">
        <f t="shared" ref="DF18:DF29" si="13">ROUND(DE18*2,0)/2</f>
        <v>#DIV/0!</v>
      </c>
      <c r="DG18" s="32" t="e">
        <f>ROUND(DE18,1)</f>
        <v>#DIV/0!</v>
      </c>
      <c r="DH18" s="33" t="e">
        <f>(141.5/(DG18+131.5))*999.016</f>
        <v>#DIV/0!</v>
      </c>
      <c r="DI18" s="33" t="e">
        <f>DH18*(1+((EXP(((0.01374979547/2)*(((103.872/DH18)+0.2701)*(1/DH18)))*(1+(0.8*((0.01374979547/2)*(((103.872/DH18)+0.2701)*(1/DH18))))))-1)/(1+(((0.01374979547/2)*(((103.872/DH18)+0.2701)*(1/DH18)))*(1+(1.6*((0.01374979547/2)*(((103.872/DH18)+0.2701)*(1/DH18)))))*(((2*103.872)+(0.2701+DH18))/(103.872+(0.2701*DH18)))))))</f>
        <v>#DIV/0!</v>
      </c>
      <c r="DK18" s="36" t="e">
        <f t="shared" ref="DK18:DK29" si="14">IF($P$16=$CN$19,P18,IF($P$16=$CN$18,141.5/(P18+131.5),DQ18*ROUND(EXP(-(186.9696/(((TRUNC(5*(DQ18*100)+0.5)/5)*0.01)*1000)^2+0.4862/(((TRUNC(5*(DQ18*100)+0.5)/5)*0.01)*1000))*(0.56)*(1+0.8*(186.9696/(((TRUNC(5*(DQ18*100)+0.5)/5)*0.01)*1000)^2+0.4862/(((TRUNC(5*(DQ18*100)+0.5)/5)*0.01)*1000))*0.56)),4)/0.999012))</f>
        <v>#DIV/0!</v>
      </c>
      <c r="DL18" s="37" t="e">
        <f>ROUND(DK18*5,2)/5</f>
        <v>#DIV/0!</v>
      </c>
      <c r="DM18" s="38" t="e">
        <f>ROUND(DK18,4)</f>
        <v>#DIV/0!</v>
      </c>
      <c r="DN18" s="33" t="e">
        <f>DM18*999.016</f>
        <v>#DIV/0!</v>
      </c>
      <c r="DO18" s="33" t="e">
        <f>DN18*(1+((EXP(((0.01374979547/2)*(((103.872/DN18)+0.2701)*(1/DN18)))*(1+(0.8*((0.01374979547/2)*(((103.872/DN18)+0.2701)*(1/DN18))))))-1)/(1+(((0.01374979547/2)*(((103.872/DN18)+0.2701)*(1/DN18)))*(1+(1.6*((0.01374979547/2)*(((103.872/DN18)+0.2701)*(1/DN18)))))*(((2*103.872)+(0.2701+DN18))/(103.872+(0.2701*DN18)))))))</f>
        <v>#DIV/0!</v>
      </c>
      <c r="DQ18" s="36">
        <f t="shared" ref="DQ18:DQ29" si="15">IF($P$16=$CN$20,P18,DK18*0.999012*ROUND(EXP(-((103.872/((((TRUNC(5*(DK18*100)+0.5)/5)*0.01)*999.012)^2))+(0.2701/(((TRUNC(5*(DK18*100)+0.5)/5)*0.01)*999.012)))*(-1)*(1+(0.8*((103.872/((((TRUNC(5*(DK18*100)+0.5)/5)*0.01)*999.012)^2))+(0.2701/(((TRUNC(5*(DK18*100)+0.5)/5)*0.01)*999.012)))*(-1)))),4))</f>
        <v>0</v>
      </c>
      <c r="DR18" s="39">
        <f>ROUND(DQ18*5,2)/5</f>
        <v>0</v>
      </c>
      <c r="DS18" s="38">
        <f>ROUND(DQ18,4)</f>
        <v>0</v>
      </c>
      <c r="DT18" s="33">
        <f>DS18*1000</f>
        <v>0</v>
      </c>
      <c r="DU18" s="33" t="e">
        <f>DT18*(1+((EXP(((0.01374979547/2)*(((186.9696/DT18)+0.4862)*(1/DT18)))*(1+(0.8*((0.01374979547/2)*(((186.9696/DT18)+0.4862)*(1/DT18))))))-1)/(1+(((0.01374979547/2)*(((186.9696/DT18)+0.4862)*(1/DT18)))*(1+(1.6*((0.01374979547/2)*(((186.9696/DT18)+0.4862)*(1/DT18)))))*(((2*186.9696)+(0.4862+DT18))/(186.9696+(0.4862*DT18)))))))</f>
        <v>#DIV/0!</v>
      </c>
      <c r="DW18" s="38" t="e">
        <f>ROUND(EXP(-((103.872/(((141.5/(DF18+131.5))*999.012)^2))+(0.2701/((141.5/(DF18+131.5))*999.012)))*(CV18-60)*(1+(0.8*((103.872/(((141.5/(DF18+131.5))*999.012)^2))+(0.2701/((141.5/(DF18+131.5))*999.012)))*(CV18-60)))),4)</f>
        <v>#DIV/0!</v>
      </c>
      <c r="DX18" s="40" t="e">
        <f>ROUND(EXP(-(((103.872/DI18)+0.2701)*(1/DI18))*(CX18-60.0068749)*(1+(0.8*(((103.872/DI18)+0.2701)*(1/DI18))*((CX18-60.0068749)+0.01374979547)))),5)</f>
        <v>#DIV/0!</v>
      </c>
      <c r="DY18" s="36" t="e">
        <f>ROUND(EXP(-((103.872/((DL18*999.012)^2))+(0.2701/(DL18*999.012)))*(CV18-60)*(1+(0.8*((103.872/((DL18*999.012)^2))+(0.2701/(DL18*999.012)))*(CV18-60)))),4)</f>
        <v>#DIV/0!</v>
      </c>
      <c r="DZ18" s="40" t="e">
        <f>ROUND(EXP(-(((103.872/DO18)+0.2701)*(1/DO18))*(CX18-60.0068749)*(1+(0.8*(((103.872/DO18)+0.2701)*(1/DO18))*((CX18-60.0068749)+0.01374979547)))),5)</f>
        <v>#DIV/0!</v>
      </c>
      <c r="EA18" s="36" t="e">
        <f>ROUND(EXP(-((186.9696/((DR18*1000)^2))+(0.4862/(DR18*1000)))*(DA18-15)*(1+(0.8*((186.9696/((DR18*1000)^2))+(0.4862/(DR18*1000)))*(DA18-15)))),4)</f>
        <v>#DIV/0!</v>
      </c>
      <c r="EB18" s="40" t="e">
        <f>ROUND(EXP(-((((186.9696/DU18)+0.4862)*(1/DU18)))*(DC18-15.00367851)*(1+(0.8*((((186.9696/DU18)+0.4862)*(1/DU18)))*((DC18-15.00367851)+0.01374979547)))),5)</f>
        <v>#DIV/0!</v>
      </c>
    </row>
    <row r="19" spans="1:132" ht="11.45" customHeight="1" x14ac:dyDescent="0.2">
      <c r="A19" s="317"/>
      <c r="B19" s="317"/>
      <c r="C19" s="317"/>
      <c r="D19" s="317"/>
      <c r="E19" s="317"/>
      <c r="F19" s="317"/>
      <c r="G19" s="317"/>
      <c r="H19" s="317"/>
      <c r="I19" s="345"/>
      <c r="J19" s="345"/>
      <c r="K19" s="345"/>
      <c r="L19" s="345"/>
      <c r="M19" s="345"/>
      <c r="N19" s="345"/>
      <c r="O19" s="345"/>
      <c r="P19" s="443"/>
      <c r="Q19" s="443"/>
      <c r="R19" s="443"/>
      <c r="S19" s="443"/>
      <c r="T19" s="443"/>
      <c r="U19" s="308"/>
      <c r="V19" s="308"/>
      <c r="W19" s="308"/>
      <c r="X19" s="308"/>
      <c r="Y19" s="308"/>
      <c r="Z19" s="308"/>
      <c r="AA19" s="308"/>
      <c r="AB19" s="308"/>
      <c r="AC19" s="309"/>
      <c r="AD19" s="308"/>
      <c r="AE19" s="308"/>
      <c r="AF19" s="308"/>
      <c r="AG19" s="308"/>
      <c r="AH19" s="308"/>
      <c r="AI19" s="308"/>
      <c r="AJ19" s="441"/>
      <c r="AK19" s="441"/>
      <c r="AL19" s="441"/>
      <c r="AM19" s="441"/>
      <c r="AN19" s="441"/>
      <c r="AO19" s="441"/>
      <c r="AP19" s="441"/>
      <c r="AQ19" s="441"/>
      <c r="AR19" s="441"/>
      <c r="AS19" s="441"/>
      <c r="AT19" s="441"/>
      <c r="AU19" s="441"/>
      <c r="AV19" s="441"/>
      <c r="AW19" s="441"/>
      <c r="AX19" s="441"/>
      <c r="AY19" s="442"/>
      <c r="AZ19" s="442"/>
      <c r="BA19" s="442"/>
      <c r="BB19" s="442"/>
      <c r="BC19" s="442"/>
      <c r="BD19" s="311" t="str">
        <f t="shared" ref="BD19:BD29" si="16">IF(OR(AJ19="",AT19=""),"",AJ19-AT19)</f>
        <v/>
      </c>
      <c r="BE19" s="311"/>
      <c r="BF19" s="311"/>
      <c r="BG19" s="311"/>
      <c r="BH19" s="311"/>
      <c r="BI19" s="310" t="str">
        <f t="shared" si="0"/>
        <v/>
      </c>
      <c r="BJ19" s="310"/>
      <c r="BK19" s="310"/>
      <c r="BL19" s="310"/>
      <c r="BM19" s="310"/>
      <c r="BN19" s="311" t="str">
        <f t="shared" si="1"/>
        <v/>
      </c>
      <c r="BO19" s="311"/>
      <c r="BP19" s="311"/>
      <c r="BQ19" s="311"/>
      <c r="BR19" s="311"/>
      <c r="BS19" s="332" t="str">
        <f t="shared" si="2"/>
        <v/>
      </c>
      <c r="BT19" s="332"/>
      <c r="BU19" s="332"/>
      <c r="BV19" s="332"/>
      <c r="BW19" s="332"/>
      <c r="BX19" s="311" t="str">
        <f t="shared" si="3"/>
        <v/>
      </c>
      <c r="BY19" s="311"/>
      <c r="BZ19" s="311"/>
      <c r="CA19" s="311"/>
      <c r="CB19" s="311"/>
      <c r="CC19" s="311" t="str">
        <f t="shared" si="4"/>
        <v/>
      </c>
      <c r="CD19" s="311"/>
      <c r="CE19" s="311"/>
      <c r="CF19" s="311"/>
      <c r="CG19" s="311"/>
      <c r="CN19" s="87" t="s">
        <v>85</v>
      </c>
      <c r="CP19" s="87">
        <f t="shared" si="5"/>
        <v>0</v>
      </c>
      <c r="CR19" s="28" t="e">
        <f t="shared" si="6"/>
        <v>#VALUE!</v>
      </c>
      <c r="CS19" s="29" t="str">
        <f t="shared" si="7"/>
        <v/>
      </c>
      <c r="CU19" s="28">
        <f t="shared" si="8"/>
        <v>32</v>
      </c>
      <c r="CV19" s="31">
        <f t="shared" si="9"/>
        <v>32</v>
      </c>
      <c r="CW19" s="32">
        <f>ROUND(CU19,1)</f>
        <v>32</v>
      </c>
      <c r="CX19" s="32">
        <f t="shared" ref="CX19:CX29" si="17">(1.8*((((CW19-32)/1.8)-((-0.148759+((-0.267408+((1.08076+((1.269056+((-4.089591+((-1.871251+((7.438081+(-3.536296*(((CW19-32)/1.8)/630)))*(((CW19-32)/1.8)/630)))*(((CW19-32)/1.8)/630)))*(((CW19-32)/1.8)/630)))*(((CW19-32)/1.8)/630)))*(((CW19-32)/1.8)/630)))*(((CW19-32)/1.8)/630)))*(((CW19-32)/1.8)/630)))))+32</f>
        <v>32</v>
      </c>
      <c r="CY19" s="26"/>
      <c r="CZ19" s="28">
        <f t="shared" si="10"/>
        <v>0</v>
      </c>
      <c r="DA19" s="28">
        <f t="shared" si="11"/>
        <v>0</v>
      </c>
      <c r="DB19" s="34">
        <f>ROUND(CZ19,1)</f>
        <v>0</v>
      </c>
      <c r="DC19" s="32">
        <f t="shared" ref="DC19:DC29" si="18">DB19-((-0.148759+((-0.267408+((1.08076+((1.269056+((-4.089591+((-1.871251+((7.438081+(-3.536296*(DB19/630)))*(DB19/630)))*(DB19/630)))*(DB19/630)))*(DB19/630)))*(DB19/630)))*(DB19/630)))*(DB19/630))</f>
        <v>0</v>
      </c>
      <c r="DD19" s="35"/>
      <c r="DE19" s="28" t="e">
        <f t="shared" si="12"/>
        <v>#DIV/0!</v>
      </c>
      <c r="DF19" s="31" t="e">
        <f t="shared" si="13"/>
        <v>#DIV/0!</v>
      </c>
      <c r="DG19" s="32" t="e">
        <f>ROUND(DE19,1)</f>
        <v>#DIV/0!</v>
      </c>
      <c r="DH19" s="32" t="e">
        <f t="shared" ref="DH19:DH29" si="19">(141.5/(DG19+131.5))*999.016</f>
        <v>#DIV/0!</v>
      </c>
      <c r="DI19" s="32" t="e">
        <f t="shared" ref="DI19:DI29" si="20">DH19*(1+((EXP(((0.01374979547/2)*(((103.872/DH19)+0.2701)*(1/DH19)))*(1+(0.8*((0.01374979547/2)*(((103.872/DH19)+0.2701)*(1/DH19))))))-1)/(1+(((0.01374979547/2)*(((103.872/DH19)+0.2701)*(1/DH19)))*(1+(1.6*((0.01374979547/2)*(((103.872/DH19)+0.2701)*(1/DH19)))))*(((2*103.872)+(0.2701+DH19))/(103.872+(0.2701*DH19)))))))</f>
        <v>#DIV/0!</v>
      </c>
      <c r="DK19" s="38" t="e">
        <f t="shared" si="14"/>
        <v>#DIV/0!</v>
      </c>
      <c r="DL19" s="41" t="e">
        <f>ROUND(DK19*5,2)/5</f>
        <v>#DIV/0!</v>
      </c>
      <c r="DM19" s="38" t="e">
        <f>ROUND(DK19,4)</f>
        <v>#DIV/0!</v>
      </c>
      <c r="DN19" s="32" t="e">
        <f t="shared" ref="DN19:DN29" si="21">DM19*999.016</f>
        <v>#DIV/0!</v>
      </c>
      <c r="DO19" s="32" t="e">
        <f>DN19*(1+((EXP(((0.01374979547/2)*(((103.872/DN19)+0.2701)*(1/DN19)))*(1+(0.8*((0.01374979547/2)*(((103.872/DN19)+0.2701)*(1/DN19))))))-1)/(1+(((0.01374979547/2)*(((103.872/DN19)+0.2701)*(1/DN19)))*(1+(1.6*((0.01374979547/2)*(((103.872/DN19)+0.2701)*(1/DN19)))))*(((2*103.872)+(0.2701+DN19))/(103.872+(0.2701*DN19)))))))</f>
        <v>#DIV/0!</v>
      </c>
      <c r="DQ19" s="38">
        <f t="shared" si="15"/>
        <v>0</v>
      </c>
      <c r="DR19" s="29">
        <f>ROUND(DQ19*5,2)/5</f>
        <v>0</v>
      </c>
      <c r="DS19" s="38">
        <f>ROUND(DQ19,4)</f>
        <v>0</v>
      </c>
      <c r="DT19" s="32">
        <f t="shared" ref="DT19:DT29" si="22">DS19*1000</f>
        <v>0</v>
      </c>
      <c r="DU19" s="32" t="e">
        <f t="shared" ref="DU19:DU29" si="23">DT19*(1+((EXP(((0.01374979547/2)*(((186.9696/DT19)+0.4862)*(1/DT19)))*(1+(0.8*((0.01374979547/2)*(((186.9696/DT19)+0.4862)*(1/DT19))))))-1)/(1+(((0.01374979547/2)*(((186.9696/DT19)+0.4862)*(1/DT19)))*(1+(1.6*((0.01374979547/2)*(((186.9696/DT19)+0.4862)*(1/DT19)))))*(((2*186.9696)+(0.4862+DT19))/(186.9696+(0.4862*DT19)))))))</f>
        <v>#DIV/0!</v>
      </c>
      <c r="DW19" s="38" t="e">
        <f>ROUND(EXP(-((103.872/(((141.5/(DF19+131.5))*999.012)^2))+(0.2701/((141.5/(DF19+131.5))*999.012)))*(CV19-60)*(1+(0.8*((103.872/(((141.5/(DF19+131.5))*999.012)^2))+(0.2701/((141.5/(DF19+131.5))*999.012)))*(CV19-60)))),4)</f>
        <v>#DIV/0!</v>
      </c>
      <c r="DX19" s="42" t="e">
        <f>ROUND(EXP(-(((103.872/DI19)+0.2701)*(1/DI19))*(CX19-60.0068749)*(1+(0.8*(((103.872/DI19)+0.2701)*(1/DI19))*((CX19-60.0068749)+0.01374979547)))),5)</f>
        <v>#DIV/0!</v>
      </c>
      <c r="DY19" s="38" t="e">
        <f>ROUND(EXP(-((103.872/((DL19*999.012)^2))+(0.2701/(DL19*999.012)))*(CV19-60)*(1+(0.8*((103.872/((DL19*999.012)^2))+(0.2701/(DL19*999.012)))*(CV19-60)))),4)</f>
        <v>#DIV/0!</v>
      </c>
      <c r="DZ19" s="42" t="e">
        <f>ROUND(EXP(-(((103.872/DO19)+0.2701)*(1/DO19))*(CX19-60.0068749)*(1+(0.8*(((103.872/DO19)+0.2701)*(1/DO19))*((CX19-60.0068749)+0.01374979547)))),5)</f>
        <v>#DIV/0!</v>
      </c>
      <c r="EA19" s="38" t="e">
        <f>ROUND(EXP(-((186.9696/((DR19*1000)^2))+(0.4862/(DR19*1000)))*(DA19-15)*(1+(0.8*((186.9696/((DR19*1000)^2))+(0.4862/(DR19*1000)))*(DA19-15)))),4)</f>
        <v>#DIV/0!</v>
      </c>
      <c r="EB19" s="42" t="e">
        <f>ROUND(EXP(-((((186.9696/DU19)+0.4862)*(1/DU19)))*(DC19-15.00367851)*(1+(0.8*((((186.9696/DU19)+0.4862)*(1/DU19)))*((DC19-15.00367851)+0.01374979547)))),5)</f>
        <v>#DIV/0!</v>
      </c>
    </row>
    <row r="20" spans="1:132" ht="11.45" customHeight="1" x14ac:dyDescent="0.2">
      <c r="A20" s="317"/>
      <c r="B20" s="317"/>
      <c r="C20" s="317"/>
      <c r="D20" s="317"/>
      <c r="E20" s="317"/>
      <c r="F20" s="317"/>
      <c r="G20" s="317"/>
      <c r="H20" s="317"/>
      <c r="I20" s="345"/>
      <c r="J20" s="345"/>
      <c r="K20" s="345"/>
      <c r="L20" s="345"/>
      <c r="M20" s="345"/>
      <c r="N20" s="345"/>
      <c r="O20" s="345"/>
      <c r="P20" s="443"/>
      <c r="Q20" s="443"/>
      <c r="R20" s="443"/>
      <c r="S20" s="443"/>
      <c r="T20" s="443"/>
      <c r="U20" s="308"/>
      <c r="V20" s="308"/>
      <c r="W20" s="308"/>
      <c r="X20" s="308"/>
      <c r="Y20" s="308"/>
      <c r="Z20" s="308"/>
      <c r="AA20" s="308"/>
      <c r="AB20" s="308"/>
      <c r="AC20" s="309"/>
      <c r="AD20" s="308"/>
      <c r="AE20" s="308"/>
      <c r="AF20" s="308"/>
      <c r="AG20" s="308"/>
      <c r="AH20" s="308"/>
      <c r="AI20" s="308"/>
      <c r="AJ20" s="441"/>
      <c r="AK20" s="441"/>
      <c r="AL20" s="441"/>
      <c r="AM20" s="441"/>
      <c r="AN20" s="441"/>
      <c r="AO20" s="441"/>
      <c r="AP20" s="441"/>
      <c r="AQ20" s="441"/>
      <c r="AR20" s="441"/>
      <c r="AS20" s="441"/>
      <c r="AT20" s="441"/>
      <c r="AU20" s="441"/>
      <c r="AV20" s="441"/>
      <c r="AW20" s="441"/>
      <c r="AX20" s="441"/>
      <c r="AY20" s="442"/>
      <c r="AZ20" s="442"/>
      <c r="BA20" s="442"/>
      <c r="BB20" s="442"/>
      <c r="BC20" s="442"/>
      <c r="BD20" s="311" t="str">
        <f t="shared" si="16"/>
        <v/>
      </c>
      <c r="BE20" s="311"/>
      <c r="BF20" s="311"/>
      <c r="BG20" s="311"/>
      <c r="BH20" s="311"/>
      <c r="BI20" s="310" t="str">
        <f t="shared" si="0"/>
        <v/>
      </c>
      <c r="BJ20" s="310"/>
      <c r="BK20" s="310"/>
      <c r="BL20" s="310"/>
      <c r="BM20" s="310"/>
      <c r="BN20" s="311" t="str">
        <f t="shared" si="1"/>
        <v/>
      </c>
      <c r="BO20" s="311"/>
      <c r="BP20" s="311"/>
      <c r="BQ20" s="311"/>
      <c r="BR20" s="311"/>
      <c r="BS20" s="332" t="str">
        <f t="shared" si="2"/>
        <v/>
      </c>
      <c r="BT20" s="332"/>
      <c r="BU20" s="332"/>
      <c r="BV20" s="332"/>
      <c r="BW20" s="332"/>
      <c r="BX20" s="311" t="str">
        <f t="shared" si="3"/>
        <v/>
      </c>
      <c r="BY20" s="311"/>
      <c r="BZ20" s="311"/>
      <c r="CA20" s="311"/>
      <c r="CB20" s="311"/>
      <c r="CC20" s="311" t="str">
        <f t="shared" si="4"/>
        <v/>
      </c>
      <c r="CD20" s="311"/>
      <c r="CE20" s="311"/>
      <c r="CF20" s="311"/>
      <c r="CG20" s="311"/>
      <c r="CN20" s="2" t="s">
        <v>84</v>
      </c>
      <c r="CP20" s="87">
        <f t="shared" si="5"/>
        <v>0</v>
      </c>
      <c r="CR20" s="28" t="e">
        <f t="shared" si="6"/>
        <v>#VALUE!</v>
      </c>
      <c r="CS20" s="29" t="str">
        <f t="shared" si="7"/>
        <v/>
      </c>
      <c r="CU20" s="28">
        <f t="shared" si="8"/>
        <v>32</v>
      </c>
      <c r="CV20" s="31">
        <f t="shared" si="9"/>
        <v>32</v>
      </c>
      <c r="CW20" s="32">
        <f t="shared" ref="CW20:CW28" si="24">ROUND(CU20,1)</f>
        <v>32</v>
      </c>
      <c r="CX20" s="32">
        <f t="shared" si="17"/>
        <v>32</v>
      </c>
      <c r="CY20" s="26"/>
      <c r="CZ20" s="28">
        <f t="shared" si="10"/>
        <v>0</v>
      </c>
      <c r="DA20" s="28">
        <f t="shared" si="11"/>
        <v>0</v>
      </c>
      <c r="DB20" s="34">
        <f t="shared" ref="DB20:DB28" si="25">ROUND(CZ20,1)</f>
        <v>0</v>
      </c>
      <c r="DC20" s="32">
        <f t="shared" si="18"/>
        <v>0</v>
      </c>
      <c r="DD20" s="35"/>
      <c r="DE20" s="28" t="e">
        <f t="shared" si="12"/>
        <v>#DIV/0!</v>
      </c>
      <c r="DF20" s="31" t="e">
        <f t="shared" si="13"/>
        <v>#DIV/0!</v>
      </c>
      <c r="DG20" s="32" t="e">
        <f t="shared" ref="DG20:DG28" si="26">ROUND(DE20,1)</f>
        <v>#DIV/0!</v>
      </c>
      <c r="DH20" s="32" t="e">
        <f t="shared" si="19"/>
        <v>#DIV/0!</v>
      </c>
      <c r="DI20" s="32" t="e">
        <f t="shared" si="20"/>
        <v>#DIV/0!</v>
      </c>
      <c r="DK20" s="38" t="e">
        <f t="shared" si="14"/>
        <v>#DIV/0!</v>
      </c>
      <c r="DL20" s="41" t="e">
        <f t="shared" ref="DL20:DL28" si="27">ROUND(DK20*5,2)/5</f>
        <v>#DIV/0!</v>
      </c>
      <c r="DM20" s="38" t="e">
        <f t="shared" ref="DM20:DM28" si="28">ROUND(DK20,4)</f>
        <v>#DIV/0!</v>
      </c>
      <c r="DN20" s="32" t="e">
        <f t="shared" si="21"/>
        <v>#DIV/0!</v>
      </c>
      <c r="DO20" s="32" t="e">
        <f t="shared" ref="DO20:DO28" si="29">DN20*(1+((EXP(((0.01374979547/2)*(((103.872/DN20)+0.2701)*(1/DN20)))*(1+(0.8*((0.01374979547/2)*(((103.872/DN20)+0.2701)*(1/DN20))))))-1)/(1+(((0.01374979547/2)*(((103.872/DN20)+0.2701)*(1/DN20)))*(1+(1.6*((0.01374979547/2)*(((103.872/DN20)+0.2701)*(1/DN20)))))*(((2*103.872)+(0.2701+DN20))/(103.872+(0.2701*DN20)))))))</f>
        <v>#DIV/0!</v>
      </c>
      <c r="DQ20" s="38">
        <f t="shared" si="15"/>
        <v>0</v>
      </c>
      <c r="DR20" s="29">
        <f t="shared" ref="DR20:DR28" si="30">ROUND(DQ20*5,2)/5</f>
        <v>0</v>
      </c>
      <c r="DS20" s="38">
        <f t="shared" ref="DS20:DS28" si="31">ROUND(DQ20,4)</f>
        <v>0</v>
      </c>
      <c r="DT20" s="32">
        <f t="shared" si="22"/>
        <v>0</v>
      </c>
      <c r="DU20" s="32" t="e">
        <f t="shared" si="23"/>
        <v>#DIV/0!</v>
      </c>
      <c r="DW20" s="38" t="e">
        <f t="shared" ref="DW20:DW28" si="32">ROUND(EXP(-((103.872/(((141.5/(DF20+131.5))*999.012)^2))+(0.2701/((141.5/(DF20+131.5))*999.012)))*(CV20-60)*(1+(0.8*((103.872/(((141.5/(DF20+131.5))*999.012)^2))+(0.2701/((141.5/(DF20+131.5))*999.012)))*(CV20-60)))),4)</f>
        <v>#DIV/0!</v>
      </c>
      <c r="DX20" s="42" t="e">
        <f t="shared" ref="DX20:DX28" si="33">ROUND(EXP(-(((103.872/DI20)+0.2701)*(1/DI20))*(CX20-60.0068749)*(1+(0.8*(((103.872/DI20)+0.2701)*(1/DI20))*((CX20-60.0068749)+0.01374979547)))),5)</f>
        <v>#DIV/0!</v>
      </c>
      <c r="DY20" s="38" t="e">
        <f t="shared" ref="DY20:DY28" si="34">ROUND(EXP(-((103.872/((DL20*999.012)^2))+(0.2701/(DL20*999.012)))*(CV20-60)*(1+(0.8*((103.872/((DL20*999.012)^2))+(0.2701/(DL20*999.012)))*(CV20-60)))),4)</f>
        <v>#DIV/0!</v>
      </c>
      <c r="DZ20" s="42" t="e">
        <f t="shared" ref="DZ20:DZ28" si="35">ROUND(EXP(-(((103.872/DO20)+0.2701)*(1/DO20))*(CX20-60.0068749)*(1+(0.8*(((103.872/DO20)+0.2701)*(1/DO20))*((CX20-60.0068749)+0.01374979547)))),5)</f>
        <v>#DIV/0!</v>
      </c>
      <c r="EA20" s="38" t="e">
        <f t="shared" ref="EA20:EA28" si="36">ROUND(EXP(-((186.9696/((DR20*1000)^2))+(0.4862/(DR20*1000)))*(DA20-15)*(1+(0.8*((186.9696/((DR20*1000)^2))+(0.4862/(DR20*1000)))*(DA20-15)))),4)</f>
        <v>#DIV/0!</v>
      </c>
      <c r="EB20" s="42" t="e">
        <f t="shared" ref="EB20:EB28" si="37">ROUND(EXP(-((((186.9696/DU20)+0.4862)*(1/DU20)))*(DC20-15.00367851)*(1+(0.8*((((186.9696/DU20)+0.4862)*(1/DU20)))*((DC20-15.00367851)+0.01374979547)))),5)</f>
        <v>#DIV/0!</v>
      </c>
    </row>
    <row r="21" spans="1:132" ht="11.45" customHeight="1" x14ac:dyDescent="0.2">
      <c r="A21" s="317"/>
      <c r="B21" s="317"/>
      <c r="C21" s="317"/>
      <c r="D21" s="317"/>
      <c r="E21" s="317"/>
      <c r="F21" s="317"/>
      <c r="G21" s="317"/>
      <c r="H21" s="317"/>
      <c r="I21" s="345"/>
      <c r="J21" s="345"/>
      <c r="K21" s="345"/>
      <c r="L21" s="345"/>
      <c r="M21" s="345"/>
      <c r="N21" s="345"/>
      <c r="O21" s="345"/>
      <c r="P21" s="443"/>
      <c r="Q21" s="443"/>
      <c r="R21" s="443"/>
      <c r="S21" s="443"/>
      <c r="T21" s="443"/>
      <c r="U21" s="308"/>
      <c r="V21" s="308"/>
      <c r="W21" s="308"/>
      <c r="X21" s="308"/>
      <c r="Y21" s="308"/>
      <c r="Z21" s="308"/>
      <c r="AA21" s="308"/>
      <c r="AB21" s="308"/>
      <c r="AC21" s="309"/>
      <c r="AD21" s="308"/>
      <c r="AE21" s="308"/>
      <c r="AF21" s="308"/>
      <c r="AG21" s="308"/>
      <c r="AH21" s="308"/>
      <c r="AI21" s="308"/>
      <c r="AJ21" s="441"/>
      <c r="AK21" s="441"/>
      <c r="AL21" s="441"/>
      <c r="AM21" s="441"/>
      <c r="AN21" s="441"/>
      <c r="AO21" s="441"/>
      <c r="AP21" s="441"/>
      <c r="AQ21" s="441"/>
      <c r="AR21" s="441"/>
      <c r="AS21" s="441"/>
      <c r="AT21" s="441"/>
      <c r="AU21" s="441"/>
      <c r="AV21" s="441"/>
      <c r="AW21" s="441"/>
      <c r="AX21" s="441"/>
      <c r="AY21" s="442"/>
      <c r="AZ21" s="442"/>
      <c r="BA21" s="442"/>
      <c r="BB21" s="442"/>
      <c r="BC21" s="442"/>
      <c r="BD21" s="311" t="str">
        <f t="shared" si="16"/>
        <v/>
      </c>
      <c r="BE21" s="311"/>
      <c r="BF21" s="311"/>
      <c r="BG21" s="311"/>
      <c r="BH21" s="311"/>
      <c r="BI21" s="310" t="str">
        <f t="shared" si="0"/>
        <v/>
      </c>
      <c r="BJ21" s="310"/>
      <c r="BK21" s="310"/>
      <c r="BL21" s="310"/>
      <c r="BM21" s="310"/>
      <c r="BN21" s="311" t="str">
        <f t="shared" si="1"/>
        <v/>
      </c>
      <c r="BO21" s="311"/>
      <c r="BP21" s="311"/>
      <c r="BQ21" s="311"/>
      <c r="BR21" s="311"/>
      <c r="BS21" s="332" t="str">
        <f t="shared" si="2"/>
        <v/>
      </c>
      <c r="BT21" s="332"/>
      <c r="BU21" s="332"/>
      <c r="BV21" s="332"/>
      <c r="BW21" s="332"/>
      <c r="BX21" s="311" t="str">
        <f t="shared" si="3"/>
        <v/>
      </c>
      <c r="BY21" s="311"/>
      <c r="BZ21" s="311"/>
      <c r="CA21" s="311"/>
      <c r="CB21" s="311"/>
      <c r="CC21" s="311" t="str">
        <f t="shared" si="4"/>
        <v/>
      </c>
      <c r="CD21" s="311"/>
      <c r="CE21" s="311"/>
      <c r="CF21" s="311"/>
      <c r="CG21" s="311"/>
      <c r="CI21" s="323" t="s">
        <v>175</v>
      </c>
      <c r="CJ21" s="324"/>
      <c r="CK21" s="324"/>
      <c r="CL21" s="325"/>
      <c r="CP21" s="87">
        <f t="shared" si="5"/>
        <v>0</v>
      </c>
      <c r="CR21" s="28" t="e">
        <f t="shared" si="6"/>
        <v>#VALUE!</v>
      </c>
      <c r="CS21" s="29" t="str">
        <f t="shared" si="7"/>
        <v/>
      </c>
      <c r="CU21" s="28">
        <f t="shared" si="8"/>
        <v>32</v>
      </c>
      <c r="CV21" s="31">
        <f t="shared" si="9"/>
        <v>32</v>
      </c>
      <c r="CW21" s="32">
        <f t="shared" si="24"/>
        <v>32</v>
      </c>
      <c r="CX21" s="32">
        <f t="shared" si="17"/>
        <v>32</v>
      </c>
      <c r="CY21" s="26"/>
      <c r="CZ21" s="28">
        <f t="shared" si="10"/>
        <v>0</v>
      </c>
      <c r="DA21" s="28">
        <f t="shared" si="11"/>
        <v>0</v>
      </c>
      <c r="DB21" s="34">
        <f t="shared" si="25"/>
        <v>0</v>
      </c>
      <c r="DC21" s="32">
        <f t="shared" si="18"/>
        <v>0</v>
      </c>
      <c r="DD21" s="35"/>
      <c r="DE21" s="28" t="e">
        <f t="shared" si="12"/>
        <v>#DIV/0!</v>
      </c>
      <c r="DF21" s="31" t="e">
        <f t="shared" si="13"/>
        <v>#DIV/0!</v>
      </c>
      <c r="DG21" s="32" t="e">
        <f t="shared" si="26"/>
        <v>#DIV/0!</v>
      </c>
      <c r="DH21" s="32" t="e">
        <f t="shared" si="19"/>
        <v>#DIV/0!</v>
      </c>
      <c r="DI21" s="32" t="e">
        <f t="shared" si="20"/>
        <v>#DIV/0!</v>
      </c>
      <c r="DK21" s="38" t="e">
        <f t="shared" si="14"/>
        <v>#DIV/0!</v>
      </c>
      <c r="DL21" s="41" t="e">
        <f t="shared" si="27"/>
        <v>#DIV/0!</v>
      </c>
      <c r="DM21" s="38" t="e">
        <f t="shared" si="28"/>
        <v>#DIV/0!</v>
      </c>
      <c r="DN21" s="32" t="e">
        <f t="shared" si="21"/>
        <v>#DIV/0!</v>
      </c>
      <c r="DO21" s="32" t="e">
        <f t="shared" si="29"/>
        <v>#DIV/0!</v>
      </c>
      <c r="DQ21" s="38">
        <f t="shared" si="15"/>
        <v>0</v>
      </c>
      <c r="DR21" s="29">
        <f t="shared" si="30"/>
        <v>0</v>
      </c>
      <c r="DS21" s="38">
        <f t="shared" si="31"/>
        <v>0</v>
      </c>
      <c r="DT21" s="32">
        <f t="shared" si="22"/>
        <v>0</v>
      </c>
      <c r="DU21" s="32" t="e">
        <f t="shared" si="23"/>
        <v>#DIV/0!</v>
      </c>
      <c r="DW21" s="38" t="e">
        <f t="shared" si="32"/>
        <v>#DIV/0!</v>
      </c>
      <c r="DX21" s="42" t="e">
        <f t="shared" si="33"/>
        <v>#DIV/0!</v>
      </c>
      <c r="DY21" s="38" t="e">
        <f t="shared" si="34"/>
        <v>#DIV/0!</v>
      </c>
      <c r="DZ21" s="42" t="e">
        <f t="shared" si="35"/>
        <v>#DIV/0!</v>
      </c>
      <c r="EA21" s="38" t="e">
        <f t="shared" si="36"/>
        <v>#DIV/0!</v>
      </c>
      <c r="EB21" s="42" t="e">
        <f t="shared" si="37"/>
        <v>#DIV/0!</v>
      </c>
    </row>
    <row r="22" spans="1:132" ht="11.45" customHeight="1" x14ac:dyDescent="0.2">
      <c r="A22" s="317"/>
      <c r="B22" s="317"/>
      <c r="C22" s="317"/>
      <c r="D22" s="317"/>
      <c r="E22" s="317"/>
      <c r="F22" s="317"/>
      <c r="G22" s="317"/>
      <c r="H22" s="317"/>
      <c r="I22" s="345"/>
      <c r="J22" s="345"/>
      <c r="K22" s="345"/>
      <c r="L22" s="345"/>
      <c r="M22" s="345"/>
      <c r="N22" s="345"/>
      <c r="O22" s="345"/>
      <c r="P22" s="443"/>
      <c r="Q22" s="443"/>
      <c r="R22" s="443"/>
      <c r="S22" s="443"/>
      <c r="T22" s="443"/>
      <c r="U22" s="308"/>
      <c r="V22" s="308"/>
      <c r="W22" s="308"/>
      <c r="X22" s="308"/>
      <c r="Y22" s="308"/>
      <c r="Z22" s="308"/>
      <c r="AA22" s="308"/>
      <c r="AB22" s="308"/>
      <c r="AC22" s="309"/>
      <c r="AD22" s="308"/>
      <c r="AE22" s="308"/>
      <c r="AF22" s="308"/>
      <c r="AG22" s="308"/>
      <c r="AH22" s="308"/>
      <c r="AI22" s="308"/>
      <c r="AJ22" s="441"/>
      <c r="AK22" s="441"/>
      <c r="AL22" s="441"/>
      <c r="AM22" s="441"/>
      <c r="AN22" s="441"/>
      <c r="AO22" s="441"/>
      <c r="AP22" s="441"/>
      <c r="AQ22" s="441"/>
      <c r="AR22" s="441"/>
      <c r="AS22" s="441"/>
      <c r="AT22" s="441"/>
      <c r="AU22" s="441"/>
      <c r="AV22" s="441"/>
      <c r="AW22" s="441"/>
      <c r="AX22" s="441"/>
      <c r="AY22" s="442"/>
      <c r="AZ22" s="442"/>
      <c r="BA22" s="442"/>
      <c r="BB22" s="442"/>
      <c r="BC22" s="442"/>
      <c r="BD22" s="311" t="str">
        <f t="shared" si="16"/>
        <v/>
      </c>
      <c r="BE22" s="311"/>
      <c r="BF22" s="311"/>
      <c r="BG22" s="311"/>
      <c r="BH22" s="311"/>
      <c r="BI22" s="310" t="str">
        <f t="shared" si="0"/>
        <v/>
      </c>
      <c r="BJ22" s="310"/>
      <c r="BK22" s="310"/>
      <c r="BL22" s="310"/>
      <c r="BM22" s="310"/>
      <c r="BN22" s="311" t="str">
        <f t="shared" si="1"/>
        <v/>
      </c>
      <c r="BO22" s="311"/>
      <c r="BP22" s="311"/>
      <c r="BQ22" s="311"/>
      <c r="BR22" s="311"/>
      <c r="BS22" s="332" t="str">
        <f t="shared" si="2"/>
        <v/>
      </c>
      <c r="BT22" s="332"/>
      <c r="BU22" s="332"/>
      <c r="BV22" s="332"/>
      <c r="BW22" s="332"/>
      <c r="BX22" s="311" t="str">
        <f t="shared" si="3"/>
        <v/>
      </c>
      <c r="BY22" s="311"/>
      <c r="BZ22" s="311"/>
      <c r="CA22" s="311"/>
      <c r="CB22" s="311"/>
      <c r="CC22" s="311" t="str">
        <f t="shared" si="4"/>
        <v/>
      </c>
      <c r="CD22" s="311"/>
      <c r="CE22" s="311"/>
      <c r="CF22" s="311"/>
      <c r="CG22" s="311"/>
      <c r="CI22" s="326"/>
      <c r="CJ22" s="327"/>
      <c r="CK22" s="327"/>
      <c r="CL22" s="328"/>
      <c r="CP22" s="87">
        <f t="shared" si="5"/>
        <v>0</v>
      </c>
      <c r="CR22" s="28" t="e">
        <f t="shared" si="6"/>
        <v>#VALUE!</v>
      </c>
      <c r="CS22" s="29" t="str">
        <f t="shared" si="7"/>
        <v/>
      </c>
      <c r="CU22" s="28">
        <f t="shared" si="8"/>
        <v>32</v>
      </c>
      <c r="CV22" s="31">
        <f t="shared" si="9"/>
        <v>32</v>
      </c>
      <c r="CW22" s="32">
        <f t="shared" si="24"/>
        <v>32</v>
      </c>
      <c r="CX22" s="32">
        <f t="shared" si="17"/>
        <v>32</v>
      </c>
      <c r="CY22" s="26"/>
      <c r="CZ22" s="28">
        <f t="shared" si="10"/>
        <v>0</v>
      </c>
      <c r="DA22" s="28">
        <f t="shared" si="11"/>
        <v>0</v>
      </c>
      <c r="DB22" s="34">
        <f t="shared" si="25"/>
        <v>0</v>
      </c>
      <c r="DC22" s="32">
        <f t="shared" si="18"/>
        <v>0</v>
      </c>
      <c r="DD22" s="35"/>
      <c r="DE22" s="28" t="e">
        <f t="shared" si="12"/>
        <v>#DIV/0!</v>
      </c>
      <c r="DF22" s="31" t="e">
        <f t="shared" si="13"/>
        <v>#DIV/0!</v>
      </c>
      <c r="DG22" s="32" t="e">
        <f t="shared" si="26"/>
        <v>#DIV/0!</v>
      </c>
      <c r="DH22" s="32" t="e">
        <f t="shared" si="19"/>
        <v>#DIV/0!</v>
      </c>
      <c r="DI22" s="32" t="e">
        <f t="shared" si="20"/>
        <v>#DIV/0!</v>
      </c>
      <c r="DK22" s="38" t="e">
        <f t="shared" si="14"/>
        <v>#DIV/0!</v>
      </c>
      <c r="DL22" s="41" t="e">
        <f t="shared" si="27"/>
        <v>#DIV/0!</v>
      </c>
      <c r="DM22" s="38" t="e">
        <f t="shared" si="28"/>
        <v>#DIV/0!</v>
      </c>
      <c r="DN22" s="32" t="e">
        <f t="shared" si="21"/>
        <v>#DIV/0!</v>
      </c>
      <c r="DO22" s="32" t="e">
        <f t="shared" si="29"/>
        <v>#DIV/0!</v>
      </c>
      <c r="DQ22" s="38">
        <f t="shared" si="15"/>
        <v>0</v>
      </c>
      <c r="DR22" s="29">
        <f t="shared" si="30"/>
        <v>0</v>
      </c>
      <c r="DS22" s="38">
        <f t="shared" si="31"/>
        <v>0</v>
      </c>
      <c r="DT22" s="32">
        <f t="shared" si="22"/>
        <v>0</v>
      </c>
      <c r="DU22" s="32" t="e">
        <f t="shared" si="23"/>
        <v>#DIV/0!</v>
      </c>
      <c r="DW22" s="38" t="e">
        <f t="shared" si="32"/>
        <v>#DIV/0!</v>
      </c>
      <c r="DX22" s="42" t="e">
        <f t="shared" si="33"/>
        <v>#DIV/0!</v>
      </c>
      <c r="DY22" s="38" t="e">
        <f t="shared" si="34"/>
        <v>#DIV/0!</v>
      </c>
      <c r="DZ22" s="42" t="e">
        <f t="shared" si="35"/>
        <v>#DIV/0!</v>
      </c>
      <c r="EA22" s="38" t="e">
        <f t="shared" si="36"/>
        <v>#DIV/0!</v>
      </c>
      <c r="EB22" s="42" t="e">
        <f t="shared" si="37"/>
        <v>#DIV/0!</v>
      </c>
    </row>
    <row r="23" spans="1:132" ht="11.45" customHeight="1" x14ac:dyDescent="0.2">
      <c r="A23" s="317"/>
      <c r="B23" s="317"/>
      <c r="C23" s="317"/>
      <c r="D23" s="317"/>
      <c r="E23" s="317"/>
      <c r="F23" s="317"/>
      <c r="G23" s="317"/>
      <c r="H23" s="317"/>
      <c r="I23" s="345"/>
      <c r="J23" s="345"/>
      <c r="K23" s="345"/>
      <c r="L23" s="345"/>
      <c r="M23" s="345"/>
      <c r="N23" s="345"/>
      <c r="O23" s="345"/>
      <c r="P23" s="443"/>
      <c r="Q23" s="443"/>
      <c r="R23" s="443"/>
      <c r="S23" s="443"/>
      <c r="T23" s="443"/>
      <c r="U23" s="308"/>
      <c r="V23" s="308"/>
      <c r="W23" s="308"/>
      <c r="X23" s="308"/>
      <c r="Y23" s="308"/>
      <c r="Z23" s="308"/>
      <c r="AA23" s="308"/>
      <c r="AB23" s="308"/>
      <c r="AC23" s="309"/>
      <c r="AD23" s="308"/>
      <c r="AE23" s="308"/>
      <c r="AF23" s="308"/>
      <c r="AG23" s="308"/>
      <c r="AH23" s="308"/>
      <c r="AI23" s="308"/>
      <c r="AJ23" s="441"/>
      <c r="AK23" s="441"/>
      <c r="AL23" s="441"/>
      <c r="AM23" s="441"/>
      <c r="AN23" s="441"/>
      <c r="AO23" s="441"/>
      <c r="AP23" s="441"/>
      <c r="AQ23" s="441"/>
      <c r="AR23" s="441"/>
      <c r="AS23" s="441"/>
      <c r="AT23" s="441"/>
      <c r="AU23" s="441"/>
      <c r="AV23" s="441"/>
      <c r="AW23" s="441"/>
      <c r="AX23" s="441"/>
      <c r="AY23" s="442"/>
      <c r="AZ23" s="442"/>
      <c r="BA23" s="442"/>
      <c r="BB23" s="442"/>
      <c r="BC23" s="442"/>
      <c r="BD23" s="311" t="str">
        <f t="shared" si="16"/>
        <v/>
      </c>
      <c r="BE23" s="311"/>
      <c r="BF23" s="311"/>
      <c r="BG23" s="311"/>
      <c r="BH23" s="311"/>
      <c r="BI23" s="310" t="str">
        <f t="shared" si="0"/>
        <v/>
      </c>
      <c r="BJ23" s="310"/>
      <c r="BK23" s="310"/>
      <c r="BL23" s="310"/>
      <c r="BM23" s="310"/>
      <c r="BN23" s="311" t="str">
        <f t="shared" si="1"/>
        <v/>
      </c>
      <c r="BO23" s="311"/>
      <c r="BP23" s="311"/>
      <c r="BQ23" s="311"/>
      <c r="BR23" s="311"/>
      <c r="BS23" s="332" t="str">
        <f t="shared" si="2"/>
        <v/>
      </c>
      <c r="BT23" s="332"/>
      <c r="BU23" s="332"/>
      <c r="BV23" s="332"/>
      <c r="BW23" s="332"/>
      <c r="BX23" s="311" t="str">
        <f t="shared" si="3"/>
        <v/>
      </c>
      <c r="BY23" s="311"/>
      <c r="BZ23" s="311"/>
      <c r="CA23" s="311"/>
      <c r="CB23" s="311"/>
      <c r="CC23" s="311" t="str">
        <f t="shared" si="4"/>
        <v/>
      </c>
      <c r="CD23" s="311"/>
      <c r="CE23" s="311"/>
      <c r="CF23" s="311"/>
      <c r="CG23" s="311"/>
      <c r="CI23" s="108" t="s">
        <v>170</v>
      </c>
      <c r="CJ23" s="109"/>
      <c r="CK23" s="43" t="e">
        <f>AVERAGE(AY18:BC29)</f>
        <v>#DIV/0!</v>
      </c>
      <c r="CL23" s="21" t="s">
        <v>174</v>
      </c>
      <c r="CN23" s="1" t="s">
        <v>217</v>
      </c>
      <c r="CP23" s="87">
        <f t="shared" si="5"/>
        <v>0</v>
      </c>
      <c r="CR23" s="28" t="e">
        <f t="shared" si="6"/>
        <v>#VALUE!</v>
      </c>
      <c r="CS23" s="29" t="str">
        <f t="shared" si="7"/>
        <v/>
      </c>
      <c r="CU23" s="28">
        <f t="shared" si="8"/>
        <v>32</v>
      </c>
      <c r="CV23" s="31">
        <f t="shared" si="9"/>
        <v>32</v>
      </c>
      <c r="CW23" s="32">
        <f t="shared" si="24"/>
        <v>32</v>
      </c>
      <c r="CX23" s="32">
        <f t="shared" si="17"/>
        <v>32</v>
      </c>
      <c r="CY23" s="26"/>
      <c r="CZ23" s="28">
        <f t="shared" si="10"/>
        <v>0</v>
      </c>
      <c r="DA23" s="28">
        <f t="shared" si="11"/>
        <v>0</v>
      </c>
      <c r="DB23" s="34">
        <f t="shared" si="25"/>
        <v>0</v>
      </c>
      <c r="DC23" s="32">
        <f t="shared" si="18"/>
        <v>0</v>
      </c>
      <c r="DD23" s="35"/>
      <c r="DE23" s="28" t="e">
        <f t="shared" si="12"/>
        <v>#DIV/0!</v>
      </c>
      <c r="DF23" s="31" t="e">
        <f t="shared" si="13"/>
        <v>#DIV/0!</v>
      </c>
      <c r="DG23" s="32" t="e">
        <f t="shared" si="26"/>
        <v>#DIV/0!</v>
      </c>
      <c r="DH23" s="32" t="e">
        <f t="shared" si="19"/>
        <v>#DIV/0!</v>
      </c>
      <c r="DI23" s="32" t="e">
        <f t="shared" si="20"/>
        <v>#DIV/0!</v>
      </c>
      <c r="DK23" s="38" t="e">
        <f t="shared" si="14"/>
        <v>#DIV/0!</v>
      </c>
      <c r="DL23" s="41" t="e">
        <f t="shared" si="27"/>
        <v>#DIV/0!</v>
      </c>
      <c r="DM23" s="38" t="e">
        <f t="shared" si="28"/>
        <v>#DIV/0!</v>
      </c>
      <c r="DN23" s="32" t="e">
        <f t="shared" si="21"/>
        <v>#DIV/0!</v>
      </c>
      <c r="DO23" s="32" t="e">
        <f t="shared" si="29"/>
        <v>#DIV/0!</v>
      </c>
      <c r="DQ23" s="38">
        <f t="shared" si="15"/>
        <v>0</v>
      </c>
      <c r="DR23" s="29">
        <f t="shared" si="30"/>
        <v>0</v>
      </c>
      <c r="DS23" s="38">
        <f t="shared" si="31"/>
        <v>0</v>
      </c>
      <c r="DT23" s="32">
        <f t="shared" si="22"/>
        <v>0</v>
      </c>
      <c r="DU23" s="32" t="e">
        <f t="shared" si="23"/>
        <v>#DIV/0!</v>
      </c>
      <c r="DW23" s="38" t="e">
        <f t="shared" si="32"/>
        <v>#DIV/0!</v>
      </c>
      <c r="DX23" s="42" t="e">
        <f t="shared" si="33"/>
        <v>#DIV/0!</v>
      </c>
      <c r="DY23" s="38" t="e">
        <f t="shared" si="34"/>
        <v>#DIV/0!</v>
      </c>
      <c r="DZ23" s="42" t="e">
        <f t="shared" si="35"/>
        <v>#DIV/0!</v>
      </c>
      <c r="EA23" s="38" t="e">
        <f t="shared" si="36"/>
        <v>#DIV/0!</v>
      </c>
      <c r="EB23" s="42" t="e">
        <f t="shared" si="37"/>
        <v>#DIV/0!</v>
      </c>
    </row>
    <row r="24" spans="1:132" ht="11.45" customHeight="1" x14ac:dyDescent="0.2">
      <c r="A24" s="317"/>
      <c r="B24" s="317"/>
      <c r="C24" s="317"/>
      <c r="D24" s="317"/>
      <c r="E24" s="317"/>
      <c r="F24" s="317"/>
      <c r="G24" s="317"/>
      <c r="H24" s="317"/>
      <c r="I24" s="345"/>
      <c r="J24" s="345"/>
      <c r="K24" s="345"/>
      <c r="L24" s="345"/>
      <c r="M24" s="345"/>
      <c r="N24" s="345"/>
      <c r="O24" s="345"/>
      <c r="P24" s="313"/>
      <c r="Q24" s="313"/>
      <c r="R24" s="313"/>
      <c r="S24" s="313"/>
      <c r="T24" s="313"/>
      <c r="U24" s="308"/>
      <c r="V24" s="308"/>
      <c r="W24" s="308"/>
      <c r="X24" s="308"/>
      <c r="Y24" s="308"/>
      <c r="Z24" s="308"/>
      <c r="AA24" s="308"/>
      <c r="AB24" s="308"/>
      <c r="AC24" s="309"/>
      <c r="AD24" s="308"/>
      <c r="AE24" s="308"/>
      <c r="AF24" s="308"/>
      <c r="AG24" s="308"/>
      <c r="AH24" s="308"/>
      <c r="AI24" s="308"/>
      <c r="AJ24" s="308"/>
      <c r="AK24" s="308"/>
      <c r="AL24" s="308"/>
      <c r="AM24" s="308"/>
      <c r="AN24" s="308"/>
      <c r="AO24" s="308"/>
      <c r="AP24" s="308"/>
      <c r="AQ24" s="308"/>
      <c r="AR24" s="308"/>
      <c r="AS24" s="308"/>
      <c r="AT24" s="308"/>
      <c r="AU24" s="308"/>
      <c r="AV24" s="308"/>
      <c r="AW24" s="308"/>
      <c r="AX24" s="308"/>
      <c r="AY24" s="312"/>
      <c r="AZ24" s="312"/>
      <c r="BA24" s="312"/>
      <c r="BB24" s="312"/>
      <c r="BC24" s="312"/>
      <c r="BD24" s="311" t="str">
        <f t="shared" si="16"/>
        <v/>
      </c>
      <c r="BE24" s="311"/>
      <c r="BF24" s="311"/>
      <c r="BG24" s="311"/>
      <c r="BH24" s="311"/>
      <c r="BI24" s="310" t="str">
        <f t="shared" si="0"/>
        <v/>
      </c>
      <c r="BJ24" s="310"/>
      <c r="BK24" s="310"/>
      <c r="BL24" s="310"/>
      <c r="BM24" s="310"/>
      <c r="BN24" s="311" t="str">
        <f t="shared" si="1"/>
        <v/>
      </c>
      <c r="BO24" s="311"/>
      <c r="BP24" s="311"/>
      <c r="BQ24" s="311"/>
      <c r="BR24" s="311"/>
      <c r="BS24" s="332" t="str">
        <f t="shared" si="2"/>
        <v/>
      </c>
      <c r="BT24" s="332"/>
      <c r="BU24" s="332"/>
      <c r="BV24" s="332"/>
      <c r="BW24" s="332"/>
      <c r="BX24" s="311" t="str">
        <f t="shared" si="3"/>
        <v/>
      </c>
      <c r="BY24" s="311"/>
      <c r="BZ24" s="311"/>
      <c r="CA24" s="311"/>
      <c r="CB24" s="311"/>
      <c r="CC24" s="311" t="str">
        <f t="shared" si="4"/>
        <v/>
      </c>
      <c r="CD24" s="311"/>
      <c r="CE24" s="311"/>
      <c r="CF24" s="311"/>
      <c r="CG24" s="311"/>
      <c r="CI24" s="9" t="s">
        <v>171</v>
      </c>
      <c r="CJ24" s="10"/>
      <c r="CK24" s="44" t="e">
        <f>SUM(CP18:CP29)/BD30</f>
        <v>#VALUE!</v>
      </c>
      <c r="CL24" s="11" t="s">
        <v>174</v>
      </c>
      <c r="CN24" s="107" t="s">
        <v>459</v>
      </c>
      <c r="CP24" s="87">
        <f t="shared" si="5"/>
        <v>0</v>
      </c>
      <c r="CR24" s="28" t="e">
        <f t="shared" si="6"/>
        <v>#VALUE!</v>
      </c>
      <c r="CS24" s="29" t="str">
        <f t="shared" si="7"/>
        <v/>
      </c>
      <c r="CU24" s="28">
        <f t="shared" si="8"/>
        <v>32</v>
      </c>
      <c r="CV24" s="31">
        <f t="shared" si="9"/>
        <v>32</v>
      </c>
      <c r="CW24" s="32">
        <f t="shared" si="24"/>
        <v>32</v>
      </c>
      <c r="CX24" s="32">
        <f t="shared" si="17"/>
        <v>32</v>
      </c>
      <c r="CY24" s="26"/>
      <c r="CZ24" s="28">
        <f t="shared" si="10"/>
        <v>0</v>
      </c>
      <c r="DA24" s="28">
        <f t="shared" si="11"/>
        <v>0</v>
      </c>
      <c r="DB24" s="34">
        <f t="shared" si="25"/>
        <v>0</v>
      </c>
      <c r="DC24" s="32">
        <f t="shared" si="18"/>
        <v>0</v>
      </c>
      <c r="DD24" s="35"/>
      <c r="DE24" s="28" t="e">
        <f t="shared" si="12"/>
        <v>#DIV/0!</v>
      </c>
      <c r="DF24" s="31" t="e">
        <f t="shared" si="13"/>
        <v>#DIV/0!</v>
      </c>
      <c r="DG24" s="32" t="e">
        <f t="shared" si="26"/>
        <v>#DIV/0!</v>
      </c>
      <c r="DH24" s="32" t="e">
        <f t="shared" si="19"/>
        <v>#DIV/0!</v>
      </c>
      <c r="DI24" s="32" t="e">
        <f t="shared" si="20"/>
        <v>#DIV/0!</v>
      </c>
      <c r="DK24" s="38" t="e">
        <f t="shared" si="14"/>
        <v>#DIV/0!</v>
      </c>
      <c r="DL24" s="41" t="e">
        <f t="shared" si="27"/>
        <v>#DIV/0!</v>
      </c>
      <c r="DM24" s="38" t="e">
        <f t="shared" si="28"/>
        <v>#DIV/0!</v>
      </c>
      <c r="DN24" s="32" t="e">
        <f t="shared" si="21"/>
        <v>#DIV/0!</v>
      </c>
      <c r="DO24" s="32" t="e">
        <f t="shared" si="29"/>
        <v>#DIV/0!</v>
      </c>
      <c r="DQ24" s="38">
        <f t="shared" si="15"/>
        <v>0</v>
      </c>
      <c r="DR24" s="29">
        <f t="shared" si="30"/>
        <v>0</v>
      </c>
      <c r="DS24" s="38">
        <f t="shared" si="31"/>
        <v>0</v>
      </c>
      <c r="DT24" s="32">
        <f t="shared" si="22"/>
        <v>0</v>
      </c>
      <c r="DU24" s="32" t="e">
        <f t="shared" si="23"/>
        <v>#DIV/0!</v>
      </c>
      <c r="DW24" s="38" t="e">
        <f t="shared" si="32"/>
        <v>#DIV/0!</v>
      </c>
      <c r="DX24" s="42" t="e">
        <f t="shared" si="33"/>
        <v>#DIV/0!</v>
      </c>
      <c r="DY24" s="38" t="e">
        <f t="shared" si="34"/>
        <v>#DIV/0!</v>
      </c>
      <c r="DZ24" s="42" t="e">
        <f t="shared" si="35"/>
        <v>#DIV/0!</v>
      </c>
      <c r="EA24" s="38" t="e">
        <f t="shared" si="36"/>
        <v>#DIV/0!</v>
      </c>
      <c r="EB24" s="42" t="e">
        <f t="shared" si="37"/>
        <v>#DIV/0!</v>
      </c>
    </row>
    <row r="25" spans="1:132" ht="11.45" customHeight="1" x14ac:dyDescent="0.2">
      <c r="A25" s="317"/>
      <c r="B25" s="317"/>
      <c r="C25" s="317"/>
      <c r="D25" s="317"/>
      <c r="E25" s="317"/>
      <c r="F25" s="317"/>
      <c r="G25" s="317"/>
      <c r="H25" s="317"/>
      <c r="I25" s="345"/>
      <c r="J25" s="345"/>
      <c r="K25" s="345"/>
      <c r="L25" s="345"/>
      <c r="M25" s="345"/>
      <c r="N25" s="345"/>
      <c r="O25" s="345"/>
      <c r="P25" s="313"/>
      <c r="Q25" s="313"/>
      <c r="R25" s="313"/>
      <c r="S25" s="313"/>
      <c r="T25" s="313"/>
      <c r="U25" s="308"/>
      <c r="V25" s="308"/>
      <c r="W25" s="308"/>
      <c r="X25" s="308"/>
      <c r="Y25" s="308"/>
      <c r="Z25" s="308"/>
      <c r="AA25" s="308"/>
      <c r="AB25" s="308"/>
      <c r="AC25" s="309"/>
      <c r="AD25" s="308"/>
      <c r="AE25" s="308"/>
      <c r="AF25" s="308"/>
      <c r="AG25" s="308"/>
      <c r="AH25" s="308"/>
      <c r="AI25" s="308"/>
      <c r="AJ25" s="308"/>
      <c r="AK25" s="308"/>
      <c r="AL25" s="308"/>
      <c r="AM25" s="308"/>
      <c r="AN25" s="308"/>
      <c r="AO25" s="308"/>
      <c r="AP25" s="308"/>
      <c r="AQ25" s="308"/>
      <c r="AR25" s="308"/>
      <c r="AS25" s="308"/>
      <c r="AT25" s="308"/>
      <c r="AU25" s="308"/>
      <c r="AV25" s="308"/>
      <c r="AW25" s="308"/>
      <c r="AX25" s="308"/>
      <c r="AY25" s="312"/>
      <c r="AZ25" s="312"/>
      <c r="BA25" s="312"/>
      <c r="BB25" s="312"/>
      <c r="BC25" s="312"/>
      <c r="BD25" s="311" t="str">
        <f t="shared" si="16"/>
        <v/>
      </c>
      <c r="BE25" s="311"/>
      <c r="BF25" s="311"/>
      <c r="BG25" s="311"/>
      <c r="BH25" s="311"/>
      <c r="BI25" s="310" t="str">
        <f t="shared" si="0"/>
        <v/>
      </c>
      <c r="BJ25" s="310"/>
      <c r="BK25" s="310"/>
      <c r="BL25" s="310"/>
      <c r="BM25" s="310"/>
      <c r="BN25" s="311" t="str">
        <f t="shared" si="1"/>
        <v/>
      </c>
      <c r="BO25" s="311"/>
      <c r="BP25" s="311"/>
      <c r="BQ25" s="311"/>
      <c r="BR25" s="311"/>
      <c r="BS25" s="332" t="str">
        <f t="shared" si="2"/>
        <v/>
      </c>
      <c r="BT25" s="332"/>
      <c r="BU25" s="332"/>
      <c r="BV25" s="332"/>
      <c r="BW25" s="332"/>
      <c r="BX25" s="311" t="str">
        <f t="shared" si="3"/>
        <v/>
      </c>
      <c r="BY25" s="311"/>
      <c r="BZ25" s="311"/>
      <c r="CA25" s="311"/>
      <c r="CB25" s="311"/>
      <c r="CC25" s="311" t="str">
        <f t="shared" si="4"/>
        <v/>
      </c>
      <c r="CD25" s="311"/>
      <c r="CE25" s="311"/>
      <c r="CF25" s="311"/>
      <c r="CG25" s="311"/>
      <c r="CN25" s="2" t="s">
        <v>55</v>
      </c>
      <c r="CP25" s="87">
        <f t="shared" si="5"/>
        <v>0</v>
      </c>
      <c r="CR25" s="28" t="e">
        <f t="shared" si="6"/>
        <v>#VALUE!</v>
      </c>
      <c r="CS25" s="29" t="str">
        <f t="shared" si="7"/>
        <v/>
      </c>
      <c r="CU25" s="28">
        <f t="shared" si="8"/>
        <v>32</v>
      </c>
      <c r="CV25" s="31">
        <f t="shared" si="9"/>
        <v>32</v>
      </c>
      <c r="CW25" s="32">
        <f t="shared" si="24"/>
        <v>32</v>
      </c>
      <c r="CX25" s="32">
        <f t="shared" si="17"/>
        <v>32</v>
      </c>
      <c r="CY25" s="26"/>
      <c r="CZ25" s="28">
        <f t="shared" si="10"/>
        <v>0</v>
      </c>
      <c r="DA25" s="28">
        <f t="shared" si="11"/>
        <v>0</v>
      </c>
      <c r="DB25" s="34">
        <f t="shared" si="25"/>
        <v>0</v>
      </c>
      <c r="DC25" s="32">
        <f t="shared" si="18"/>
        <v>0</v>
      </c>
      <c r="DD25" s="35"/>
      <c r="DE25" s="28" t="e">
        <f t="shared" si="12"/>
        <v>#DIV/0!</v>
      </c>
      <c r="DF25" s="31" t="e">
        <f t="shared" si="13"/>
        <v>#DIV/0!</v>
      </c>
      <c r="DG25" s="32" t="e">
        <f t="shared" si="26"/>
        <v>#DIV/0!</v>
      </c>
      <c r="DH25" s="32" t="e">
        <f t="shared" si="19"/>
        <v>#DIV/0!</v>
      </c>
      <c r="DI25" s="32" t="e">
        <f t="shared" si="20"/>
        <v>#DIV/0!</v>
      </c>
      <c r="DK25" s="38" t="e">
        <f t="shared" si="14"/>
        <v>#DIV/0!</v>
      </c>
      <c r="DL25" s="41" t="e">
        <f t="shared" si="27"/>
        <v>#DIV/0!</v>
      </c>
      <c r="DM25" s="38" t="e">
        <f t="shared" si="28"/>
        <v>#DIV/0!</v>
      </c>
      <c r="DN25" s="32" t="e">
        <f t="shared" si="21"/>
        <v>#DIV/0!</v>
      </c>
      <c r="DO25" s="32" t="e">
        <f t="shared" si="29"/>
        <v>#DIV/0!</v>
      </c>
      <c r="DQ25" s="38">
        <f t="shared" si="15"/>
        <v>0</v>
      </c>
      <c r="DR25" s="29">
        <f t="shared" si="30"/>
        <v>0</v>
      </c>
      <c r="DS25" s="38">
        <f t="shared" si="31"/>
        <v>0</v>
      </c>
      <c r="DT25" s="32">
        <f t="shared" si="22"/>
        <v>0</v>
      </c>
      <c r="DU25" s="32" t="e">
        <f t="shared" si="23"/>
        <v>#DIV/0!</v>
      </c>
      <c r="DW25" s="38" t="e">
        <f t="shared" si="32"/>
        <v>#DIV/0!</v>
      </c>
      <c r="DX25" s="42" t="e">
        <f t="shared" si="33"/>
        <v>#DIV/0!</v>
      </c>
      <c r="DY25" s="38" t="e">
        <f t="shared" si="34"/>
        <v>#DIV/0!</v>
      </c>
      <c r="DZ25" s="42" t="e">
        <f t="shared" si="35"/>
        <v>#DIV/0!</v>
      </c>
      <c r="EA25" s="38" t="e">
        <f t="shared" si="36"/>
        <v>#DIV/0!</v>
      </c>
      <c r="EB25" s="42" t="e">
        <f t="shared" si="37"/>
        <v>#DIV/0!</v>
      </c>
    </row>
    <row r="26" spans="1:132" ht="11.45" customHeight="1" x14ac:dyDescent="0.2">
      <c r="A26" s="317"/>
      <c r="B26" s="317"/>
      <c r="C26" s="317"/>
      <c r="D26" s="317"/>
      <c r="E26" s="317"/>
      <c r="F26" s="317"/>
      <c r="G26" s="317"/>
      <c r="H26" s="317"/>
      <c r="I26" s="345"/>
      <c r="J26" s="345"/>
      <c r="K26" s="345"/>
      <c r="L26" s="345"/>
      <c r="M26" s="345"/>
      <c r="N26" s="345"/>
      <c r="O26" s="345"/>
      <c r="P26" s="313"/>
      <c r="Q26" s="313"/>
      <c r="R26" s="313"/>
      <c r="S26" s="313"/>
      <c r="T26" s="313"/>
      <c r="U26" s="308"/>
      <c r="V26" s="308"/>
      <c r="W26" s="308"/>
      <c r="X26" s="308"/>
      <c r="Y26" s="308"/>
      <c r="Z26" s="308"/>
      <c r="AA26" s="308"/>
      <c r="AB26" s="308"/>
      <c r="AC26" s="309"/>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6"/>
        <v/>
      </c>
      <c r="BE26" s="311"/>
      <c r="BF26" s="311"/>
      <c r="BG26" s="311"/>
      <c r="BH26" s="311"/>
      <c r="BI26" s="310" t="str">
        <f t="shared" si="0"/>
        <v/>
      </c>
      <c r="BJ26" s="310"/>
      <c r="BK26" s="310"/>
      <c r="BL26" s="310"/>
      <c r="BM26" s="310"/>
      <c r="BN26" s="311" t="str">
        <f t="shared" si="1"/>
        <v/>
      </c>
      <c r="BO26" s="311"/>
      <c r="BP26" s="311"/>
      <c r="BQ26" s="311"/>
      <c r="BR26" s="311"/>
      <c r="BS26" s="332" t="str">
        <f t="shared" si="2"/>
        <v/>
      </c>
      <c r="BT26" s="332"/>
      <c r="BU26" s="332"/>
      <c r="BV26" s="332"/>
      <c r="BW26" s="332"/>
      <c r="BX26" s="311" t="str">
        <f t="shared" si="3"/>
        <v/>
      </c>
      <c r="BY26" s="311"/>
      <c r="BZ26" s="311"/>
      <c r="CA26" s="311"/>
      <c r="CB26" s="311"/>
      <c r="CC26" s="311" t="str">
        <f t="shared" si="4"/>
        <v/>
      </c>
      <c r="CD26" s="311"/>
      <c r="CE26" s="311"/>
      <c r="CF26" s="311"/>
      <c r="CG26" s="311"/>
      <c r="CP26" s="87">
        <f t="shared" si="5"/>
        <v>0</v>
      </c>
      <c r="CR26" s="28" t="e">
        <f t="shared" si="6"/>
        <v>#VALUE!</v>
      </c>
      <c r="CS26" s="29" t="str">
        <f t="shared" si="7"/>
        <v/>
      </c>
      <c r="CU26" s="28">
        <f t="shared" si="8"/>
        <v>32</v>
      </c>
      <c r="CV26" s="31">
        <f t="shared" si="9"/>
        <v>32</v>
      </c>
      <c r="CW26" s="32">
        <f t="shared" si="24"/>
        <v>32</v>
      </c>
      <c r="CX26" s="32">
        <f t="shared" si="17"/>
        <v>32</v>
      </c>
      <c r="CY26" s="26"/>
      <c r="CZ26" s="28">
        <f t="shared" si="10"/>
        <v>0</v>
      </c>
      <c r="DA26" s="28">
        <f t="shared" si="11"/>
        <v>0</v>
      </c>
      <c r="DB26" s="34">
        <f t="shared" si="25"/>
        <v>0</v>
      </c>
      <c r="DC26" s="32">
        <f t="shared" si="18"/>
        <v>0</v>
      </c>
      <c r="DD26" s="35"/>
      <c r="DE26" s="28" t="e">
        <f t="shared" si="12"/>
        <v>#DIV/0!</v>
      </c>
      <c r="DF26" s="31" t="e">
        <f t="shared" si="13"/>
        <v>#DIV/0!</v>
      </c>
      <c r="DG26" s="32" t="e">
        <f t="shared" si="26"/>
        <v>#DIV/0!</v>
      </c>
      <c r="DH26" s="32" t="e">
        <f t="shared" si="19"/>
        <v>#DIV/0!</v>
      </c>
      <c r="DI26" s="32" t="e">
        <f t="shared" si="20"/>
        <v>#DIV/0!</v>
      </c>
      <c r="DK26" s="38" t="e">
        <f t="shared" si="14"/>
        <v>#DIV/0!</v>
      </c>
      <c r="DL26" s="41" t="e">
        <f t="shared" si="27"/>
        <v>#DIV/0!</v>
      </c>
      <c r="DM26" s="38" t="e">
        <f t="shared" si="28"/>
        <v>#DIV/0!</v>
      </c>
      <c r="DN26" s="32" t="e">
        <f t="shared" si="21"/>
        <v>#DIV/0!</v>
      </c>
      <c r="DO26" s="32" t="e">
        <f t="shared" si="29"/>
        <v>#DIV/0!</v>
      </c>
      <c r="DQ26" s="38">
        <f t="shared" si="15"/>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313"/>
      <c r="Q27" s="313"/>
      <c r="R27" s="313"/>
      <c r="S27" s="313"/>
      <c r="T27" s="3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6"/>
        <v/>
      </c>
      <c r="BE27" s="311"/>
      <c r="BF27" s="311"/>
      <c r="BG27" s="311"/>
      <c r="BH27" s="311"/>
      <c r="BI27" s="310" t="str">
        <f t="shared" si="0"/>
        <v/>
      </c>
      <c r="BJ27" s="310"/>
      <c r="BK27" s="310"/>
      <c r="BL27" s="310"/>
      <c r="BM27" s="310"/>
      <c r="BN27" s="311" t="str">
        <f t="shared" si="1"/>
        <v/>
      </c>
      <c r="BO27" s="311"/>
      <c r="BP27" s="311"/>
      <c r="BQ27" s="311"/>
      <c r="BR27" s="311"/>
      <c r="BS27" s="332" t="str">
        <f t="shared" si="2"/>
        <v/>
      </c>
      <c r="BT27" s="332"/>
      <c r="BU27" s="332"/>
      <c r="BV27" s="332"/>
      <c r="BW27" s="332"/>
      <c r="BX27" s="311" t="str">
        <f t="shared" si="3"/>
        <v/>
      </c>
      <c r="BY27" s="311"/>
      <c r="BZ27" s="311"/>
      <c r="CA27" s="311"/>
      <c r="CB27" s="311"/>
      <c r="CC27" s="311" t="str">
        <f t="shared" si="4"/>
        <v/>
      </c>
      <c r="CD27" s="311"/>
      <c r="CE27" s="311"/>
      <c r="CF27" s="311"/>
      <c r="CG27" s="311"/>
      <c r="CP27" s="87">
        <f t="shared" si="5"/>
        <v>0</v>
      </c>
      <c r="CR27" s="28" t="e">
        <f t="shared" si="6"/>
        <v>#VALUE!</v>
      </c>
      <c r="CS27" s="29" t="str">
        <f t="shared" si="7"/>
        <v/>
      </c>
      <c r="CU27" s="28">
        <f t="shared" si="8"/>
        <v>32</v>
      </c>
      <c r="CV27" s="31">
        <f t="shared" si="9"/>
        <v>32</v>
      </c>
      <c r="CW27" s="32">
        <f t="shared" si="24"/>
        <v>32</v>
      </c>
      <c r="CX27" s="32">
        <f t="shared" si="17"/>
        <v>32</v>
      </c>
      <c r="CY27" s="26"/>
      <c r="CZ27" s="28">
        <f t="shared" si="10"/>
        <v>0</v>
      </c>
      <c r="DA27" s="28">
        <f t="shared" si="11"/>
        <v>0</v>
      </c>
      <c r="DB27" s="34">
        <f t="shared" si="25"/>
        <v>0</v>
      </c>
      <c r="DC27" s="32">
        <f t="shared" si="18"/>
        <v>0</v>
      </c>
      <c r="DD27" s="35"/>
      <c r="DE27" s="28" t="e">
        <f t="shared" si="12"/>
        <v>#DIV/0!</v>
      </c>
      <c r="DF27" s="31" t="e">
        <f t="shared" si="13"/>
        <v>#DIV/0!</v>
      </c>
      <c r="DG27" s="32" t="e">
        <f t="shared" si="26"/>
        <v>#DIV/0!</v>
      </c>
      <c r="DH27" s="32" t="e">
        <f t="shared" si="19"/>
        <v>#DIV/0!</v>
      </c>
      <c r="DI27" s="32" t="e">
        <f t="shared" si="20"/>
        <v>#DIV/0!</v>
      </c>
      <c r="DK27" s="38" t="e">
        <f t="shared" si="14"/>
        <v>#DIV/0!</v>
      </c>
      <c r="DL27" s="41" t="e">
        <f t="shared" si="27"/>
        <v>#DIV/0!</v>
      </c>
      <c r="DM27" s="38" t="e">
        <f t="shared" si="28"/>
        <v>#DIV/0!</v>
      </c>
      <c r="DN27" s="32" t="e">
        <f t="shared" si="21"/>
        <v>#DIV/0!</v>
      </c>
      <c r="DO27" s="32" t="e">
        <f t="shared" si="29"/>
        <v>#DIV/0!</v>
      </c>
      <c r="DQ27" s="38">
        <f t="shared" si="15"/>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6"/>
        <v/>
      </c>
      <c r="BE28" s="311"/>
      <c r="BF28" s="311"/>
      <c r="BG28" s="311"/>
      <c r="BH28" s="311"/>
      <c r="BI28" s="310" t="str">
        <f t="shared" si="0"/>
        <v/>
      </c>
      <c r="BJ28" s="310"/>
      <c r="BK28" s="310"/>
      <c r="BL28" s="310"/>
      <c r="BM28" s="310"/>
      <c r="BN28" s="311" t="str">
        <f t="shared" si="1"/>
        <v/>
      </c>
      <c r="BO28" s="311"/>
      <c r="BP28" s="311"/>
      <c r="BQ28" s="311"/>
      <c r="BR28" s="311"/>
      <c r="BS28" s="332" t="str">
        <f t="shared" si="2"/>
        <v/>
      </c>
      <c r="BT28" s="332"/>
      <c r="BU28" s="332"/>
      <c r="BV28" s="332"/>
      <c r="BW28" s="332"/>
      <c r="BX28" s="311" t="str">
        <f t="shared" si="3"/>
        <v/>
      </c>
      <c r="BY28" s="311"/>
      <c r="BZ28" s="311"/>
      <c r="CA28" s="311"/>
      <c r="CB28" s="311"/>
      <c r="CC28" s="311" t="str">
        <f t="shared" si="4"/>
        <v/>
      </c>
      <c r="CD28" s="311"/>
      <c r="CE28" s="311"/>
      <c r="CF28" s="311"/>
      <c r="CG28" s="311"/>
      <c r="CN28" s="1" t="s">
        <v>216</v>
      </c>
      <c r="CP28" s="87">
        <f t="shared" si="5"/>
        <v>0</v>
      </c>
      <c r="CR28" s="28" t="e">
        <f t="shared" si="6"/>
        <v>#VALUE!</v>
      </c>
      <c r="CS28" s="29" t="str">
        <f t="shared" si="7"/>
        <v/>
      </c>
      <c r="CU28" s="28">
        <f t="shared" si="8"/>
        <v>32</v>
      </c>
      <c r="CV28" s="31">
        <f t="shared" si="9"/>
        <v>32</v>
      </c>
      <c r="CW28" s="32">
        <f t="shared" si="24"/>
        <v>32</v>
      </c>
      <c r="CX28" s="32">
        <f t="shared" si="17"/>
        <v>32</v>
      </c>
      <c r="CY28" s="26"/>
      <c r="CZ28" s="28">
        <f t="shared" si="10"/>
        <v>0</v>
      </c>
      <c r="DA28" s="28">
        <f t="shared" si="11"/>
        <v>0</v>
      </c>
      <c r="DB28" s="34">
        <f t="shared" si="25"/>
        <v>0</v>
      </c>
      <c r="DC28" s="32">
        <f t="shared" si="18"/>
        <v>0</v>
      </c>
      <c r="DD28" s="35"/>
      <c r="DE28" s="28" t="e">
        <f t="shared" si="12"/>
        <v>#DIV/0!</v>
      </c>
      <c r="DF28" s="31" t="e">
        <f t="shared" si="13"/>
        <v>#DIV/0!</v>
      </c>
      <c r="DG28" s="32" t="e">
        <f t="shared" si="26"/>
        <v>#DIV/0!</v>
      </c>
      <c r="DH28" s="32" t="e">
        <f t="shared" si="19"/>
        <v>#DIV/0!</v>
      </c>
      <c r="DI28" s="32" t="e">
        <f t="shared" si="20"/>
        <v>#DIV/0!</v>
      </c>
      <c r="DK28" s="38" t="e">
        <f t="shared" si="14"/>
        <v>#DIV/0!</v>
      </c>
      <c r="DL28" s="41" t="e">
        <f t="shared" si="27"/>
        <v>#DIV/0!</v>
      </c>
      <c r="DM28" s="38" t="e">
        <f t="shared" si="28"/>
        <v>#DIV/0!</v>
      </c>
      <c r="DN28" s="32" t="e">
        <f t="shared" si="21"/>
        <v>#DIV/0!</v>
      </c>
      <c r="DO28" s="32" t="e">
        <f t="shared" si="29"/>
        <v>#DIV/0!</v>
      </c>
      <c r="DQ28" s="38">
        <f t="shared" si="15"/>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6"/>
        <v/>
      </c>
      <c r="BE29" s="311"/>
      <c r="BF29" s="311"/>
      <c r="BG29" s="311"/>
      <c r="BH29" s="311"/>
      <c r="BI29" s="310" t="str">
        <f t="shared" si="0"/>
        <v/>
      </c>
      <c r="BJ29" s="310"/>
      <c r="BK29" s="310"/>
      <c r="BL29" s="310"/>
      <c r="BM29" s="310"/>
      <c r="BN29" s="311" t="str">
        <f t="shared" si="1"/>
        <v/>
      </c>
      <c r="BO29" s="311"/>
      <c r="BP29" s="311"/>
      <c r="BQ29" s="311"/>
      <c r="BR29" s="311"/>
      <c r="BS29" s="332" t="str">
        <f t="shared" si="2"/>
        <v/>
      </c>
      <c r="BT29" s="332"/>
      <c r="BU29" s="332"/>
      <c r="BV29" s="332"/>
      <c r="BW29" s="332"/>
      <c r="BX29" s="311" t="str">
        <f t="shared" si="3"/>
        <v/>
      </c>
      <c r="BY29" s="311"/>
      <c r="BZ29" s="311"/>
      <c r="CA29" s="311"/>
      <c r="CB29" s="311"/>
      <c r="CC29" s="311" t="str">
        <f t="shared" si="4"/>
        <v/>
      </c>
      <c r="CD29" s="311"/>
      <c r="CE29" s="311"/>
      <c r="CF29" s="311"/>
      <c r="CG29" s="311"/>
      <c r="CI29" s="323" t="s">
        <v>166</v>
      </c>
      <c r="CJ29" s="324"/>
      <c r="CK29" s="324"/>
      <c r="CL29" s="325"/>
      <c r="CN29" s="107" t="s">
        <v>198</v>
      </c>
      <c r="CP29" s="2">
        <f t="shared" si="5"/>
        <v>0</v>
      </c>
      <c r="CR29" s="45" t="e">
        <f t="shared" si="6"/>
        <v>#VALUE!</v>
      </c>
      <c r="CS29" s="46" t="str">
        <f t="shared" si="7"/>
        <v/>
      </c>
      <c r="CU29" s="45">
        <f t="shared" si="8"/>
        <v>32</v>
      </c>
      <c r="CV29" s="47">
        <f t="shared" si="9"/>
        <v>32</v>
      </c>
      <c r="CW29" s="48">
        <f>ROUND(CU29,1)</f>
        <v>32</v>
      </c>
      <c r="CX29" s="48">
        <f t="shared" si="17"/>
        <v>32</v>
      </c>
      <c r="CZ29" s="45">
        <f t="shared" si="10"/>
        <v>0</v>
      </c>
      <c r="DA29" s="45">
        <f t="shared" si="11"/>
        <v>0</v>
      </c>
      <c r="DB29" s="49">
        <f>ROUND(CZ29,1)</f>
        <v>0</v>
      </c>
      <c r="DC29" s="48">
        <f t="shared" si="18"/>
        <v>0</v>
      </c>
      <c r="DD29" s="35"/>
      <c r="DE29" s="45" t="e">
        <f t="shared" si="12"/>
        <v>#DIV/0!</v>
      </c>
      <c r="DF29" s="47" t="e">
        <f t="shared" si="13"/>
        <v>#DIV/0!</v>
      </c>
      <c r="DG29" s="48" t="e">
        <f>ROUND(DE29,1)</f>
        <v>#DIV/0!</v>
      </c>
      <c r="DH29" s="48" t="e">
        <f t="shared" si="19"/>
        <v>#DIV/0!</v>
      </c>
      <c r="DI29" s="48" t="e">
        <f t="shared" si="20"/>
        <v>#DIV/0!</v>
      </c>
      <c r="DK29" s="50" t="e">
        <f t="shared" si="14"/>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5"/>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t="str">
        <f>IF(COUNT(AJ18:AN29)=0,"",ROUND(SUM(AJ18:AN29),3))</f>
        <v/>
      </c>
      <c r="AK30" s="321"/>
      <c r="AL30" s="321"/>
      <c r="AM30" s="321"/>
      <c r="AN30" s="322"/>
      <c r="AO30" s="341" t="s">
        <v>214</v>
      </c>
      <c r="AP30" s="341"/>
      <c r="AQ30" s="341"/>
      <c r="AR30" s="341"/>
      <c r="AS30" s="341"/>
      <c r="AT30" s="320" t="str">
        <f>IF(COUNT(AT18:AX29)=0,"",ROUND(SUM(AT18:AX29),3))</f>
        <v/>
      </c>
      <c r="AU30" s="321"/>
      <c r="AV30" s="321"/>
      <c r="AW30" s="321"/>
      <c r="AX30" s="322"/>
      <c r="AY30" s="341" t="s">
        <v>211</v>
      </c>
      <c r="AZ30" s="341"/>
      <c r="BA30" s="341"/>
      <c r="BB30" s="341"/>
      <c r="BC30" s="341"/>
      <c r="BD30" s="320" t="str">
        <f>IF(COUNT(BD18:BH29)=0,"",ROUND(SUM(BD18:BH29),3))</f>
        <v/>
      </c>
      <c r="BE30" s="321"/>
      <c r="BF30" s="321"/>
      <c r="BG30" s="321"/>
      <c r="BH30" s="322"/>
      <c r="BI30" s="341" t="s">
        <v>210</v>
      </c>
      <c r="BJ30" s="341"/>
      <c r="BK30" s="341"/>
      <c r="BL30" s="341"/>
      <c r="BM30" s="341"/>
      <c r="BN30" s="320" t="str">
        <f>IF(COUNT(BN18:BR29)=0,"",ROUND(SUM(BN18:BR29),3))</f>
        <v/>
      </c>
      <c r="BO30" s="321"/>
      <c r="BP30" s="321"/>
      <c r="BQ30" s="321"/>
      <c r="BR30" s="322"/>
      <c r="BS30" s="341" t="s">
        <v>209</v>
      </c>
      <c r="BT30" s="341"/>
      <c r="BU30" s="341"/>
      <c r="BV30" s="341"/>
      <c r="BW30" s="341"/>
      <c r="BX30" s="320" t="str">
        <f>IF(COUNT(BX18:CB29)=0,"",ROUND(SUM(BX18:CB29),3))</f>
        <v/>
      </c>
      <c r="BY30" s="321"/>
      <c r="BZ30" s="321"/>
      <c r="CA30" s="321"/>
      <c r="CB30" s="322"/>
      <c r="CC30" s="320" t="str">
        <f>IF(COUNT(CC18:CG29)=0,"",ROUND(SUM(CC18:CG29),3))</f>
        <v/>
      </c>
      <c r="CD30" s="321"/>
      <c r="CE30" s="321"/>
      <c r="CF30" s="321"/>
      <c r="CG30" s="322"/>
      <c r="CI30" s="326"/>
      <c r="CJ30" s="327"/>
      <c r="CK30" s="327"/>
      <c r="CL30" s="328"/>
      <c r="CN30" s="2" t="s">
        <v>226</v>
      </c>
      <c r="CP30" s="91"/>
      <c r="DW30" s="91"/>
      <c r="DX30" s="91"/>
    </row>
    <row r="31" spans="1:132" ht="11.45" customHeight="1" thickBot="1" x14ac:dyDescent="0.25">
      <c r="A31" s="363"/>
      <c r="B31" s="363"/>
      <c r="C31" s="363"/>
      <c r="D31" s="363"/>
      <c r="E31" s="363"/>
      <c r="F31" s="363"/>
      <c r="G31" s="363"/>
      <c r="H31" s="363"/>
      <c r="I31" s="363"/>
      <c r="J31" s="363"/>
      <c r="K31" s="363"/>
      <c r="L31" s="363"/>
      <c r="M31" s="363"/>
      <c r="N31" s="363"/>
      <c r="O31" s="363"/>
      <c r="P31" s="363"/>
      <c r="Q31" s="363"/>
      <c r="R31" s="363"/>
      <c r="S31" s="363"/>
      <c r="T31" s="363"/>
      <c r="U31" s="363"/>
      <c r="V31" s="363"/>
      <c r="W31" s="363"/>
      <c r="X31" s="363"/>
      <c r="Y31" s="363"/>
      <c r="Z31" s="363"/>
      <c r="AA31" s="363"/>
      <c r="AB31" s="363"/>
      <c r="AC31" s="363"/>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H31" s="363"/>
      <c r="BI31" s="363"/>
      <c r="BJ31" s="363"/>
      <c r="BK31" s="363"/>
      <c r="BL31" s="363"/>
      <c r="BM31" s="363"/>
      <c r="BN31" s="363"/>
      <c r="BO31" s="363"/>
      <c r="BP31" s="363"/>
      <c r="BQ31" s="363"/>
      <c r="BR31" s="363"/>
      <c r="BS31" s="363"/>
      <c r="BT31" s="363"/>
      <c r="BU31" s="363"/>
      <c r="BV31" s="363"/>
      <c r="BW31" s="363"/>
      <c r="BX31" s="363"/>
      <c r="BY31" s="363"/>
      <c r="BZ31" s="363"/>
      <c r="CA31" s="363"/>
      <c r="CB31" s="363"/>
      <c r="CC31" s="363"/>
      <c r="CD31" s="363"/>
      <c r="CE31" s="363"/>
      <c r="CF31" s="363"/>
      <c r="CG31" s="363"/>
      <c r="CI31" s="5"/>
      <c r="CJ31" s="113">
        <v>-110</v>
      </c>
      <c r="CK31" s="114">
        <v>-108.1</v>
      </c>
      <c r="CL31" s="115">
        <v>-108</v>
      </c>
      <c r="CP31" s="91"/>
      <c r="DW31" s="91"/>
      <c r="DX31" s="91"/>
    </row>
    <row r="32" spans="1:132" ht="11.45" customHeight="1" x14ac:dyDescent="0.2">
      <c r="A32" s="427" t="s">
        <v>28</v>
      </c>
      <c r="B32" s="427"/>
      <c r="C32" s="427"/>
      <c r="D32" s="427"/>
      <c r="E32" s="427"/>
      <c r="F32" s="427"/>
      <c r="G32" s="427"/>
      <c r="H32" s="427"/>
      <c r="I32" s="427"/>
      <c r="J32" s="427"/>
      <c r="K32" s="427"/>
      <c r="L32" s="427"/>
      <c r="M32" s="427"/>
      <c r="N32" s="427"/>
      <c r="O32" s="427"/>
      <c r="P32" s="427"/>
      <c r="Q32" s="427"/>
      <c r="R32" s="427"/>
      <c r="S32" s="427"/>
      <c r="T32" s="427"/>
      <c r="U32" s="427"/>
      <c r="V32" s="427"/>
      <c r="W32" s="427"/>
      <c r="X32" s="427"/>
      <c r="Y32" s="427"/>
      <c r="Z32" s="427"/>
      <c r="AA32" s="427"/>
      <c r="AB32" s="427"/>
      <c r="AC32" s="427"/>
      <c r="AD32" s="427"/>
      <c r="AE32" s="427"/>
      <c r="AF32" s="427"/>
      <c r="AG32" s="427"/>
      <c r="AH32" s="427"/>
      <c r="AI32" s="427"/>
      <c r="AJ32" s="427"/>
      <c r="AK32" s="427"/>
      <c r="AL32" s="434" t="s">
        <v>2</v>
      </c>
      <c r="AM32" s="434"/>
      <c r="AN32" s="434"/>
      <c r="AO32" s="98" t="s">
        <v>0</v>
      </c>
      <c r="AP32" s="444"/>
      <c r="AQ32" s="444"/>
      <c r="AR32" s="444"/>
      <c r="AS32" s="444"/>
      <c r="AT32" s="444"/>
      <c r="AU32" s="444"/>
      <c r="AV32" s="444"/>
      <c r="AW32" s="444"/>
      <c r="AX32" s="434" t="s">
        <v>16</v>
      </c>
      <c r="AY32" s="434"/>
      <c r="AZ32" s="434"/>
      <c r="BA32" s="98" t="s">
        <v>0</v>
      </c>
      <c r="BB32" s="419"/>
      <c r="BC32" s="419"/>
      <c r="BD32" s="419"/>
      <c r="BE32" s="419"/>
      <c r="BF32" s="419"/>
      <c r="BG32" s="419"/>
      <c r="BH32" s="419"/>
      <c r="BI32" s="419"/>
      <c r="BJ32" s="434" t="s">
        <v>425</v>
      </c>
      <c r="BK32" s="434"/>
      <c r="BL32" s="434"/>
      <c r="BM32" s="434"/>
      <c r="BN32" s="434"/>
      <c r="BO32" s="434"/>
      <c r="BP32" s="434"/>
      <c r="BQ32" s="98" t="s">
        <v>0</v>
      </c>
      <c r="BR32" s="434"/>
      <c r="BS32" s="434"/>
      <c r="BT32" s="434"/>
      <c r="BU32" s="434"/>
      <c r="BV32" s="434"/>
      <c r="BW32" s="434"/>
      <c r="BX32" s="434"/>
      <c r="BY32" s="434"/>
      <c r="BZ32" s="434"/>
      <c r="CA32" s="434"/>
      <c r="CB32" s="434"/>
      <c r="CC32" s="434"/>
      <c r="CD32" s="434"/>
      <c r="CE32" s="434"/>
      <c r="CF32" s="434"/>
      <c r="CG32" s="434"/>
      <c r="CI32" s="116">
        <v>34</v>
      </c>
      <c r="CJ32" s="117">
        <v>-140</v>
      </c>
      <c r="CK32" s="53">
        <f>(CL32-CJ32)/(CL31-CJ31)*(CK31-CJ31)+CJ32</f>
        <v>-140</v>
      </c>
      <c r="CL32" s="118">
        <v>-140</v>
      </c>
      <c r="CP32" s="91"/>
      <c r="CR32" s="91"/>
      <c r="CS32" s="91"/>
      <c r="CY32" s="91"/>
      <c r="DW32" s="91"/>
      <c r="DX32" s="91"/>
    </row>
    <row r="33" spans="1:132" ht="11.45" customHeight="1" x14ac:dyDescent="0.2">
      <c r="A33" s="436"/>
      <c r="B33" s="436"/>
      <c r="C33" s="436"/>
      <c r="D33" s="436"/>
      <c r="E33" s="436"/>
      <c r="F33" s="436"/>
      <c r="G33" s="436" t="s">
        <v>196</v>
      </c>
      <c r="H33" s="436"/>
      <c r="I33" s="436"/>
      <c r="J33" s="436"/>
      <c r="K33" s="436"/>
      <c r="L33" s="436"/>
      <c r="M33" s="4" t="s">
        <v>0</v>
      </c>
      <c r="N33" s="421"/>
      <c r="O33" s="421"/>
      <c r="P33" s="421"/>
      <c r="Q33" s="421"/>
      <c r="R33" s="421"/>
      <c r="S33" s="421"/>
      <c r="T33" s="421" t="s">
        <v>192</v>
      </c>
      <c r="U33" s="421"/>
      <c r="V33" s="421"/>
      <c r="W33" s="421"/>
      <c r="X33" s="437"/>
      <c r="Y33" s="437"/>
      <c r="Z33" s="437"/>
      <c r="AA33" s="437"/>
      <c r="AB33" s="437"/>
      <c r="AC33" s="437"/>
      <c r="AD33" s="433" t="s">
        <v>427</v>
      </c>
      <c r="AE33" s="433"/>
      <c r="AF33" s="433"/>
      <c r="AG33" s="4" t="s">
        <v>0</v>
      </c>
      <c r="AH33" s="421" t="str">
        <f>IF(OR(N33="",N34=""),"",(N34-N33))</f>
        <v/>
      </c>
      <c r="AI33" s="421"/>
      <c r="AJ33" s="421"/>
      <c r="AK33" s="421"/>
      <c r="AL33" s="421"/>
      <c r="AM33" s="420" t="str">
        <f>T33</f>
        <v xml:space="preserve"> M</v>
      </c>
      <c r="AN33" s="420"/>
      <c r="AO33" s="420"/>
      <c r="AP33" s="420"/>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89" t="s">
        <v>0</v>
      </c>
      <c r="BN33" s="436"/>
      <c r="BO33" s="436"/>
      <c r="BP33" s="436"/>
      <c r="BQ33" s="436"/>
      <c r="BR33" s="436"/>
      <c r="BS33" s="436"/>
      <c r="BT33" s="436"/>
      <c r="BU33" s="436"/>
      <c r="BV33" s="436"/>
      <c r="BW33" s="436"/>
      <c r="BX33" s="436"/>
      <c r="BY33" s="436"/>
      <c r="BZ33" s="436"/>
      <c r="CA33" s="436"/>
      <c r="CB33" s="436"/>
      <c r="CC33" s="436"/>
      <c r="CD33" s="436"/>
      <c r="CE33" s="436"/>
      <c r="CF33" s="436"/>
      <c r="CG33" s="436"/>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422"/>
      <c r="B34" s="422"/>
      <c r="C34" s="422"/>
      <c r="D34" s="422"/>
      <c r="E34" s="422"/>
      <c r="F34" s="422"/>
      <c r="G34" s="422" t="s">
        <v>426</v>
      </c>
      <c r="H34" s="422"/>
      <c r="I34" s="422"/>
      <c r="J34" s="422"/>
      <c r="K34" s="422"/>
      <c r="L34" s="422"/>
      <c r="M34" s="4" t="s">
        <v>0</v>
      </c>
      <c r="N34" s="431"/>
      <c r="O34" s="431"/>
      <c r="P34" s="431"/>
      <c r="Q34" s="431"/>
      <c r="R34" s="431"/>
      <c r="S34" s="431"/>
      <c r="T34" s="432" t="str">
        <f>T33</f>
        <v xml:space="preserve"> M</v>
      </c>
      <c r="U34" s="432"/>
      <c r="V34" s="432"/>
      <c r="W34" s="432"/>
      <c r="X34" s="438"/>
      <c r="Y34" s="438"/>
      <c r="Z34" s="438"/>
      <c r="AA34" s="438"/>
      <c r="AB34" s="438"/>
      <c r="AC34" s="438"/>
      <c r="AD34" s="439" t="s">
        <v>428</v>
      </c>
      <c r="AE34" s="439"/>
      <c r="AF34" s="439"/>
      <c r="AG34" s="4" t="s">
        <v>0</v>
      </c>
      <c r="AH34" s="422"/>
      <c r="AI34" s="422"/>
      <c r="AJ34" s="422"/>
      <c r="AK34" s="422"/>
      <c r="AL34" s="422"/>
      <c r="AM34" s="422"/>
      <c r="AN34" s="422"/>
      <c r="AO34" s="422"/>
      <c r="AP34" s="42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89" t="s">
        <v>0</v>
      </c>
      <c r="BN34" s="422"/>
      <c r="BO34" s="422"/>
      <c r="BP34" s="422"/>
      <c r="BQ34" s="422"/>
      <c r="BR34" s="422"/>
      <c r="BS34" s="422"/>
      <c r="BT34" s="422"/>
      <c r="BU34" s="422"/>
      <c r="BV34" s="422"/>
      <c r="BW34" s="422"/>
      <c r="BX34" s="422"/>
      <c r="BY34" s="422"/>
      <c r="BZ34" s="422"/>
      <c r="CA34" s="422"/>
      <c r="CB34" s="422"/>
      <c r="CC34" s="422"/>
      <c r="CD34" s="422"/>
      <c r="CE34" s="422"/>
      <c r="CF34" s="422"/>
      <c r="CG34" s="42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 t="shared" ref="P35:P40" si="38">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 t="shared" si="38"/>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9">IF(A18="","",A18)</f>
        <v/>
      </c>
      <c r="B37" s="346"/>
      <c r="C37" s="346"/>
      <c r="D37" s="346"/>
      <c r="E37" s="346"/>
      <c r="F37" s="346"/>
      <c r="G37" s="346"/>
      <c r="H37" s="346"/>
      <c r="I37" s="318" t="str">
        <f t="shared" ref="I37:I48" si="40">IF(I18="","",I18)</f>
        <v/>
      </c>
      <c r="J37" s="318"/>
      <c r="K37" s="318"/>
      <c r="L37" s="318"/>
      <c r="M37" s="318"/>
      <c r="N37" s="318"/>
      <c r="O37" s="318"/>
      <c r="P37" s="443" t="str">
        <f t="shared" si="38"/>
        <v/>
      </c>
      <c r="Q37" s="443"/>
      <c r="R37" s="443"/>
      <c r="S37" s="443"/>
      <c r="T37" s="443"/>
      <c r="U37" s="308" t="str">
        <f t="shared" ref="U37:U48" si="41">IF(U18="","",U18)</f>
        <v/>
      </c>
      <c r="V37" s="308"/>
      <c r="W37" s="308"/>
      <c r="X37" s="308"/>
      <c r="Y37" s="308"/>
      <c r="Z37" s="308"/>
      <c r="AA37" s="308"/>
      <c r="AB37" s="308"/>
      <c r="AC37" s="309"/>
      <c r="AD37" s="308"/>
      <c r="AE37" s="308"/>
      <c r="AF37" s="308"/>
      <c r="AG37" s="308"/>
      <c r="AH37" s="308"/>
      <c r="AI37" s="308"/>
      <c r="AJ37" s="441"/>
      <c r="AK37" s="441"/>
      <c r="AL37" s="441"/>
      <c r="AM37" s="441"/>
      <c r="AN37" s="441"/>
      <c r="AO37" s="441"/>
      <c r="AP37" s="441"/>
      <c r="AQ37" s="441"/>
      <c r="AR37" s="441"/>
      <c r="AS37" s="441"/>
      <c r="AT37" s="441"/>
      <c r="AU37" s="441"/>
      <c r="AV37" s="441"/>
      <c r="AW37" s="441"/>
      <c r="AX37" s="441"/>
      <c r="AY37" s="442"/>
      <c r="AZ37" s="442"/>
      <c r="BA37" s="442"/>
      <c r="BB37" s="442"/>
      <c r="BC37" s="442"/>
      <c r="BD37" s="311" t="str">
        <f>IF(OR(AJ37="",AT37=""),"",AJ37-AT37)</f>
        <v/>
      </c>
      <c r="BE37" s="311"/>
      <c r="BF37" s="311"/>
      <c r="BG37" s="311"/>
      <c r="BH37" s="311"/>
      <c r="BI37" s="310" t="str">
        <f t="shared" ref="BI37:BI48" si="42">IF(OR(AY37="",P37=""),"",IF($CN$53=1,DW37,IF($CN$53=2,DY37,IF($CN$53=3,EA37,IF($CN$53=4,DX37,IF($CN$53=5,DZ37,IF($CN$53=6,EB37)))))))</f>
        <v/>
      </c>
      <c r="BJ37" s="310"/>
      <c r="BK37" s="310"/>
      <c r="BL37" s="310"/>
      <c r="BM37" s="310"/>
      <c r="BN37" s="311" t="str">
        <f t="shared" ref="BN37:BN48" si="43">IF(OR(BD37="",BI37=""),"",BD37*BI37)</f>
        <v/>
      </c>
      <c r="BO37" s="311"/>
      <c r="BP37" s="311"/>
      <c r="BQ37" s="311"/>
      <c r="BR37" s="311"/>
      <c r="BS37" s="332" t="str">
        <f t="shared" ref="BS37:BS48" si="44">IF(OR(BD37="",P37="",BI37=""),"",ROUND((DS37-0.0011),4))</f>
        <v/>
      </c>
      <c r="BT37" s="332"/>
      <c r="BU37" s="332"/>
      <c r="BV37" s="332"/>
      <c r="BW37" s="332"/>
      <c r="BX37" s="311" t="str">
        <f t="shared" ref="BX37:BX48" si="45">IF(OR(BD37="",P37="",BI37=""),"",IF($AJ$17=$CN$34,ROUND(BN37*BS37,3),ROUND(CS37*BI37*BS37,3)))</f>
        <v/>
      </c>
      <c r="BY37" s="311"/>
      <c r="BZ37" s="311"/>
      <c r="CA37" s="311"/>
      <c r="CB37" s="311"/>
      <c r="CC37" s="311" t="str">
        <f t="shared" ref="CC37:CC48" si="46">IF(OR(BD37="",P37="",BI37=""),"",IF($AJ$17=$CN$34,ROUND(BN37*DQ37,3),ROUND(CS37*BI37*DQ37,3)))</f>
        <v/>
      </c>
      <c r="CD37" s="311"/>
      <c r="CE37" s="311"/>
      <c r="CF37" s="311"/>
      <c r="CG37" s="311"/>
      <c r="CH37" s="55"/>
      <c r="CP37" s="107">
        <f t="shared" ref="CP37:CP48" si="47">IF(OR(AY37="",BD37=""),0,AY37*BD37)</f>
        <v>0</v>
      </c>
      <c r="CR37" s="28" t="e">
        <f t="shared" ref="CR37:CR48" si="48">IF($BD$17=$CN$35,BD37,(BD37*6.28981))</f>
        <v>#VALUE!</v>
      </c>
      <c r="CS37" s="29" t="str">
        <f t="shared" ref="CS37:CS48" si="49">IF($BD$17=$CN$34,BD37,(BD37/6.28981))</f>
        <v/>
      </c>
      <c r="CU37" s="30">
        <f t="shared" ref="CU37:CU48" si="50">IF($AY$17=$CN$40,AY37,(AY37*1.8+32))</f>
        <v>32</v>
      </c>
      <c r="CV37" s="31">
        <f t="shared" ref="CV37:CV48" si="51">ROUND(CU37*2,0)/2</f>
        <v>32</v>
      </c>
      <c r="CW37" s="32">
        <f>ROUND(CU37,1)</f>
        <v>32</v>
      </c>
      <c r="CX37" s="33">
        <f>(1.8*((((CW37-32)/1.8)-((-0.148759+((-0.267408+((1.08076+((1.269056+((-4.089591+((-1.871251+((7.438081+(-3.536296*(((CW37-32)/1.8)/630)))*(((CW37-32)/1.8)/630)))*(((CW37-32)/1.8)/630)))*(((CW37-32)/1.8)/630)))*(((CW37-32)/1.8)/630)))*(((CW37-32)/1.8)/630)))*(((CW37-32)/1.8)/630)))*(((CW37-32)/1.8)/630)))))+32</f>
        <v>32</v>
      </c>
      <c r="CY37" s="26"/>
      <c r="CZ37" s="30">
        <f t="shared" ref="CZ37:CZ48" si="52">IF($AY$17=$CN$39,AY37,(AY37-32)/1.8)</f>
        <v>0</v>
      </c>
      <c r="DA37" s="28">
        <f t="shared" ref="DA37:DA48" si="53">ROUND(CZ37*4,0)/4</f>
        <v>0</v>
      </c>
      <c r="DB37" s="34">
        <f>ROUND(CZ37,1)</f>
        <v>0</v>
      </c>
      <c r="DC37" s="33">
        <f>DB37-((-0.148759+((-0.267408+((1.08076+((1.269056+((-4.089591+((-1.871251+((7.438081+(-3.536296*(DB37/630)))*(DB37/630)))*(DB37/630)))*(DB37/630)))*(DB37/630)))*(DB37/630)))*(DB37/630)))*(DB37/630))</f>
        <v>0</v>
      </c>
      <c r="DD37" s="35"/>
      <c r="DE37" s="30" t="e">
        <f t="shared" ref="DE37:DE48" si="54">IF($P$16=$CN$18,P37,(141.5/DK37)-131.5)</f>
        <v>#VALUE!</v>
      </c>
      <c r="DF37" s="31" t="e">
        <f t="shared" ref="DF37:DF48" si="55">ROUND(DE37*2,0)/2</f>
        <v>#VALUE!</v>
      </c>
      <c r="DG37" s="32" t="e">
        <f>ROUND(DE37,1)</f>
        <v>#VALUE!</v>
      </c>
      <c r="DH37" s="33" t="e">
        <f>(141.5/(DG37+131.5))*999.016</f>
        <v>#VALUE!</v>
      </c>
      <c r="DI37" s="33" t="e">
        <f>DH37*(1+((EXP(((0.01374979547/2)*(((103.872/DH37)+0.2701)*(1/DH37)))*(1+(0.8*((0.01374979547/2)*(((103.872/DH37)+0.2701)*(1/DH37))))))-1)/(1+(((0.01374979547/2)*(((103.872/DH37)+0.2701)*(1/DH37)))*(1+(1.6*((0.01374979547/2)*(((103.872/DH37)+0.2701)*(1/DH37)))))*(((2*103.872)+(0.2701+DH37))/(103.872+(0.2701*DH37)))))))</f>
        <v>#VALUE!</v>
      </c>
      <c r="DK37" s="36" t="e">
        <f t="shared" ref="DK37:DK48" si="56">IF($P$16=$CN$19,P37,IF($P$16=$CN$18,141.5/(P37+131.5),DQ37*ROUND(EXP(-(186.9696/(((TRUNC(5*(DQ37*100)+0.5)/5)*0.01)*1000)^2+0.4862/(((TRUNC(5*(DQ37*100)+0.5)/5)*0.01)*1000))*(0.56)*(1+0.8*(186.9696/(((TRUNC(5*(DQ37*100)+0.5)/5)*0.01)*1000)^2+0.4862/(((TRUNC(5*(DQ37*100)+0.5)/5)*0.01)*1000))*0.56)),4)/0.999012))</f>
        <v>#VALUE!</v>
      </c>
      <c r="DL37" s="37" t="e">
        <f>ROUND(DK37*5,2)/5</f>
        <v>#VALUE!</v>
      </c>
      <c r="DM37" s="38" t="e">
        <f>ROUND(DK37,4)</f>
        <v>#VALUE!</v>
      </c>
      <c r="DN37" s="33" t="e">
        <f>DM37*999.016</f>
        <v>#VALUE!</v>
      </c>
      <c r="DO37" s="33" t="e">
        <f>DN37*(1+((EXP(((0.01374979547/2)*(((103.872/DN37)+0.2701)*(1/DN37)))*(1+(0.8*((0.01374979547/2)*(((103.872/DN37)+0.2701)*(1/DN37))))))-1)/(1+(((0.01374979547/2)*(((103.872/DN37)+0.2701)*(1/DN37)))*(1+(1.6*((0.01374979547/2)*(((103.872/DN37)+0.2701)*(1/DN37)))))*(((2*103.872)+(0.2701+DN37))/(103.872+(0.2701*DN37)))))))</f>
        <v>#VALUE!</v>
      </c>
      <c r="DQ37" s="36" t="str">
        <f t="shared" ref="DQ37:DQ48" si="57">IF($P$16=$CN$20,P37,DK37*0.999012*ROUND(EXP(-((103.872/((((TRUNC(5*(DK37*100)+0.5)/5)*0.01)*999.012)^2))+(0.2701/(((TRUNC(5*(DK37*100)+0.5)/5)*0.01)*999.012)))*(-1)*(1+(0.8*((103.872/((((TRUNC(5*(DK37*100)+0.5)/5)*0.01)*999.012)^2))+(0.2701/(((TRUNC(5*(DK37*100)+0.5)/5)*0.01)*999.012)))*(-1)))),4))</f>
        <v/>
      </c>
      <c r="DR37" s="39" t="e">
        <f>ROUND(DQ37*5,2)/5</f>
        <v>#VALUE!</v>
      </c>
      <c r="DS37" s="38" t="e">
        <f>ROUND(DQ37,4)</f>
        <v>#VALUE!</v>
      </c>
      <c r="DT37" s="33" t="e">
        <f>DS37*1000</f>
        <v>#VALUE!</v>
      </c>
      <c r="DU37" s="33" t="e">
        <f>DT37*(1+((EXP(((0.01374979547/2)*(((186.9696/DT37)+0.4862)*(1/DT37)))*(1+(0.8*((0.01374979547/2)*(((186.9696/DT37)+0.4862)*(1/DT37))))))-1)/(1+(((0.01374979547/2)*(((186.9696/DT37)+0.4862)*(1/DT37)))*(1+(1.6*((0.01374979547/2)*(((186.9696/DT37)+0.4862)*(1/DT37)))))*(((2*186.9696)+(0.4862+DT37))/(186.9696+(0.4862*DT37)))))))</f>
        <v>#VALUE!</v>
      </c>
      <c r="DW37" s="38" t="e">
        <f>ROUND(EXP(-((103.872/(((141.5/(DF37+131.5))*999.012)^2))+(0.2701/((141.5/(DF37+131.5))*999.012)))*(CV37-60)*(1+(0.8*((103.872/(((141.5/(DF37+131.5))*999.012)^2))+(0.2701/((141.5/(DF37+131.5))*999.012)))*(CV37-60)))),4)</f>
        <v>#VALUE!</v>
      </c>
      <c r="DX37" s="40" t="e">
        <f>ROUND(EXP(-(((103.872/DI37)+0.2701)*(1/DI37))*(CX37-60.0068749)*(1+(0.8*(((103.872/DI37)+0.2701)*(1/DI37))*((CX37-60.0068749)+0.01374979547)))),5)</f>
        <v>#VALUE!</v>
      </c>
      <c r="DY37" s="36" t="e">
        <f>ROUND(EXP(-((103.872/((DL37*999.012)^2))+(0.2701/(DL37*999.012)))*(CV37-60)*(1+(0.8*((103.872/((DL37*999.012)^2))+(0.2701/(DL37*999.012)))*(CV37-60)))),4)</f>
        <v>#VALUE!</v>
      </c>
      <c r="DZ37" s="40" t="e">
        <f>ROUND(EXP(-(((103.872/DO37)+0.2701)*(1/DO37))*(CX37-60.0068749)*(1+(0.8*(((103.872/DO37)+0.2701)*(1/DO37))*((CX37-60.0068749)+0.01374979547)))),5)</f>
        <v>#VALUE!</v>
      </c>
      <c r="EA37" s="36" t="e">
        <f>ROUND(EXP(-((186.9696/((DR37*1000)^2))+(0.4862/(DR37*1000)))*(DA37-15)*(1+(0.8*((186.9696/((DR37*1000)^2))+(0.4862/(DR37*1000)))*(DA37-15)))),4)</f>
        <v>#VALUE!</v>
      </c>
      <c r="EB37" s="40" t="e">
        <f>ROUND(EXP(-((((186.9696/DU37)+0.4862)*(1/DU37)))*(DC37-15.00367851)*(1+(0.8*((((186.9696/DU37)+0.4862)*(1/DU37)))*((DC37-15.00367851)+0.01374979547)))),5)</f>
        <v>#VALUE!</v>
      </c>
    </row>
    <row r="38" spans="1:132" ht="11.45" customHeight="1" x14ac:dyDescent="0.2">
      <c r="A38" s="346" t="str">
        <f t="shared" si="39"/>
        <v/>
      </c>
      <c r="B38" s="346"/>
      <c r="C38" s="346"/>
      <c r="D38" s="346"/>
      <c r="E38" s="346"/>
      <c r="F38" s="346"/>
      <c r="G38" s="346"/>
      <c r="H38" s="346"/>
      <c r="I38" s="318" t="str">
        <f t="shared" si="40"/>
        <v/>
      </c>
      <c r="J38" s="318"/>
      <c r="K38" s="318"/>
      <c r="L38" s="318"/>
      <c r="M38" s="318"/>
      <c r="N38" s="318"/>
      <c r="O38" s="318"/>
      <c r="P38" s="443" t="str">
        <f t="shared" si="38"/>
        <v/>
      </c>
      <c r="Q38" s="443"/>
      <c r="R38" s="443"/>
      <c r="S38" s="443"/>
      <c r="T38" s="443"/>
      <c r="U38" s="308" t="str">
        <f t="shared" si="41"/>
        <v/>
      </c>
      <c r="V38" s="308"/>
      <c r="W38" s="308"/>
      <c r="X38" s="308"/>
      <c r="Y38" s="308"/>
      <c r="Z38" s="308"/>
      <c r="AA38" s="308"/>
      <c r="AB38" s="308"/>
      <c r="AC38" s="309"/>
      <c r="AD38" s="308"/>
      <c r="AE38" s="308"/>
      <c r="AF38" s="308"/>
      <c r="AG38" s="308"/>
      <c r="AH38" s="308"/>
      <c r="AI38" s="308"/>
      <c r="AJ38" s="441"/>
      <c r="AK38" s="441"/>
      <c r="AL38" s="441"/>
      <c r="AM38" s="441"/>
      <c r="AN38" s="441"/>
      <c r="AO38" s="441"/>
      <c r="AP38" s="441"/>
      <c r="AQ38" s="441"/>
      <c r="AR38" s="441"/>
      <c r="AS38" s="441"/>
      <c r="AT38" s="441"/>
      <c r="AU38" s="441"/>
      <c r="AV38" s="441"/>
      <c r="AW38" s="441"/>
      <c r="AX38" s="441"/>
      <c r="AY38" s="442"/>
      <c r="AZ38" s="442"/>
      <c r="BA38" s="442"/>
      <c r="BB38" s="442"/>
      <c r="BC38" s="442"/>
      <c r="BD38" s="311" t="str">
        <f t="shared" ref="BD38:BD48" si="58">IF(OR(AJ38="",AT38=""),"",AJ38-AT38)</f>
        <v/>
      </c>
      <c r="BE38" s="311"/>
      <c r="BF38" s="311"/>
      <c r="BG38" s="311"/>
      <c r="BH38" s="311"/>
      <c r="BI38" s="310" t="str">
        <f t="shared" si="42"/>
        <v/>
      </c>
      <c r="BJ38" s="310"/>
      <c r="BK38" s="310"/>
      <c r="BL38" s="310"/>
      <c r="BM38" s="310"/>
      <c r="BN38" s="311" t="str">
        <f t="shared" si="43"/>
        <v/>
      </c>
      <c r="BO38" s="311"/>
      <c r="BP38" s="311"/>
      <c r="BQ38" s="311"/>
      <c r="BR38" s="311"/>
      <c r="BS38" s="332" t="str">
        <f t="shared" si="44"/>
        <v/>
      </c>
      <c r="BT38" s="332"/>
      <c r="BU38" s="332"/>
      <c r="BV38" s="332"/>
      <c r="BW38" s="332"/>
      <c r="BX38" s="311" t="str">
        <f t="shared" si="45"/>
        <v/>
      </c>
      <c r="BY38" s="311"/>
      <c r="BZ38" s="311"/>
      <c r="CA38" s="311"/>
      <c r="CB38" s="311"/>
      <c r="CC38" s="311" t="str">
        <f t="shared" si="46"/>
        <v/>
      </c>
      <c r="CD38" s="311"/>
      <c r="CE38" s="311"/>
      <c r="CF38" s="311"/>
      <c r="CG38" s="311"/>
      <c r="CH38" s="55"/>
      <c r="CN38" s="1" t="s">
        <v>220</v>
      </c>
      <c r="CP38" s="87">
        <f t="shared" si="47"/>
        <v>0</v>
      </c>
      <c r="CR38" s="28" t="e">
        <f t="shared" si="48"/>
        <v>#VALUE!</v>
      </c>
      <c r="CS38" s="29" t="str">
        <f t="shared" si="49"/>
        <v/>
      </c>
      <c r="CU38" s="28">
        <f t="shared" si="50"/>
        <v>32</v>
      </c>
      <c r="CV38" s="31">
        <f t="shared" si="51"/>
        <v>32</v>
      </c>
      <c r="CW38" s="32">
        <f>ROUND(CU38,1)</f>
        <v>32</v>
      </c>
      <c r="CX38" s="32">
        <f t="shared" ref="CX38:CX48" si="59">(1.8*((((CW38-32)/1.8)-((-0.148759+((-0.267408+((1.08076+((1.269056+((-4.089591+((-1.871251+((7.438081+(-3.536296*(((CW38-32)/1.8)/630)))*(((CW38-32)/1.8)/630)))*(((CW38-32)/1.8)/630)))*(((CW38-32)/1.8)/630)))*(((CW38-32)/1.8)/630)))*(((CW38-32)/1.8)/630)))*(((CW38-32)/1.8)/630)))*(((CW38-32)/1.8)/630)))))+32</f>
        <v>32</v>
      </c>
      <c r="CY38" s="26"/>
      <c r="CZ38" s="28">
        <f t="shared" si="52"/>
        <v>0</v>
      </c>
      <c r="DA38" s="28">
        <f t="shared" si="53"/>
        <v>0</v>
      </c>
      <c r="DB38" s="34">
        <f>ROUND(CZ38,1)</f>
        <v>0</v>
      </c>
      <c r="DC38" s="32">
        <f t="shared" ref="DC38:DC48" si="60">DB38-((-0.148759+((-0.267408+((1.08076+((1.269056+((-4.089591+((-1.871251+((7.438081+(-3.536296*(DB38/630)))*(DB38/630)))*(DB38/630)))*(DB38/630)))*(DB38/630)))*(DB38/630)))*(DB38/630)))*(DB38/630))</f>
        <v>0</v>
      </c>
      <c r="DD38" s="35"/>
      <c r="DE38" s="28" t="e">
        <f t="shared" si="54"/>
        <v>#VALUE!</v>
      </c>
      <c r="DF38" s="31" t="e">
        <f t="shared" si="55"/>
        <v>#VALUE!</v>
      </c>
      <c r="DG38" s="32" t="e">
        <f>ROUND(DE38,1)</f>
        <v>#VALUE!</v>
      </c>
      <c r="DH38" s="32" t="e">
        <f t="shared" ref="DH38:DH48" si="61">(141.5/(DG38+131.5))*999.016</f>
        <v>#VALUE!</v>
      </c>
      <c r="DI38" s="32" t="e">
        <f t="shared" ref="DI38:DI48" si="62">DH38*(1+((EXP(((0.01374979547/2)*(((103.872/DH38)+0.2701)*(1/DH38)))*(1+(0.8*((0.01374979547/2)*(((103.872/DH38)+0.2701)*(1/DH38))))))-1)/(1+(((0.01374979547/2)*(((103.872/DH38)+0.2701)*(1/DH38)))*(1+(1.6*((0.01374979547/2)*(((103.872/DH38)+0.2701)*(1/DH38)))))*(((2*103.872)+(0.2701+DH38))/(103.872+(0.2701*DH38)))))))</f>
        <v>#VALUE!</v>
      </c>
      <c r="DK38" s="38" t="e">
        <f t="shared" si="56"/>
        <v>#VALUE!</v>
      </c>
      <c r="DL38" s="41" t="e">
        <f>ROUND(DK38*5,2)/5</f>
        <v>#VALUE!</v>
      </c>
      <c r="DM38" s="38" t="e">
        <f>ROUND(DK38,4)</f>
        <v>#VALUE!</v>
      </c>
      <c r="DN38" s="32" t="e">
        <f t="shared" ref="DN38:DN48" si="63">DM38*999.016</f>
        <v>#VALUE!</v>
      </c>
      <c r="DO38" s="32" t="e">
        <f>DN38*(1+((EXP(((0.01374979547/2)*(((103.872/DN38)+0.2701)*(1/DN38)))*(1+(0.8*((0.01374979547/2)*(((103.872/DN38)+0.2701)*(1/DN38))))))-1)/(1+(((0.01374979547/2)*(((103.872/DN38)+0.2701)*(1/DN38)))*(1+(1.6*((0.01374979547/2)*(((103.872/DN38)+0.2701)*(1/DN38)))))*(((2*103.872)+(0.2701+DN38))/(103.872+(0.2701*DN38)))))))</f>
        <v>#VALUE!</v>
      </c>
      <c r="DQ38" s="38" t="str">
        <f t="shared" si="57"/>
        <v/>
      </c>
      <c r="DR38" s="29" t="e">
        <f>ROUND(DQ38*5,2)/5</f>
        <v>#VALUE!</v>
      </c>
      <c r="DS38" s="38" t="e">
        <f>ROUND(DQ38,4)</f>
        <v>#VALUE!</v>
      </c>
      <c r="DT38" s="32" t="e">
        <f t="shared" ref="DT38:DT48" si="64">DS38*1000</f>
        <v>#VALUE!</v>
      </c>
      <c r="DU38" s="32" t="e">
        <f t="shared" ref="DU38:DU48" si="65">DT38*(1+((EXP(((0.01374979547/2)*(((186.9696/DT38)+0.4862)*(1/DT38)))*(1+(0.8*((0.01374979547/2)*(((186.9696/DT38)+0.4862)*(1/DT38))))))-1)/(1+(((0.01374979547/2)*(((186.9696/DT38)+0.4862)*(1/DT38)))*(1+(1.6*((0.01374979547/2)*(((186.9696/DT38)+0.4862)*(1/DT38)))))*(((2*186.9696)+(0.4862+DT38))/(186.9696+(0.4862*DT38)))))))</f>
        <v>#VALUE!</v>
      </c>
      <c r="DW38" s="38" t="e">
        <f>ROUND(EXP(-((103.872/(((141.5/(DF38+131.5))*999.012)^2))+(0.2701/((141.5/(DF38+131.5))*999.012)))*(CV38-60)*(1+(0.8*((103.872/(((141.5/(DF38+131.5))*999.012)^2))+(0.2701/((141.5/(DF38+131.5))*999.012)))*(CV38-60)))),4)</f>
        <v>#VALUE!</v>
      </c>
      <c r="DX38" s="42" t="e">
        <f>ROUND(EXP(-(((103.872/DI38)+0.2701)*(1/DI38))*(CX38-60.0068749)*(1+(0.8*(((103.872/DI38)+0.2701)*(1/DI38))*((CX38-60.0068749)+0.01374979547)))),5)</f>
        <v>#VALUE!</v>
      </c>
      <c r="DY38" s="38" t="e">
        <f>ROUND(EXP(-((103.872/((DL38*999.012)^2))+(0.2701/(DL38*999.012)))*(CV38-60)*(1+(0.8*((103.872/((DL38*999.012)^2))+(0.2701/(DL38*999.012)))*(CV38-60)))),4)</f>
        <v>#VALUE!</v>
      </c>
      <c r="DZ38" s="42" t="e">
        <f>ROUND(EXP(-(((103.872/DO38)+0.2701)*(1/DO38))*(CX38-60.0068749)*(1+(0.8*(((103.872/DO38)+0.2701)*(1/DO38))*((CX38-60.0068749)+0.01374979547)))),5)</f>
        <v>#VALUE!</v>
      </c>
      <c r="EA38" s="38" t="e">
        <f>ROUND(EXP(-((186.9696/((DR38*1000)^2))+(0.4862/(DR38*1000)))*(DA38-15)*(1+(0.8*((186.9696/((DR38*1000)^2))+(0.4862/(DR38*1000)))*(DA38-15)))),4)</f>
        <v>#VALUE!</v>
      </c>
      <c r="EB38" s="42" t="e">
        <f>ROUND(EXP(-((((186.9696/DU38)+0.4862)*(1/DU38)))*(DC38-15.00367851)*(1+(0.8*((((186.9696/DU38)+0.4862)*(1/DU38)))*((DC38-15.00367851)+0.01374979547)))),5)</f>
        <v>#VALUE!</v>
      </c>
    </row>
    <row r="39" spans="1:132" ht="11.45" customHeight="1" x14ac:dyDescent="0.2">
      <c r="A39" s="346" t="str">
        <f t="shared" si="39"/>
        <v/>
      </c>
      <c r="B39" s="346"/>
      <c r="C39" s="346"/>
      <c r="D39" s="346"/>
      <c r="E39" s="346"/>
      <c r="F39" s="346"/>
      <c r="G39" s="346"/>
      <c r="H39" s="346"/>
      <c r="I39" s="318" t="str">
        <f t="shared" si="40"/>
        <v/>
      </c>
      <c r="J39" s="318"/>
      <c r="K39" s="318"/>
      <c r="L39" s="318"/>
      <c r="M39" s="318"/>
      <c r="N39" s="318"/>
      <c r="O39" s="318"/>
      <c r="P39" s="443" t="str">
        <f t="shared" si="38"/>
        <v/>
      </c>
      <c r="Q39" s="443"/>
      <c r="R39" s="443"/>
      <c r="S39" s="443"/>
      <c r="T39" s="443"/>
      <c r="U39" s="308" t="str">
        <f t="shared" si="41"/>
        <v/>
      </c>
      <c r="V39" s="308"/>
      <c r="W39" s="308"/>
      <c r="X39" s="308"/>
      <c r="Y39" s="308"/>
      <c r="Z39" s="308"/>
      <c r="AA39" s="308"/>
      <c r="AB39" s="308"/>
      <c r="AC39" s="309"/>
      <c r="AD39" s="308"/>
      <c r="AE39" s="308"/>
      <c r="AF39" s="308"/>
      <c r="AG39" s="308"/>
      <c r="AH39" s="308"/>
      <c r="AI39" s="308"/>
      <c r="AJ39" s="441"/>
      <c r="AK39" s="441"/>
      <c r="AL39" s="441"/>
      <c r="AM39" s="441"/>
      <c r="AN39" s="441"/>
      <c r="AO39" s="441"/>
      <c r="AP39" s="441"/>
      <c r="AQ39" s="441"/>
      <c r="AR39" s="441"/>
      <c r="AS39" s="441"/>
      <c r="AT39" s="441"/>
      <c r="AU39" s="441"/>
      <c r="AV39" s="441"/>
      <c r="AW39" s="441"/>
      <c r="AX39" s="441"/>
      <c r="AY39" s="442"/>
      <c r="AZ39" s="442"/>
      <c r="BA39" s="442"/>
      <c r="BB39" s="442"/>
      <c r="BC39" s="442"/>
      <c r="BD39" s="311" t="str">
        <f t="shared" si="58"/>
        <v/>
      </c>
      <c r="BE39" s="311"/>
      <c r="BF39" s="311"/>
      <c r="BG39" s="311"/>
      <c r="BH39" s="311"/>
      <c r="BI39" s="310" t="str">
        <f t="shared" si="42"/>
        <v/>
      </c>
      <c r="BJ39" s="310"/>
      <c r="BK39" s="310"/>
      <c r="BL39" s="310"/>
      <c r="BM39" s="310"/>
      <c r="BN39" s="311" t="str">
        <f t="shared" si="43"/>
        <v/>
      </c>
      <c r="BO39" s="311"/>
      <c r="BP39" s="311"/>
      <c r="BQ39" s="311"/>
      <c r="BR39" s="311"/>
      <c r="BS39" s="332" t="str">
        <f t="shared" si="44"/>
        <v/>
      </c>
      <c r="BT39" s="332"/>
      <c r="BU39" s="332"/>
      <c r="BV39" s="332"/>
      <c r="BW39" s="332"/>
      <c r="BX39" s="311" t="str">
        <f t="shared" si="45"/>
        <v/>
      </c>
      <c r="BY39" s="311"/>
      <c r="BZ39" s="311"/>
      <c r="CA39" s="311"/>
      <c r="CB39" s="311"/>
      <c r="CC39" s="311" t="str">
        <f t="shared" si="46"/>
        <v/>
      </c>
      <c r="CD39" s="311"/>
      <c r="CE39" s="311"/>
      <c r="CF39" s="311"/>
      <c r="CG39" s="311"/>
      <c r="CH39" s="55"/>
      <c r="CI39" s="323" t="s">
        <v>176</v>
      </c>
      <c r="CJ39" s="324"/>
      <c r="CK39" s="324"/>
      <c r="CL39" s="325"/>
      <c r="CN39" s="107" t="s">
        <v>56</v>
      </c>
      <c r="CP39" s="87">
        <f t="shared" si="47"/>
        <v>0</v>
      </c>
      <c r="CR39" s="28" t="e">
        <f t="shared" si="48"/>
        <v>#VALUE!</v>
      </c>
      <c r="CS39" s="29" t="str">
        <f t="shared" si="49"/>
        <v/>
      </c>
      <c r="CU39" s="28">
        <f t="shared" si="50"/>
        <v>32</v>
      </c>
      <c r="CV39" s="31">
        <f>ROUND(CU39*2,0)/2</f>
        <v>32</v>
      </c>
      <c r="CW39" s="32">
        <f t="shared" ref="CW39:CW47" si="66">ROUND(CU39,1)</f>
        <v>32</v>
      </c>
      <c r="CX39" s="32">
        <f t="shared" si="59"/>
        <v>32</v>
      </c>
      <c r="CY39" s="26"/>
      <c r="CZ39" s="28">
        <f t="shared" si="52"/>
        <v>0</v>
      </c>
      <c r="DA39" s="28">
        <f t="shared" si="53"/>
        <v>0</v>
      </c>
      <c r="DB39" s="34">
        <f t="shared" ref="DB39:DB47" si="67">ROUND(CZ39,1)</f>
        <v>0</v>
      </c>
      <c r="DC39" s="32">
        <f t="shared" si="60"/>
        <v>0</v>
      </c>
      <c r="DD39" s="35"/>
      <c r="DE39" s="28" t="e">
        <f t="shared" si="54"/>
        <v>#VALUE!</v>
      </c>
      <c r="DF39" s="31" t="e">
        <f t="shared" si="55"/>
        <v>#VALUE!</v>
      </c>
      <c r="DG39" s="32" t="e">
        <f t="shared" ref="DG39:DG47" si="68">ROUND(DE39,1)</f>
        <v>#VALUE!</v>
      </c>
      <c r="DH39" s="32" t="e">
        <f t="shared" si="61"/>
        <v>#VALUE!</v>
      </c>
      <c r="DI39" s="32" t="e">
        <f t="shared" si="62"/>
        <v>#VALUE!</v>
      </c>
      <c r="DK39" s="38" t="e">
        <f t="shared" si="56"/>
        <v>#VALUE!</v>
      </c>
      <c r="DL39" s="41" t="e">
        <f t="shared" ref="DL39:DL47" si="69">ROUND(DK39*5,2)/5</f>
        <v>#VALUE!</v>
      </c>
      <c r="DM39" s="38" t="e">
        <f t="shared" ref="DM39:DM47" si="70">ROUND(DK39,4)</f>
        <v>#VALUE!</v>
      </c>
      <c r="DN39" s="32" t="e">
        <f t="shared" si="63"/>
        <v>#VALUE!</v>
      </c>
      <c r="DO39" s="32" t="e">
        <f t="shared" ref="DO39:DO47" si="71">DN39*(1+((EXP(((0.01374979547/2)*(((103.872/DN39)+0.2701)*(1/DN39)))*(1+(0.8*((0.01374979547/2)*(((103.872/DN39)+0.2701)*(1/DN39))))))-1)/(1+(((0.01374979547/2)*(((103.872/DN39)+0.2701)*(1/DN39)))*(1+(1.6*((0.01374979547/2)*(((103.872/DN39)+0.2701)*(1/DN39)))))*(((2*103.872)+(0.2701+DN39))/(103.872+(0.2701*DN39)))))))</f>
        <v>#VALUE!</v>
      </c>
      <c r="DQ39" s="38" t="str">
        <f t="shared" si="57"/>
        <v/>
      </c>
      <c r="DR39" s="29" t="e">
        <f t="shared" ref="DR39:DR47" si="72">ROUND(DQ39*5,2)/5</f>
        <v>#VALUE!</v>
      </c>
      <c r="DS39" s="38" t="e">
        <f t="shared" ref="DS39:DS47" si="73">ROUND(DQ39,4)</f>
        <v>#VALUE!</v>
      </c>
      <c r="DT39" s="32" t="e">
        <f t="shared" si="64"/>
        <v>#VALUE!</v>
      </c>
      <c r="DU39" s="32" t="e">
        <f t="shared" si="65"/>
        <v>#VALUE!</v>
      </c>
      <c r="DW39" s="38" t="e">
        <f t="shared" ref="DW39:DW47" si="74">ROUND(EXP(-((103.872/(((141.5/(DF39+131.5))*999.012)^2))+(0.2701/((141.5/(DF39+131.5))*999.012)))*(CV39-60)*(1+(0.8*((103.872/(((141.5/(DF39+131.5))*999.012)^2))+(0.2701/((141.5/(DF39+131.5))*999.012)))*(CV39-60)))),4)</f>
        <v>#VALUE!</v>
      </c>
      <c r="DX39" s="42" t="e">
        <f t="shared" ref="DX39:DX47" si="75">ROUND(EXP(-(((103.872/DI39)+0.2701)*(1/DI39))*(CX39-60.0068749)*(1+(0.8*(((103.872/DI39)+0.2701)*(1/DI39))*((CX39-60.0068749)+0.01374979547)))),5)</f>
        <v>#VALUE!</v>
      </c>
      <c r="DY39" s="38" t="e">
        <f t="shared" ref="DY39:DY47" si="76">ROUND(EXP(-((103.872/((DL39*999.012)^2))+(0.2701/(DL39*999.012)))*(CV39-60)*(1+(0.8*((103.872/((DL39*999.012)^2))+(0.2701/(DL39*999.012)))*(CV39-60)))),4)</f>
        <v>#VALUE!</v>
      </c>
      <c r="DZ39" s="42" t="e">
        <f t="shared" ref="DZ39:DZ47" si="77">ROUND(EXP(-(((103.872/DO39)+0.2701)*(1/DO39))*(CX39-60.0068749)*(1+(0.8*(((103.872/DO39)+0.2701)*(1/DO39))*((CX39-60.0068749)+0.01374979547)))),5)</f>
        <v>#VALUE!</v>
      </c>
      <c r="EA39" s="38" t="e">
        <f t="shared" ref="EA39:EA47" si="78">ROUND(EXP(-((186.9696/((DR39*1000)^2))+(0.4862/(DR39*1000)))*(DA39-15)*(1+(0.8*((186.9696/((DR39*1000)^2))+(0.4862/(DR39*1000)))*(DA39-15)))),4)</f>
        <v>#VALUE!</v>
      </c>
      <c r="EB39" s="42" t="e">
        <f t="shared" ref="EB39:EB47" si="79">ROUND(EXP(-((((186.9696/DU39)+0.4862)*(1/DU39)))*(DC39-15.00367851)*(1+(0.8*((((186.9696/DU39)+0.4862)*(1/DU39)))*((DC39-15.00367851)+0.01374979547)))),5)</f>
        <v>#VALUE!</v>
      </c>
    </row>
    <row r="40" spans="1:132" ht="11.45" customHeight="1" x14ac:dyDescent="0.2">
      <c r="A40" s="346" t="str">
        <f t="shared" si="39"/>
        <v/>
      </c>
      <c r="B40" s="346"/>
      <c r="C40" s="346"/>
      <c r="D40" s="346"/>
      <c r="E40" s="346"/>
      <c r="F40" s="346"/>
      <c r="G40" s="346"/>
      <c r="H40" s="346"/>
      <c r="I40" s="318" t="str">
        <f t="shared" si="40"/>
        <v/>
      </c>
      <c r="J40" s="318"/>
      <c r="K40" s="318"/>
      <c r="L40" s="318"/>
      <c r="M40" s="318"/>
      <c r="N40" s="318"/>
      <c r="O40" s="318"/>
      <c r="P40" s="443" t="str">
        <f t="shared" si="38"/>
        <v/>
      </c>
      <c r="Q40" s="443"/>
      <c r="R40" s="443"/>
      <c r="S40" s="443"/>
      <c r="T40" s="443"/>
      <c r="U40" s="308" t="str">
        <f t="shared" si="41"/>
        <v/>
      </c>
      <c r="V40" s="308"/>
      <c r="W40" s="308"/>
      <c r="X40" s="308"/>
      <c r="Y40" s="308"/>
      <c r="Z40" s="308"/>
      <c r="AA40" s="308"/>
      <c r="AB40" s="308"/>
      <c r="AC40" s="309"/>
      <c r="AD40" s="308"/>
      <c r="AE40" s="308"/>
      <c r="AF40" s="308"/>
      <c r="AG40" s="308"/>
      <c r="AH40" s="308"/>
      <c r="AI40" s="308"/>
      <c r="AJ40" s="441"/>
      <c r="AK40" s="441"/>
      <c r="AL40" s="441"/>
      <c r="AM40" s="441"/>
      <c r="AN40" s="441"/>
      <c r="AO40" s="441"/>
      <c r="AP40" s="441"/>
      <c r="AQ40" s="441"/>
      <c r="AR40" s="441"/>
      <c r="AS40" s="441"/>
      <c r="AT40" s="441"/>
      <c r="AU40" s="441"/>
      <c r="AV40" s="441"/>
      <c r="AW40" s="441"/>
      <c r="AX40" s="441"/>
      <c r="AY40" s="442"/>
      <c r="AZ40" s="442"/>
      <c r="BA40" s="442"/>
      <c r="BB40" s="442"/>
      <c r="BC40" s="442"/>
      <c r="BD40" s="311" t="str">
        <f t="shared" si="58"/>
        <v/>
      </c>
      <c r="BE40" s="311"/>
      <c r="BF40" s="311"/>
      <c r="BG40" s="311"/>
      <c r="BH40" s="311"/>
      <c r="BI40" s="310" t="str">
        <f t="shared" si="42"/>
        <v/>
      </c>
      <c r="BJ40" s="310"/>
      <c r="BK40" s="310"/>
      <c r="BL40" s="310"/>
      <c r="BM40" s="310"/>
      <c r="BN40" s="311" t="str">
        <f t="shared" si="43"/>
        <v/>
      </c>
      <c r="BO40" s="311"/>
      <c r="BP40" s="311"/>
      <c r="BQ40" s="311"/>
      <c r="BR40" s="311"/>
      <c r="BS40" s="332" t="str">
        <f t="shared" si="44"/>
        <v/>
      </c>
      <c r="BT40" s="332"/>
      <c r="BU40" s="332"/>
      <c r="BV40" s="332"/>
      <c r="BW40" s="332"/>
      <c r="BX40" s="311" t="str">
        <f t="shared" si="45"/>
        <v/>
      </c>
      <c r="BY40" s="311"/>
      <c r="BZ40" s="311"/>
      <c r="CA40" s="311"/>
      <c r="CB40" s="311"/>
      <c r="CC40" s="311" t="str">
        <f t="shared" si="46"/>
        <v/>
      </c>
      <c r="CD40" s="311"/>
      <c r="CE40" s="311"/>
      <c r="CF40" s="311"/>
      <c r="CG40" s="311"/>
      <c r="CH40" s="55"/>
      <c r="CI40" s="326"/>
      <c r="CJ40" s="327"/>
      <c r="CK40" s="327"/>
      <c r="CL40" s="328"/>
      <c r="CN40" s="2" t="s">
        <v>57</v>
      </c>
      <c r="CP40" s="87">
        <f t="shared" si="47"/>
        <v>0</v>
      </c>
      <c r="CR40" s="28" t="e">
        <f t="shared" si="48"/>
        <v>#VALUE!</v>
      </c>
      <c r="CS40" s="29" t="str">
        <f t="shared" si="49"/>
        <v/>
      </c>
      <c r="CU40" s="28">
        <f t="shared" si="50"/>
        <v>32</v>
      </c>
      <c r="CV40" s="31">
        <f t="shared" si="51"/>
        <v>32</v>
      </c>
      <c r="CW40" s="32">
        <f>ROUND(CU40,1)</f>
        <v>32</v>
      </c>
      <c r="CX40" s="32">
        <f>(1.8*((((CW40-32)/1.8)-((-0.148759+((-0.267408+((1.08076+((1.269056+((-4.089591+((-1.871251+((7.438081+(-3.536296*(((CW40-32)/1.8)/630)))*(((CW40-32)/1.8)/630)))*(((CW40-32)/1.8)/630)))*(((CW40-32)/1.8)/630)))*(((CW40-32)/1.8)/630)))*(((CW40-32)/1.8)/630)))*(((CW40-32)/1.8)/630)))*(((CW40-32)/1.8)/630)))))+32</f>
        <v>32</v>
      </c>
      <c r="CY40" s="26"/>
      <c r="CZ40" s="28">
        <f t="shared" si="52"/>
        <v>0</v>
      </c>
      <c r="DA40" s="28">
        <f t="shared" si="53"/>
        <v>0</v>
      </c>
      <c r="DB40" s="34">
        <f t="shared" si="67"/>
        <v>0</v>
      </c>
      <c r="DC40" s="32">
        <f t="shared" si="60"/>
        <v>0</v>
      </c>
      <c r="DD40" s="35"/>
      <c r="DE40" s="28" t="e">
        <f t="shared" si="54"/>
        <v>#VALUE!</v>
      </c>
      <c r="DF40" s="31" t="e">
        <f t="shared" si="55"/>
        <v>#VALUE!</v>
      </c>
      <c r="DG40" s="32" t="e">
        <f t="shared" si="68"/>
        <v>#VALUE!</v>
      </c>
      <c r="DH40" s="32" t="e">
        <f t="shared" si="61"/>
        <v>#VALUE!</v>
      </c>
      <c r="DI40" s="32" t="e">
        <f t="shared" si="62"/>
        <v>#VALUE!</v>
      </c>
      <c r="DK40" s="38" t="e">
        <f t="shared" si="56"/>
        <v>#VALUE!</v>
      </c>
      <c r="DL40" s="41" t="e">
        <f t="shared" si="69"/>
        <v>#VALUE!</v>
      </c>
      <c r="DM40" s="38" t="e">
        <f t="shared" si="70"/>
        <v>#VALUE!</v>
      </c>
      <c r="DN40" s="32" t="e">
        <f t="shared" si="63"/>
        <v>#VALUE!</v>
      </c>
      <c r="DO40" s="32" t="e">
        <f t="shared" si="71"/>
        <v>#VALUE!</v>
      </c>
      <c r="DQ40" s="38" t="str">
        <f t="shared" si="57"/>
        <v/>
      </c>
      <c r="DR40" s="29" t="e">
        <f t="shared" si="72"/>
        <v>#VALUE!</v>
      </c>
      <c r="DS40" s="38" t="e">
        <f t="shared" si="73"/>
        <v>#VALUE!</v>
      </c>
      <c r="DT40" s="32" t="e">
        <f t="shared" si="64"/>
        <v>#VALUE!</v>
      </c>
      <c r="DU40" s="32" t="e">
        <f t="shared" si="65"/>
        <v>#VALUE!</v>
      </c>
      <c r="DW40" s="38" t="e">
        <f t="shared" si="74"/>
        <v>#VALUE!</v>
      </c>
      <c r="DX40" s="42" t="e">
        <f t="shared" si="75"/>
        <v>#VALUE!</v>
      </c>
      <c r="DY40" s="38" t="e">
        <f t="shared" si="76"/>
        <v>#VALUE!</v>
      </c>
      <c r="DZ40" s="42" t="e">
        <f t="shared" si="77"/>
        <v>#VALUE!</v>
      </c>
      <c r="EA40" s="38" t="e">
        <f t="shared" si="78"/>
        <v>#VALUE!</v>
      </c>
      <c r="EB40" s="42" t="e">
        <f t="shared" si="79"/>
        <v>#VALUE!</v>
      </c>
    </row>
    <row r="41" spans="1:132" ht="11.45" customHeight="1" x14ac:dyDescent="0.2">
      <c r="A41" s="346" t="str">
        <f t="shared" si="39"/>
        <v/>
      </c>
      <c r="B41" s="346"/>
      <c r="C41" s="346"/>
      <c r="D41" s="346"/>
      <c r="E41" s="346"/>
      <c r="F41" s="346"/>
      <c r="G41" s="346"/>
      <c r="H41" s="346"/>
      <c r="I41" s="318" t="str">
        <f t="shared" si="40"/>
        <v/>
      </c>
      <c r="J41" s="318"/>
      <c r="K41" s="318"/>
      <c r="L41" s="318"/>
      <c r="M41" s="318"/>
      <c r="N41" s="318"/>
      <c r="O41" s="318"/>
      <c r="P41" s="443" t="str">
        <f t="shared" ref="P41:P48" si="80">IF(P22="","",P22)</f>
        <v/>
      </c>
      <c r="Q41" s="443"/>
      <c r="R41" s="443"/>
      <c r="S41" s="443"/>
      <c r="T41" s="443"/>
      <c r="U41" s="308" t="str">
        <f t="shared" si="41"/>
        <v/>
      </c>
      <c r="V41" s="308"/>
      <c r="W41" s="308"/>
      <c r="X41" s="308"/>
      <c r="Y41" s="308"/>
      <c r="Z41" s="308"/>
      <c r="AA41" s="308"/>
      <c r="AB41" s="308"/>
      <c r="AC41" s="309"/>
      <c r="AD41" s="308"/>
      <c r="AE41" s="308"/>
      <c r="AF41" s="308"/>
      <c r="AG41" s="308"/>
      <c r="AH41" s="308"/>
      <c r="AI41" s="308"/>
      <c r="AJ41" s="441"/>
      <c r="AK41" s="441"/>
      <c r="AL41" s="441"/>
      <c r="AM41" s="441"/>
      <c r="AN41" s="441"/>
      <c r="AO41" s="441"/>
      <c r="AP41" s="441"/>
      <c r="AQ41" s="441"/>
      <c r="AR41" s="441"/>
      <c r="AS41" s="441"/>
      <c r="AT41" s="441"/>
      <c r="AU41" s="441"/>
      <c r="AV41" s="441"/>
      <c r="AW41" s="441"/>
      <c r="AX41" s="441"/>
      <c r="AY41" s="442"/>
      <c r="AZ41" s="442"/>
      <c r="BA41" s="442"/>
      <c r="BB41" s="442"/>
      <c r="BC41" s="442"/>
      <c r="BD41" s="311" t="str">
        <f t="shared" si="58"/>
        <v/>
      </c>
      <c r="BE41" s="311"/>
      <c r="BF41" s="311"/>
      <c r="BG41" s="311"/>
      <c r="BH41" s="311"/>
      <c r="BI41" s="310" t="str">
        <f t="shared" si="42"/>
        <v/>
      </c>
      <c r="BJ41" s="310"/>
      <c r="BK41" s="310"/>
      <c r="BL41" s="310"/>
      <c r="BM41" s="310"/>
      <c r="BN41" s="311" t="str">
        <f t="shared" si="43"/>
        <v/>
      </c>
      <c r="BO41" s="311"/>
      <c r="BP41" s="311"/>
      <c r="BQ41" s="311"/>
      <c r="BR41" s="311"/>
      <c r="BS41" s="332" t="str">
        <f t="shared" si="44"/>
        <v/>
      </c>
      <c r="BT41" s="332"/>
      <c r="BU41" s="332"/>
      <c r="BV41" s="332"/>
      <c r="BW41" s="332"/>
      <c r="BX41" s="311" t="str">
        <f t="shared" si="45"/>
        <v/>
      </c>
      <c r="BY41" s="311"/>
      <c r="BZ41" s="311"/>
      <c r="CA41" s="311"/>
      <c r="CB41" s="311"/>
      <c r="CC41" s="311" t="str">
        <f t="shared" si="46"/>
        <v/>
      </c>
      <c r="CD41" s="311"/>
      <c r="CE41" s="311"/>
      <c r="CF41" s="311"/>
      <c r="CG41" s="311"/>
      <c r="CH41" s="55"/>
      <c r="CI41" s="108" t="s">
        <v>170</v>
      </c>
      <c r="CJ41" s="109"/>
      <c r="CK41" s="43" t="e">
        <f>AVERAGE(AY37:BC48)</f>
        <v>#DIV/0!</v>
      </c>
      <c r="CL41" s="21" t="s">
        <v>174</v>
      </c>
      <c r="CP41" s="87">
        <f t="shared" si="47"/>
        <v>0</v>
      </c>
      <c r="CR41" s="28" t="e">
        <f t="shared" si="48"/>
        <v>#VALUE!</v>
      </c>
      <c r="CS41" s="29" t="str">
        <f t="shared" si="49"/>
        <v/>
      </c>
      <c r="CU41" s="28">
        <f t="shared" si="50"/>
        <v>32</v>
      </c>
      <c r="CV41" s="31">
        <f t="shared" si="51"/>
        <v>32</v>
      </c>
      <c r="CW41" s="32">
        <f>ROUND(CU41,1)</f>
        <v>32</v>
      </c>
      <c r="CX41" s="32">
        <f t="shared" si="59"/>
        <v>32</v>
      </c>
      <c r="CY41" s="26"/>
      <c r="CZ41" s="28">
        <f t="shared" si="52"/>
        <v>0</v>
      </c>
      <c r="DA41" s="28">
        <f t="shared" si="53"/>
        <v>0</v>
      </c>
      <c r="DB41" s="34">
        <f t="shared" si="67"/>
        <v>0</v>
      </c>
      <c r="DC41" s="32">
        <f t="shared" si="60"/>
        <v>0</v>
      </c>
      <c r="DD41" s="35"/>
      <c r="DE41" s="28" t="e">
        <f t="shared" si="54"/>
        <v>#VALUE!</v>
      </c>
      <c r="DF41" s="31" t="e">
        <f>ROUND(DE41*2,0)/2</f>
        <v>#VALUE!</v>
      </c>
      <c r="DG41" s="32" t="e">
        <f t="shared" si="68"/>
        <v>#VALUE!</v>
      </c>
      <c r="DH41" s="32" t="e">
        <f t="shared" si="61"/>
        <v>#VALUE!</v>
      </c>
      <c r="DI41" s="32" t="e">
        <f t="shared" si="62"/>
        <v>#VALUE!</v>
      </c>
      <c r="DK41" s="38" t="e">
        <f t="shared" si="56"/>
        <v>#VALUE!</v>
      </c>
      <c r="DL41" s="41" t="e">
        <f t="shared" si="69"/>
        <v>#VALUE!</v>
      </c>
      <c r="DM41" s="38" t="e">
        <f t="shared" si="70"/>
        <v>#VALUE!</v>
      </c>
      <c r="DN41" s="32" t="e">
        <f t="shared" si="63"/>
        <v>#VALUE!</v>
      </c>
      <c r="DO41" s="32" t="e">
        <f t="shared" si="71"/>
        <v>#VALUE!</v>
      </c>
      <c r="DQ41" s="38" t="str">
        <f t="shared" si="57"/>
        <v/>
      </c>
      <c r="DR41" s="29" t="e">
        <f t="shared" si="72"/>
        <v>#VALUE!</v>
      </c>
      <c r="DS41" s="38" t="e">
        <f t="shared" si="73"/>
        <v>#VALUE!</v>
      </c>
      <c r="DT41" s="32" t="e">
        <f t="shared" si="64"/>
        <v>#VALUE!</v>
      </c>
      <c r="DU41" s="32" t="e">
        <f t="shared" si="65"/>
        <v>#VALUE!</v>
      </c>
      <c r="DW41" s="38" t="e">
        <f t="shared" si="74"/>
        <v>#VALUE!</v>
      </c>
      <c r="DX41" s="42" t="e">
        <f t="shared" si="75"/>
        <v>#VALUE!</v>
      </c>
      <c r="DY41" s="38" t="e">
        <f t="shared" si="76"/>
        <v>#VALUE!</v>
      </c>
      <c r="DZ41" s="42" t="e">
        <f t="shared" si="77"/>
        <v>#VALUE!</v>
      </c>
      <c r="EA41" s="38" t="e">
        <f t="shared" si="78"/>
        <v>#VALUE!</v>
      </c>
      <c r="EB41" s="42" t="e">
        <f t="shared" si="79"/>
        <v>#VALUE!</v>
      </c>
    </row>
    <row r="42" spans="1:132" ht="11.45" customHeight="1" x14ac:dyDescent="0.2">
      <c r="A42" s="346" t="str">
        <f t="shared" si="39"/>
        <v/>
      </c>
      <c r="B42" s="346"/>
      <c r="C42" s="346"/>
      <c r="D42" s="346"/>
      <c r="E42" s="346"/>
      <c r="F42" s="346"/>
      <c r="G42" s="346"/>
      <c r="H42" s="346"/>
      <c r="I42" s="318" t="str">
        <f t="shared" si="40"/>
        <v/>
      </c>
      <c r="J42" s="318"/>
      <c r="K42" s="318"/>
      <c r="L42" s="318"/>
      <c r="M42" s="318"/>
      <c r="N42" s="318"/>
      <c r="O42" s="318"/>
      <c r="P42" s="443" t="str">
        <f t="shared" si="80"/>
        <v/>
      </c>
      <c r="Q42" s="443"/>
      <c r="R42" s="443"/>
      <c r="S42" s="443"/>
      <c r="T42" s="443"/>
      <c r="U42" s="308" t="str">
        <f t="shared" si="41"/>
        <v/>
      </c>
      <c r="V42" s="308"/>
      <c r="W42" s="308"/>
      <c r="X42" s="308"/>
      <c r="Y42" s="308"/>
      <c r="Z42" s="308"/>
      <c r="AA42" s="308"/>
      <c r="AB42" s="308"/>
      <c r="AC42" s="309"/>
      <c r="AD42" s="308"/>
      <c r="AE42" s="308"/>
      <c r="AF42" s="308"/>
      <c r="AG42" s="308"/>
      <c r="AH42" s="308"/>
      <c r="AI42" s="308"/>
      <c r="AJ42" s="441"/>
      <c r="AK42" s="441"/>
      <c r="AL42" s="441"/>
      <c r="AM42" s="441"/>
      <c r="AN42" s="441"/>
      <c r="AO42" s="441"/>
      <c r="AP42" s="441"/>
      <c r="AQ42" s="441"/>
      <c r="AR42" s="441"/>
      <c r="AS42" s="441"/>
      <c r="AT42" s="441"/>
      <c r="AU42" s="441"/>
      <c r="AV42" s="441"/>
      <c r="AW42" s="441"/>
      <c r="AX42" s="441"/>
      <c r="AY42" s="442"/>
      <c r="AZ42" s="442"/>
      <c r="BA42" s="442"/>
      <c r="BB42" s="442"/>
      <c r="BC42" s="442"/>
      <c r="BD42" s="311" t="str">
        <f t="shared" si="58"/>
        <v/>
      </c>
      <c r="BE42" s="311"/>
      <c r="BF42" s="311"/>
      <c r="BG42" s="311"/>
      <c r="BH42" s="311"/>
      <c r="BI42" s="310" t="str">
        <f t="shared" si="42"/>
        <v/>
      </c>
      <c r="BJ42" s="310"/>
      <c r="BK42" s="310"/>
      <c r="BL42" s="310"/>
      <c r="BM42" s="310"/>
      <c r="BN42" s="311" t="str">
        <f t="shared" si="43"/>
        <v/>
      </c>
      <c r="BO42" s="311"/>
      <c r="BP42" s="311"/>
      <c r="BQ42" s="311"/>
      <c r="BR42" s="311"/>
      <c r="BS42" s="332" t="str">
        <f t="shared" si="44"/>
        <v/>
      </c>
      <c r="BT42" s="332"/>
      <c r="BU42" s="332"/>
      <c r="BV42" s="332"/>
      <c r="BW42" s="332"/>
      <c r="BX42" s="311" t="str">
        <f t="shared" si="45"/>
        <v/>
      </c>
      <c r="BY42" s="311"/>
      <c r="BZ42" s="311"/>
      <c r="CA42" s="311"/>
      <c r="CB42" s="311"/>
      <c r="CC42" s="311" t="str">
        <f t="shared" si="46"/>
        <v/>
      </c>
      <c r="CD42" s="311"/>
      <c r="CE42" s="311"/>
      <c r="CF42" s="311"/>
      <c r="CG42" s="311"/>
      <c r="CH42" s="55"/>
      <c r="CI42" s="9" t="s">
        <v>171</v>
      </c>
      <c r="CJ42" s="10"/>
      <c r="CK42" s="44" t="e">
        <f>SUM(CP37:CP48)/BD49</f>
        <v>#VALUE!</v>
      </c>
      <c r="CL42" s="11" t="s">
        <v>174</v>
      </c>
      <c r="CP42" s="87">
        <f t="shared" si="47"/>
        <v>0</v>
      </c>
      <c r="CR42" s="28" t="e">
        <f t="shared" si="48"/>
        <v>#VALUE!</v>
      </c>
      <c r="CS42" s="29" t="str">
        <f t="shared" si="49"/>
        <v/>
      </c>
      <c r="CU42" s="28">
        <f t="shared" si="50"/>
        <v>32</v>
      </c>
      <c r="CV42" s="31">
        <f t="shared" si="51"/>
        <v>32</v>
      </c>
      <c r="CW42" s="32">
        <f>ROUND(CU42,1)</f>
        <v>32</v>
      </c>
      <c r="CX42" s="32">
        <f t="shared" si="59"/>
        <v>32</v>
      </c>
      <c r="CY42" s="26"/>
      <c r="CZ42" s="28">
        <f t="shared" si="52"/>
        <v>0</v>
      </c>
      <c r="DA42" s="28">
        <f t="shared" si="53"/>
        <v>0</v>
      </c>
      <c r="DB42" s="34">
        <f t="shared" si="67"/>
        <v>0</v>
      </c>
      <c r="DC42" s="32">
        <f t="shared" si="60"/>
        <v>0</v>
      </c>
      <c r="DD42" s="35"/>
      <c r="DE42" s="28" t="e">
        <f t="shared" si="54"/>
        <v>#VALUE!</v>
      </c>
      <c r="DF42" s="31" t="e">
        <f t="shared" si="55"/>
        <v>#VALUE!</v>
      </c>
      <c r="DG42" s="32" t="e">
        <f t="shared" si="68"/>
        <v>#VALUE!</v>
      </c>
      <c r="DH42" s="32" t="e">
        <f t="shared" si="61"/>
        <v>#VALUE!</v>
      </c>
      <c r="DI42" s="32" t="e">
        <f t="shared" si="62"/>
        <v>#VALUE!</v>
      </c>
      <c r="DK42" s="38" t="e">
        <f t="shared" si="56"/>
        <v>#VALUE!</v>
      </c>
      <c r="DL42" s="41" t="e">
        <f t="shared" si="69"/>
        <v>#VALUE!</v>
      </c>
      <c r="DM42" s="38" t="e">
        <f t="shared" si="70"/>
        <v>#VALUE!</v>
      </c>
      <c r="DN42" s="32" t="e">
        <f t="shared" si="63"/>
        <v>#VALUE!</v>
      </c>
      <c r="DO42" s="32" t="e">
        <f t="shared" si="71"/>
        <v>#VALUE!</v>
      </c>
      <c r="DQ42" s="38" t="str">
        <f t="shared" si="57"/>
        <v/>
      </c>
      <c r="DR42" s="29" t="e">
        <f t="shared" si="72"/>
        <v>#VALUE!</v>
      </c>
      <c r="DS42" s="38" t="e">
        <f t="shared" si="73"/>
        <v>#VALUE!</v>
      </c>
      <c r="DT42" s="32" t="e">
        <f t="shared" si="64"/>
        <v>#VALUE!</v>
      </c>
      <c r="DU42" s="32" t="e">
        <f t="shared" si="65"/>
        <v>#VALUE!</v>
      </c>
      <c r="DW42" s="38" t="e">
        <f t="shared" si="74"/>
        <v>#VALUE!</v>
      </c>
      <c r="DX42" s="42" t="e">
        <f t="shared" si="75"/>
        <v>#VALUE!</v>
      </c>
      <c r="DY42" s="38" t="e">
        <f t="shared" si="76"/>
        <v>#VALUE!</v>
      </c>
      <c r="DZ42" s="42" t="e">
        <f t="shared" si="77"/>
        <v>#VALUE!</v>
      </c>
      <c r="EA42" s="38" t="e">
        <f t="shared" si="78"/>
        <v>#VALUE!</v>
      </c>
      <c r="EB42" s="42" t="e">
        <f t="shared" si="79"/>
        <v>#VALUE!</v>
      </c>
    </row>
    <row r="43" spans="1:132" ht="11.45" customHeight="1" x14ac:dyDescent="0.2">
      <c r="A43" s="346" t="str">
        <f t="shared" si="39"/>
        <v/>
      </c>
      <c r="B43" s="346"/>
      <c r="C43" s="346"/>
      <c r="D43" s="346"/>
      <c r="E43" s="346"/>
      <c r="F43" s="346"/>
      <c r="G43" s="346"/>
      <c r="H43" s="346"/>
      <c r="I43" s="318" t="str">
        <f t="shared" si="40"/>
        <v/>
      </c>
      <c r="J43" s="318"/>
      <c r="K43" s="318"/>
      <c r="L43" s="318"/>
      <c r="M43" s="318"/>
      <c r="N43" s="318"/>
      <c r="O43" s="318"/>
      <c r="P43" s="443" t="str">
        <f t="shared" si="80"/>
        <v/>
      </c>
      <c r="Q43" s="443"/>
      <c r="R43" s="443"/>
      <c r="S43" s="443"/>
      <c r="T43" s="443"/>
      <c r="U43" s="308" t="str">
        <f t="shared" si="41"/>
        <v/>
      </c>
      <c r="V43" s="308"/>
      <c r="W43" s="308"/>
      <c r="X43" s="308"/>
      <c r="Y43" s="308"/>
      <c r="Z43" s="308"/>
      <c r="AA43" s="308"/>
      <c r="AB43" s="308"/>
      <c r="AC43" s="309"/>
      <c r="AD43" s="308"/>
      <c r="AE43" s="308"/>
      <c r="AF43" s="308"/>
      <c r="AG43" s="308"/>
      <c r="AH43" s="308"/>
      <c r="AI43" s="308"/>
      <c r="AJ43" s="308"/>
      <c r="AK43" s="308"/>
      <c r="AL43" s="308"/>
      <c r="AM43" s="308"/>
      <c r="AN43" s="308"/>
      <c r="AO43" s="308"/>
      <c r="AP43" s="308"/>
      <c r="AQ43" s="308"/>
      <c r="AR43" s="308"/>
      <c r="AS43" s="308"/>
      <c r="AT43" s="308"/>
      <c r="AU43" s="308"/>
      <c r="AV43" s="308"/>
      <c r="AW43" s="308"/>
      <c r="AX43" s="308"/>
      <c r="AY43" s="312"/>
      <c r="AZ43" s="312"/>
      <c r="BA43" s="312"/>
      <c r="BB43" s="312"/>
      <c r="BC43" s="312"/>
      <c r="BD43" s="311" t="str">
        <f t="shared" si="58"/>
        <v/>
      </c>
      <c r="BE43" s="311"/>
      <c r="BF43" s="311"/>
      <c r="BG43" s="311"/>
      <c r="BH43" s="311"/>
      <c r="BI43" s="310" t="str">
        <f t="shared" si="42"/>
        <v/>
      </c>
      <c r="BJ43" s="310"/>
      <c r="BK43" s="310"/>
      <c r="BL43" s="310"/>
      <c r="BM43" s="310"/>
      <c r="BN43" s="311" t="str">
        <f t="shared" si="43"/>
        <v/>
      </c>
      <c r="BO43" s="311"/>
      <c r="BP43" s="311"/>
      <c r="BQ43" s="311"/>
      <c r="BR43" s="311"/>
      <c r="BS43" s="332" t="str">
        <f t="shared" si="44"/>
        <v/>
      </c>
      <c r="BT43" s="332"/>
      <c r="BU43" s="332"/>
      <c r="BV43" s="332"/>
      <c r="BW43" s="332"/>
      <c r="BX43" s="311" t="str">
        <f t="shared" si="45"/>
        <v/>
      </c>
      <c r="BY43" s="311"/>
      <c r="BZ43" s="311"/>
      <c r="CA43" s="311"/>
      <c r="CB43" s="311"/>
      <c r="CC43" s="311" t="str">
        <f t="shared" si="46"/>
        <v/>
      </c>
      <c r="CD43" s="311"/>
      <c r="CE43" s="311"/>
      <c r="CF43" s="311"/>
      <c r="CG43" s="311"/>
      <c r="CH43" s="55"/>
      <c r="CN43" s="1" t="s">
        <v>219</v>
      </c>
      <c r="CP43" s="87">
        <f t="shared" si="47"/>
        <v>0</v>
      </c>
      <c r="CR43" s="28" t="e">
        <f t="shared" si="48"/>
        <v>#VALUE!</v>
      </c>
      <c r="CS43" s="29" t="str">
        <f t="shared" si="49"/>
        <v/>
      </c>
      <c r="CU43" s="28">
        <f t="shared" si="50"/>
        <v>32</v>
      </c>
      <c r="CV43" s="31">
        <f t="shared" si="51"/>
        <v>32</v>
      </c>
      <c r="CW43" s="32">
        <f t="shared" si="66"/>
        <v>32</v>
      </c>
      <c r="CX43" s="32">
        <f t="shared" si="59"/>
        <v>32</v>
      </c>
      <c r="CY43" s="26"/>
      <c r="CZ43" s="28">
        <f t="shared" si="52"/>
        <v>0</v>
      </c>
      <c r="DA43" s="28">
        <f t="shared" si="53"/>
        <v>0</v>
      </c>
      <c r="DB43" s="34">
        <f t="shared" si="67"/>
        <v>0</v>
      </c>
      <c r="DC43" s="32">
        <f t="shared" si="60"/>
        <v>0</v>
      </c>
      <c r="DD43" s="35"/>
      <c r="DE43" s="28" t="e">
        <f t="shared" si="54"/>
        <v>#VALUE!</v>
      </c>
      <c r="DF43" s="31" t="e">
        <f>ROUND(DE43*2,0)/2</f>
        <v>#VALUE!</v>
      </c>
      <c r="DG43" s="32" t="e">
        <f t="shared" si="68"/>
        <v>#VALUE!</v>
      </c>
      <c r="DH43" s="32" t="e">
        <f t="shared" si="61"/>
        <v>#VALUE!</v>
      </c>
      <c r="DI43" s="32" t="e">
        <f t="shared" si="62"/>
        <v>#VALUE!</v>
      </c>
      <c r="DK43" s="38" t="e">
        <f t="shared" si="56"/>
        <v>#VALUE!</v>
      </c>
      <c r="DL43" s="41" t="e">
        <f t="shared" si="69"/>
        <v>#VALUE!</v>
      </c>
      <c r="DM43" s="38" t="e">
        <f t="shared" si="70"/>
        <v>#VALUE!</v>
      </c>
      <c r="DN43" s="32" t="e">
        <f t="shared" si="63"/>
        <v>#VALUE!</v>
      </c>
      <c r="DO43" s="32" t="e">
        <f t="shared" si="71"/>
        <v>#VALUE!</v>
      </c>
      <c r="DQ43" s="38" t="str">
        <f t="shared" si="57"/>
        <v/>
      </c>
      <c r="DR43" s="29" t="e">
        <f t="shared" si="72"/>
        <v>#VALUE!</v>
      </c>
      <c r="DS43" s="38" t="e">
        <f t="shared" si="73"/>
        <v>#VALUE!</v>
      </c>
      <c r="DT43" s="32" t="e">
        <f t="shared" si="64"/>
        <v>#VALUE!</v>
      </c>
      <c r="DU43" s="32" t="e">
        <f t="shared" si="65"/>
        <v>#VALUE!</v>
      </c>
      <c r="DW43" s="38" t="e">
        <f t="shared" si="74"/>
        <v>#VALUE!</v>
      </c>
      <c r="DX43" s="42" t="e">
        <f t="shared" si="75"/>
        <v>#VALUE!</v>
      </c>
      <c r="DY43" s="38" t="e">
        <f t="shared" si="76"/>
        <v>#VALUE!</v>
      </c>
      <c r="DZ43" s="42" t="e">
        <f t="shared" si="77"/>
        <v>#VALUE!</v>
      </c>
      <c r="EA43" s="38" t="e">
        <f t="shared" si="78"/>
        <v>#VALUE!</v>
      </c>
      <c r="EB43" s="42" t="e">
        <f t="shared" si="79"/>
        <v>#VALUE!</v>
      </c>
    </row>
    <row r="44" spans="1:132" ht="11.45" customHeight="1" x14ac:dyDescent="0.2">
      <c r="A44" s="346" t="str">
        <f t="shared" si="39"/>
        <v/>
      </c>
      <c r="B44" s="346"/>
      <c r="C44" s="346"/>
      <c r="D44" s="346"/>
      <c r="E44" s="346"/>
      <c r="F44" s="346"/>
      <c r="G44" s="346"/>
      <c r="H44" s="346"/>
      <c r="I44" s="318" t="str">
        <f t="shared" si="40"/>
        <v/>
      </c>
      <c r="J44" s="318"/>
      <c r="K44" s="318"/>
      <c r="L44" s="318"/>
      <c r="M44" s="318"/>
      <c r="N44" s="318"/>
      <c r="O44" s="318"/>
      <c r="P44" s="443" t="str">
        <f t="shared" si="80"/>
        <v/>
      </c>
      <c r="Q44" s="443"/>
      <c r="R44" s="443"/>
      <c r="S44" s="443"/>
      <c r="T44" s="443"/>
      <c r="U44" s="308" t="str">
        <f t="shared" si="41"/>
        <v/>
      </c>
      <c r="V44" s="308"/>
      <c r="W44" s="308"/>
      <c r="X44" s="308"/>
      <c r="Y44" s="308"/>
      <c r="Z44" s="308"/>
      <c r="AA44" s="308"/>
      <c r="AB44" s="308"/>
      <c r="AC44" s="309"/>
      <c r="AD44" s="308"/>
      <c r="AE44" s="308"/>
      <c r="AF44" s="308"/>
      <c r="AG44" s="308"/>
      <c r="AH44" s="308"/>
      <c r="AI44" s="308"/>
      <c r="AJ44" s="308"/>
      <c r="AK44" s="308"/>
      <c r="AL44" s="308"/>
      <c r="AM44" s="308"/>
      <c r="AN44" s="308"/>
      <c r="AO44" s="308"/>
      <c r="AP44" s="308"/>
      <c r="AQ44" s="308"/>
      <c r="AR44" s="308"/>
      <c r="AS44" s="308"/>
      <c r="AT44" s="308"/>
      <c r="AU44" s="308"/>
      <c r="AV44" s="308"/>
      <c r="AW44" s="308"/>
      <c r="AX44" s="308"/>
      <c r="AY44" s="312"/>
      <c r="AZ44" s="312"/>
      <c r="BA44" s="312"/>
      <c r="BB44" s="312"/>
      <c r="BC44" s="312"/>
      <c r="BD44" s="311" t="str">
        <f t="shared" si="58"/>
        <v/>
      </c>
      <c r="BE44" s="311"/>
      <c r="BF44" s="311"/>
      <c r="BG44" s="311"/>
      <c r="BH44" s="311"/>
      <c r="BI44" s="310" t="str">
        <f t="shared" si="42"/>
        <v/>
      </c>
      <c r="BJ44" s="310"/>
      <c r="BK44" s="310"/>
      <c r="BL44" s="310"/>
      <c r="BM44" s="310"/>
      <c r="BN44" s="311" t="str">
        <f t="shared" si="43"/>
        <v/>
      </c>
      <c r="BO44" s="311"/>
      <c r="BP44" s="311"/>
      <c r="BQ44" s="311"/>
      <c r="BR44" s="311"/>
      <c r="BS44" s="332" t="str">
        <f t="shared" si="44"/>
        <v/>
      </c>
      <c r="BT44" s="332"/>
      <c r="BU44" s="332"/>
      <c r="BV44" s="332"/>
      <c r="BW44" s="332"/>
      <c r="BX44" s="311" t="str">
        <f t="shared" si="45"/>
        <v/>
      </c>
      <c r="BY44" s="311"/>
      <c r="BZ44" s="311"/>
      <c r="CA44" s="311"/>
      <c r="CB44" s="311"/>
      <c r="CC44" s="311" t="str">
        <f t="shared" si="46"/>
        <v/>
      </c>
      <c r="CD44" s="311"/>
      <c r="CE44" s="311"/>
      <c r="CF44" s="311"/>
      <c r="CG44" s="311"/>
      <c r="CH44" s="55"/>
      <c r="CN44" s="107" t="s">
        <v>199</v>
      </c>
      <c r="CP44" s="87">
        <f t="shared" si="47"/>
        <v>0</v>
      </c>
      <c r="CR44" s="28" t="e">
        <f t="shared" si="48"/>
        <v>#VALUE!</v>
      </c>
      <c r="CS44" s="29" t="str">
        <f t="shared" si="49"/>
        <v/>
      </c>
      <c r="CU44" s="28">
        <f t="shared" si="50"/>
        <v>32</v>
      </c>
      <c r="CV44" s="31">
        <f t="shared" si="51"/>
        <v>32</v>
      </c>
      <c r="CW44" s="32">
        <f t="shared" si="66"/>
        <v>32</v>
      </c>
      <c r="CX44" s="32">
        <f t="shared" si="59"/>
        <v>32</v>
      </c>
      <c r="CY44" s="26"/>
      <c r="CZ44" s="28">
        <f t="shared" si="52"/>
        <v>0</v>
      </c>
      <c r="DA44" s="28">
        <f t="shared" si="53"/>
        <v>0</v>
      </c>
      <c r="DB44" s="34">
        <f t="shared" si="67"/>
        <v>0</v>
      </c>
      <c r="DC44" s="32">
        <f t="shared" si="60"/>
        <v>0</v>
      </c>
      <c r="DD44" s="35"/>
      <c r="DE44" s="28" t="e">
        <f t="shared" si="54"/>
        <v>#VALUE!</v>
      </c>
      <c r="DF44" s="31" t="e">
        <f t="shared" si="55"/>
        <v>#VALUE!</v>
      </c>
      <c r="DG44" s="32" t="e">
        <f t="shared" si="68"/>
        <v>#VALUE!</v>
      </c>
      <c r="DH44" s="32" t="e">
        <f t="shared" si="61"/>
        <v>#VALUE!</v>
      </c>
      <c r="DI44" s="32" t="e">
        <f t="shared" si="62"/>
        <v>#VALUE!</v>
      </c>
      <c r="DK44" s="38" t="e">
        <f t="shared" si="56"/>
        <v>#VALUE!</v>
      </c>
      <c r="DL44" s="41" t="e">
        <f t="shared" si="69"/>
        <v>#VALUE!</v>
      </c>
      <c r="DM44" s="38" t="e">
        <f t="shared" si="70"/>
        <v>#VALUE!</v>
      </c>
      <c r="DN44" s="32" t="e">
        <f t="shared" si="63"/>
        <v>#VALUE!</v>
      </c>
      <c r="DO44" s="32" t="e">
        <f t="shared" si="71"/>
        <v>#VALUE!</v>
      </c>
      <c r="DQ44" s="38" t="str">
        <f t="shared" si="57"/>
        <v/>
      </c>
      <c r="DR44" s="29" t="e">
        <f t="shared" si="72"/>
        <v>#VALUE!</v>
      </c>
      <c r="DS44" s="38" t="e">
        <f t="shared" si="73"/>
        <v>#VALUE!</v>
      </c>
      <c r="DT44" s="32" t="e">
        <f t="shared" si="64"/>
        <v>#VALUE!</v>
      </c>
      <c r="DU44" s="32" t="e">
        <f t="shared" si="65"/>
        <v>#VALUE!</v>
      </c>
      <c r="DW44" s="38" t="e">
        <f t="shared" si="74"/>
        <v>#VALUE!</v>
      </c>
      <c r="DX44" s="42" t="e">
        <f t="shared" si="75"/>
        <v>#VALUE!</v>
      </c>
      <c r="DY44" s="38" t="e">
        <f t="shared" si="76"/>
        <v>#VALUE!</v>
      </c>
      <c r="DZ44" s="42" t="e">
        <f t="shared" si="77"/>
        <v>#VALUE!</v>
      </c>
      <c r="EA44" s="38" t="e">
        <f t="shared" si="78"/>
        <v>#VALUE!</v>
      </c>
      <c r="EB44" s="42" t="e">
        <f t="shared" si="79"/>
        <v>#VALUE!</v>
      </c>
    </row>
    <row r="45" spans="1:132" ht="11.45" customHeight="1" x14ac:dyDescent="0.2">
      <c r="A45" s="346" t="str">
        <f t="shared" si="39"/>
        <v/>
      </c>
      <c r="B45" s="346"/>
      <c r="C45" s="346"/>
      <c r="D45" s="346"/>
      <c r="E45" s="346"/>
      <c r="F45" s="346"/>
      <c r="G45" s="346"/>
      <c r="H45" s="346"/>
      <c r="I45" s="318" t="str">
        <f t="shared" si="40"/>
        <v/>
      </c>
      <c r="J45" s="318"/>
      <c r="K45" s="318"/>
      <c r="L45" s="318"/>
      <c r="M45" s="318"/>
      <c r="N45" s="318"/>
      <c r="O45" s="318"/>
      <c r="P45" s="443" t="str">
        <f t="shared" si="80"/>
        <v/>
      </c>
      <c r="Q45" s="443"/>
      <c r="R45" s="443"/>
      <c r="S45" s="443"/>
      <c r="T45" s="443"/>
      <c r="U45" s="308" t="str">
        <f t="shared" si="41"/>
        <v/>
      </c>
      <c r="V45" s="308"/>
      <c r="W45" s="308"/>
      <c r="X45" s="308"/>
      <c r="Y45" s="308"/>
      <c r="Z45" s="308"/>
      <c r="AA45" s="308"/>
      <c r="AB45" s="308"/>
      <c r="AC45" s="309"/>
      <c r="AD45" s="308"/>
      <c r="AE45" s="308"/>
      <c r="AF45" s="308"/>
      <c r="AG45" s="308"/>
      <c r="AH45" s="308"/>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t="str">
        <f t="shared" si="58"/>
        <v/>
      </c>
      <c r="BE45" s="311"/>
      <c r="BF45" s="311"/>
      <c r="BG45" s="311"/>
      <c r="BH45" s="311"/>
      <c r="BI45" s="310" t="str">
        <f t="shared" si="42"/>
        <v/>
      </c>
      <c r="BJ45" s="310"/>
      <c r="BK45" s="310"/>
      <c r="BL45" s="310"/>
      <c r="BM45" s="310"/>
      <c r="BN45" s="311" t="str">
        <f>IF(OR(BD45="",BI45=""),"",BD45*BI45)</f>
        <v/>
      </c>
      <c r="BO45" s="311"/>
      <c r="BP45" s="311"/>
      <c r="BQ45" s="311"/>
      <c r="BR45" s="311"/>
      <c r="BS45" s="332" t="str">
        <f t="shared" si="44"/>
        <v/>
      </c>
      <c r="BT45" s="332"/>
      <c r="BU45" s="332"/>
      <c r="BV45" s="332"/>
      <c r="BW45" s="332"/>
      <c r="BX45" s="311" t="str">
        <f t="shared" si="45"/>
        <v/>
      </c>
      <c r="BY45" s="311"/>
      <c r="BZ45" s="311"/>
      <c r="CA45" s="311"/>
      <c r="CB45" s="311"/>
      <c r="CC45" s="311" t="str">
        <f t="shared" si="46"/>
        <v/>
      </c>
      <c r="CD45" s="311"/>
      <c r="CE45" s="311"/>
      <c r="CF45" s="311"/>
      <c r="CG45" s="311"/>
      <c r="CH45" s="55"/>
      <c r="CN45" s="87" t="s">
        <v>200</v>
      </c>
      <c r="CP45" s="87">
        <f t="shared" si="47"/>
        <v>0</v>
      </c>
      <c r="CR45" s="28" t="e">
        <f t="shared" si="48"/>
        <v>#VALUE!</v>
      </c>
      <c r="CS45" s="29" t="str">
        <f t="shared" si="49"/>
        <v/>
      </c>
      <c r="CU45" s="28">
        <f t="shared" si="50"/>
        <v>32</v>
      </c>
      <c r="CV45" s="31">
        <f t="shared" si="51"/>
        <v>32</v>
      </c>
      <c r="CW45" s="32">
        <f t="shared" si="66"/>
        <v>32</v>
      </c>
      <c r="CX45" s="32">
        <f t="shared" si="59"/>
        <v>32</v>
      </c>
      <c r="CY45" s="26"/>
      <c r="CZ45" s="28">
        <f t="shared" si="52"/>
        <v>0</v>
      </c>
      <c r="DA45" s="28">
        <f t="shared" si="53"/>
        <v>0</v>
      </c>
      <c r="DB45" s="34">
        <f t="shared" si="67"/>
        <v>0</v>
      </c>
      <c r="DC45" s="32">
        <f t="shared" si="60"/>
        <v>0</v>
      </c>
      <c r="DD45" s="35"/>
      <c r="DE45" s="28" t="e">
        <f t="shared" si="54"/>
        <v>#VALUE!</v>
      </c>
      <c r="DF45" s="31" t="e">
        <f t="shared" si="55"/>
        <v>#VALUE!</v>
      </c>
      <c r="DG45" s="32" t="e">
        <f t="shared" si="68"/>
        <v>#VALUE!</v>
      </c>
      <c r="DH45" s="32" t="e">
        <f t="shared" si="61"/>
        <v>#VALUE!</v>
      </c>
      <c r="DI45" s="32" t="e">
        <f>DH45*(1+((EXP(((0.01374979547/2)*(((103.872/DH45)+0.2701)*(1/DH45)))*(1+(0.8*((0.01374979547/2)*(((103.872/DH45)+0.2701)*(1/DH45))))))-1)/(1+(((0.01374979547/2)*(((103.872/DH45)+0.2701)*(1/DH45)))*(1+(1.6*((0.01374979547/2)*(((103.872/DH45)+0.2701)*(1/DH45)))))*(((2*103.872)+(0.2701+DH45))/(103.872+(0.2701*DH45)))))))</f>
        <v>#VALUE!</v>
      </c>
      <c r="DK45" s="38" t="e">
        <f t="shared" si="56"/>
        <v>#VALUE!</v>
      </c>
      <c r="DL45" s="41" t="e">
        <f t="shared" si="69"/>
        <v>#VALUE!</v>
      </c>
      <c r="DM45" s="38" t="e">
        <f t="shared" si="70"/>
        <v>#VALUE!</v>
      </c>
      <c r="DN45" s="32" t="e">
        <f t="shared" si="63"/>
        <v>#VALUE!</v>
      </c>
      <c r="DO45" s="32" t="e">
        <f t="shared" si="71"/>
        <v>#VALUE!</v>
      </c>
      <c r="DQ45" s="38" t="str">
        <f t="shared" si="57"/>
        <v/>
      </c>
      <c r="DR45" s="29" t="e">
        <f t="shared" si="72"/>
        <v>#VALUE!</v>
      </c>
      <c r="DS45" s="38" t="e">
        <f t="shared" si="73"/>
        <v>#VALUE!</v>
      </c>
      <c r="DT45" s="32" t="e">
        <f t="shared" si="64"/>
        <v>#VALUE!</v>
      </c>
      <c r="DU45" s="32" t="e">
        <f t="shared" si="65"/>
        <v>#VALUE!</v>
      </c>
      <c r="DW45" s="38" t="e">
        <f t="shared" si="74"/>
        <v>#VALUE!</v>
      </c>
      <c r="DX45" s="42" t="e">
        <f t="shared" si="75"/>
        <v>#VALUE!</v>
      </c>
      <c r="DY45" s="38" t="e">
        <f t="shared" si="76"/>
        <v>#VALUE!</v>
      </c>
      <c r="DZ45" s="42" t="e">
        <f t="shared" si="77"/>
        <v>#VALUE!</v>
      </c>
      <c r="EA45" s="38" t="e">
        <f t="shared" si="78"/>
        <v>#VALUE!</v>
      </c>
      <c r="EB45" s="42" t="e">
        <f t="shared" si="79"/>
        <v>#VALUE!</v>
      </c>
    </row>
    <row r="46" spans="1:132" ht="11.45" customHeight="1" x14ac:dyDescent="0.2">
      <c r="A46" s="346" t="str">
        <f t="shared" si="39"/>
        <v/>
      </c>
      <c r="B46" s="346"/>
      <c r="C46" s="346"/>
      <c r="D46" s="346"/>
      <c r="E46" s="346"/>
      <c r="F46" s="346"/>
      <c r="G46" s="346"/>
      <c r="H46" s="346"/>
      <c r="I46" s="318" t="str">
        <f t="shared" si="40"/>
        <v/>
      </c>
      <c r="J46" s="318"/>
      <c r="K46" s="318"/>
      <c r="L46" s="318"/>
      <c r="M46" s="318"/>
      <c r="N46" s="318"/>
      <c r="O46" s="318"/>
      <c r="P46" s="443" t="str">
        <f t="shared" si="80"/>
        <v/>
      </c>
      <c r="Q46" s="443"/>
      <c r="R46" s="443"/>
      <c r="S46" s="443"/>
      <c r="T46" s="443"/>
      <c r="U46" s="308" t="str">
        <f t="shared" si="41"/>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si="58"/>
        <v/>
      </c>
      <c r="BE46" s="311"/>
      <c r="BF46" s="311"/>
      <c r="BG46" s="311"/>
      <c r="BH46" s="311"/>
      <c r="BI46" s="310" t="str">
        <f t="shared" si="42"/>
        <v/>
      </c>
      <c r="BJ46" s="310"/>
      <c r="BK46" s="310"/>
      <c r="BL46" s="310"/>
      <c r="BM46" s="310"/>
      <c r="BN46" s="311" t="str">
        <f t="shared" si="43"/>
        <v/>
      </c>
      <c r="BO46" s="311"/>
      <c r="BP46" s="311"/>
      <c r="BQ46" s="311"/>
      <c r="BR46" s="311"/>
      <c r="BS46" s="332" t="str">
        <f t="shared" si="44"/>
        <v/>
      </c>
      <c r="BT46" s="332"/>
      <c r="BU46" s="332"/>
      <c r="BV46" s="332"/>
      <c r="BW46" s="332"/>
      <c r="BX46" s="311" t="str">
        <f t="shared" si="45"/>
        <v/>
      </c>
      <c r="BY46" s="311"/>
      <c r="BZ46" s="311"/>
      <c r="CA46" s="311"/>
      <c r="CB46" s="311"/>
      <c r="CC46" s="311" t="str">
        <f t="shared" si="46"/>
        <v/>
      </c>
      <c r="CD46" s="311"/>
      <c r="CE46" s="311"/>
      <c r="CF46" s="311"/>
      <c r="CG46" s="311"/>
      <c r="CH46" s="55"/>
      <c r="CN46" s="87" t="s">
        <v>201</v>
      </c>
      <c r="CP46" s="87">
        <f t="shared" si="47"/>
        <v>0</v>
      </c>
      <c r="CR46" s="28" t="e">
        <f t="shared" si="48"/>
        <v>#VALUE!</v>
      </c>
      <c r="CS46" s="29" t="str">
        <f t="shared" si="49"/>
        <v/>
      </c>
      <c r="CU46" s="28">
        <f t="shared" si="50"/>
        <v>32</v>
      </c>
      <c r="CV46" s="31">
        <f t="shared" si="51"/>
        <v>32</v>
      </c>
      <c r="CW46" s="32">
        <f t="shared" si="66"/>
        <v>32</v>
      </c>
      <c r="CX46" s="32">
        <f t="shared" si="59"/>
        <v>32</v>
      </c>
      <c r="CY46" s="26"/>
      <c r="CZ46" s="28">
        <f t="shared" si="52"/>
        <v>0</v>
      </c>
      <c r="DA46" s="28">
        <f t="shared" si="53"/>
        <v>0</v>
      </c>
      <c r="DB46" s="34">
        <f t="shared" si="67"/>
        <v>0</v>
      </c>
      <c r="DC46" s="32">
        <f t="shared" si="60"/>
        <v>0</v>
      </c>
      <c r="DD46" s="35"/>
      <c r="DE46" s="28" t="e">
        <f t="shared" si="54"/>
        <v>#VALUE!</v>
      </c>
      <c r="DF46" s="31" t="e">
        <f t="shared" si="55"/>
        <v>#VALUE!</v>
      </c>
      <c r="DG46" s="32" t="e">
        <f t="shared" si="68"/>
        <v>#VALUE!</v>
      </c>
      <c r="DH46" s="32" t="e">
        <f t="shared" si="61"/>
        <v>#VALUE!</v>
      </c>
      <c r="DI46" s="32" t="e">
        <f t="shared" si="62"/>
        <v>#VALUE!</v>
      </c>
      <c r="DK46" s="38" t="e">
        <f t="shared" si="56"/>
        <v>#VALUE!</v>
      </c>
      <c r="DL46" s="41" t="e">
        <f t="shared" si="69"/>
        <v>#VALUE!</v>
      </c>
      <c r="DM46" s="38" t="e">
        <f t="shared" si="70"/>
        <v>#VALUE!</v>
      </c>
      <c r="DN46" s="32" t="e">
        <f t="shared" si="63"/>
        <v>#VALUE!</v>
      </c>
      <c r="DO46" s="32" t="e">
        <f t="shared" si="71"/>
        <v>#VALUE!</v>
      </c>
      <c r="DQ46" s="38" t="str">
        <f t="shared" si="57"/>
        <v/>
      </c>
      <c r="DR46" s="29" t="e">
        <f t="shared" si="72"/>
        <v>#VALUE!</v>
      </c>
      <c r="DS46" s="38" t="e">
        <f t="shared" si="73"/>
        <v>#VALUE!</v>
      </c>
      <c r="DT46" s="32" t="e">
        <f t="shared" si="64"/>
        <v>#VALUE!</v>
      </c>
      <c r="DU46" s="32" t="e">
        <f t="shared" si="65"/>
        <v>#VALUE!</v>
      </c>
      <c r="DW46" s="38" t="e">
        <f t="shared" si="74"/>
        <v>#VALUE!</v>
      </c>
      <c r="DX46" s="42" t="e">
        <f t="shared" si="75"/>
        <v>#VALUE!</v>
      </c>
      <c r="DY46" s="38" t="e">
        <f t="shared" si="76"/>
        <v>#VALUE!</v>
      </c>
      <c r="DZ46" s="42" t="e">
        <f t="shared" si="77"/>
        <v>#VALUE!</v>
      </c>
      <c r="EA46" s="38" t="e">
        <f t="shared" si="78"/>
        <v>#VALUE!</v>
      </c>
      <c r="EB46" s="42" t="e">
        <f t="shared" si="79"/>
        <v>#VALUE!</v>
      </c>
    </row>
    <row r="47" spans="1:132" ht="11.45" customHeight="1" x14ac:dyDescent="0.2">
      <c r="A47" s="346" t="str">
        <f t="shared" si="39"/>
        <v/>
      </c>
      <c r="B47" s="346"/>
      <c r="C47" s="346"/>
      <c r="D47" s="346"/>
      <c r="E47" s="346"/>
      <c r="F47" s="346"/>
      <c r="G47" s="346"/>
      <c r="H47" s="346"/>
      <c r="I47" s="318" t="str">
        <f t="shared" si="40"/>
        <v/>
      </c>
      <c r="J47" s="318"/>
      <c r="K47" s="318"/>
      <c r="L47" s="318"/>
      <c r="M47" s="318"/>
      <c r="N47" s="318"/>
      <c r="O47" s="318"/>
      <c r="P47" s="443" t="str">
        <f t="shared" si="80"/>
        <v/>
      </c>
      <c r="Q47" s="443"/>
      <c r="R47" s="443"/>
      <c r="S47" s="443"/>
      <c r="T47" s="443"/>
      <c r="U47" s="308" t="str">
        <f t="shared" si="41"/>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8"/>
        <v/>
      </c>
      <c r="BE47" s="311"/>
      <c r="BF47" s="311"/>
      <c r="BG47" s="311"/>
      <c r="BH47" s="311"/>
      <c r="BI47" s="310" t="str">
        <f t="shared" si="42"/>
        <v/>
      </c>
      <c r="BJ47" s="310"/>
      <c r="BK47" s="310"/>
      <c r="BL47" s="310"/>
      <c r="BM47" s="310"/>
      <c r="BN47" s="311" t="str">
        <f t="shared" si="43"/>
        <v/>
      </c>
      <c r="BO47" s="311"/>
      <c r="BP47" s="311"/>
      <c r="BQ47" s="311"/>
      <c r="BR47" s="311"/>
      <c r="BS47" s="332" t="str">
        <f t="shared" si="44"/>
        <v/>
      </c>
      <c r="BT47" s="332"/>
      <c r="BU47" s="332"/>
      <c r="BV47" s="332"/>
      <c r="BW47" s="332"/>
      <c r="BX47" s="311" t="str">
        <f t="shared" si="45"/>
        <v/>
      </c>
      <c r="BY47" s="311"/>
      <c r="BZ47" s="311"/>
      <c r="CA47" s="311"/>
      <c r="CB47" s="311"/>
      <c r="CC47" s="311" t="str">
        <f t="shared" si="46"/>
        <v/>
      </c>
      <c r="CD47" s="311"/>
      <c r="CE47" s="311"/>
      <c r="CF47" s="311"/>
      <c r="CG47" s="311"/>
      <c r="CH47" s="55"/>
      <c r="CN47" s="87" t="s">
        <v>202</v>
      </c>
      <c r="CP47" s="87">
        <f t="shared" si="47"/>
        <v>0</v>
      </c>
      <c r="CR47" s="28" t="e">
        <f t="shared" si="48"/>
        <v>#VALUE!</v>
      </c>
      <c r="CS47" s="29" t="str">
        <f t="shared" si="49"/>
        <v/>
      </c>
      <c r="CU47" s="28">
        <f t="shared" si="50"/>
        <v>32</v>
      </c>
      <c r="CV47" s="31">
        <f t="shared" si="51"/>
        <v>32</v>
      </c>
      <c r="CW47" s="32">
        <f t="shared" si="66"/>
        <v>32</v>
      </c>
      <c r="CX47" s="32">
        <f t="shared" si="59"/>
        <v>32</v>
      </c>
      <c r="CY47" s="26"/>
      <c r="CZ47" s="28">
        <f t="shared" si="52"/>
        <v>0</v>
      </c>
      <c r="DA47" s="28">
        <f t="shared" si="53"/>
        <v>0</v>
      </c>
      <c r="DB47" s="34">
        <f t="shared" si="67"/>
        <v>0</v>
      </c>
      <c r="DC47" s="32">
        <f t="shared" si="60"/>
        <v>0</v>
      </c>
      <c r="DD47" s="35"/>
      <c r="DE47" s="28" t="e">
        <f t="shared" si="54"/>
        <v>#VALUE!</v>
      </c>
      <c r="DF47" s="31" t="e">
        <f t="shared" si="55"/>
        <v>#VALUE!</v>
      </c>
      <c r="DG47" s="32" t="e">
        <f t="shared" si="68"/>
        <v>#VALUE!</v>
      </c>
      <c r="DH47" s="32" t="e">
        <f t="shared" si="61"/>
        <v>#VALUE!</v>
      </c>
      <c r="DI47" s="32" t="e">
        <f t="shared" si="62"/>
        <v>#VALUE!</v>
      </c>
      <c r="DK47" s="38" t="e">
        <f t="shared" si="56"/>
        <v>#VALUE!</v>
      </c>
      <c r="DL47" s="41" t="e">
        <f t="shared" si="69"/>
        <v>#VALUE!</v>
      </c>
      <c r="DM47" s="38" t="e">
        <f t="shared" si="70"/>
        <v>#VALUE!</v>
      </c>
      <c r="DN47" s="32" t="e">
        <f t="shared" si="63"/>
        <v>#VALUE!</v>
      </c>
      <c r="DO47" s="32" t="e">
        <f t="shared" si="71"/>
        <v>#VALUE!</v>
      </c>
      <c r="DQ47" s="38" t="str">
        <f t="shared" si="57"/>
        <v/>
      </c>
      <c r="DR47" s="29" t="e">
        <f t="shared" si="72"/>
        <v>#VALUE!</v>
      </c>
      <c r="DS47" s="38" t="e">
        <f t="shared" si="73"/>
        <v>#VALUE!</v>
      </c>
      <c r="DT47" s="32" t="e">
        <f t="shared" si="64"/>
        <v>#VALUE!</v>
      </c>
      <c r="DU47" s="32" t="e">
        <f t="shared" si="65"/>
        <v>#VALUE!</v>
      </c>
      <c r="DW47" s="38" t="e">
        <f t="shared" si="74"/>
        <v>#VALUE!</v>
      </c>
      <c r="DX47" s="42" t="e">
        <f t="shared" si="75"/>
        <v>#VALUE!</v>
      </c>
      <c r="DY47" s="38" t="e">
        <f t="shared" si="76"/>
        <v>#VALUE!</v>
      </c>
      <c r="DZ47" s="42" t="e">
        <f t="shared" si="77"/>
        <v>#VALUE!</v>
      </c>
      <c r="EA47" s="38" t="e">
        <f t="shared" si="78"/>
        <v>#VALUE!</v>
      </c>
      <c r="EB47" s="42" t="e">
        <f t="shared" si="79"/>
        <v>#VALUE!</v>
      </c>
    </row>
    <row r="48" spans="1:132" ht="11.45" customHeight="1" x14ac:dyDescent="0.2">
      <c r="A48" s="346" t="str">
        <f t="shared" si="39"/>
        <v/>
      </c>
      <c r="B48" s="346"/>
      <c r="C48" s="346"/>
      <c r="D48" s="346"/>
      <c r="E48" s="346"/>
      <c r="F48" s="346"/>
      <c r="G48" s="346"/>
      <c r="H48" s="346"/>
      <c r="I48" s="318" t="str">
        <f t="shared" si="40"/>
        <v/>
      </c>
      <c r="J48" s="318"/>
      <c r="K48" s="318"/>
      <c r="L48" s="318"/>
      <c r="M48" s="318"/>
      <c r="N48" s="318"/>
      <c r="O48" s="318"/>
      <c r="P48" s="443" t="str">
        <f t="shared" si="80"/>
        <v/>
      </c>
      <c r="Q48" s="443"/>
      <c r="R48" s="443"/>
      <c r="S48" s="443"/>
      <c r="T48" s="443"/>
      <c r="U48" s="308" t="str">
        <f t="shared" si="41"/>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8"/>
        <v/>
      </c>
      <c r="BE48" s="311"/>
      <c r="BF48" s="311"/>
      <c r="BG48" s="311"/>
      <c r="BH48" s="311"/>
      <c r="BI48" s="310" t="str">
        <f t="shared" si="42"/>
        <v/>
      </c>
      <c r="BJ48" s="310"/>
      <c r="BK48" s="310"/>
      <c r="BL48" s="310"/>
      <c r="BM48" s="310"/>
      <c r="BN48" s="311" t="str">
        <f t="shared" si="43"/>
        <v/>
      </c>
      <c r="BO48" s="311"/>
      <c r="BP48" s="311"/>
      <c r="BQ48" s="311"/>
      <c r="BR48" s="311"/>
      <c r="BS48" s="332" t="str">
        <f t="shared" si="44"/>
        <v/>
      </c>
      <c r="BT48" s="332"/>
      <c r="BU48" s="332"/>
      <c r="BV48" s="332"/>
      <c r="BW48" s="332"/>
      <c r="BX48" s="311" t="str">
        <f t="shared" si="45"/>
        <v/>
      </c>
      <c r="BY48" s="311"/>
      <c r="BZ48" s="311"/>
      <c r="CA48" s="311"/>
      <c r="CB48" s="311"/>
      <c r="CC48" s="311" t="str">
        <f t="shared" si="46"/>
        <v/>
      </c>
      <c r="CD48" s="311"/>
      <c r="CE48" s="311"/>
      <c r="CF48" s="311"/>
      <c r="CG48" s="311"/>
      <c r="CH48" s="55"/>
      <c r="CN48" s="87" t="s">
        <v>203</v>
      </c>
      <c r="CP48" s="2">
        <f t="shared" si="47"/>
        <v>0</v>
      </c>
      <c r="CR48" s="45" t="e">
        <f t="shared" si="48"/>
        <v>#VALUE!</v>
      </c>
      <c r="CS48" s="46" t="str">
        <f t="shared" si="49"/>
        <v/>
      </c>
      <c r="CU48" s="45">
        <f t="shared" si="50"/>
        <v>32</v>
      </c>
      <c r="CV48" s="47">
        <f t="shared" si="51"/>
        <v>32</v>
      </c>
      <c r="CW48" s="48">
        <f>ROUND(CU48,1)</f>
        <v>32</v>
      </c>
      <c r="CX48" s="48">
        <f t="shared" si="59"/>
        <v>32</v>
      </c>
      <c r="CZ48" s="45">
        <f t="shared" si="52"/>
        <v>0</v>
      </c>
      <c r="DA48" s="45">
        <f t="shared" si="53"/>
        <v>0</v>
      </c>
      <c r="DB48" s="49">
        <f>ROUND(CZ48,1)</f>
        <v>0</v>
      </c>
      <c r="DC48" s="48">
        <f t="shared" si="60"/>
        <v>0</v>
      </c>
      <c r="DD48" s="35"/>
      <c r="DE48" s="45" t="e">
        <f t="shared" si="54"/>
        <v>#VALUE!</v>
      </c>
      <c r="DF48" s="47" t="e">
        <f t="shared" si="55"/>
        <v>#VALUE!</v>
      </c>
      <c r="DG48" s="48" t="e">
        <f>ROUND(DE48,1)</f>
        <v>#VALUE!</v>
      </c>
      <c r="DH48" s="48" t="e">
        <f t="shared" si="61"/>
        <v>#VALUE!</v>
      </c>
      <c r="DI48" s="48" t="e">
        <f t="shared" si="62"/>
        <v>#VALUE!</v>
      </c>
      <c r="DK48" s="50" t="e">
        <f t="shared" si="56"/>
        <v>#VALUE!</v>
      </c>
      <c r="DL48" s="51" t="e">
        <f>ROUND(DK48*5,2)/5</f>
        <v>#VALUE!</v>
      </c>
      <c r="DM48" s="50" t="e">
        <f>ROUND(DK48,4)</f>
        <v>#VALUE!</v>
      </c>
      <c r="DN48" s="48" t="e">
        <f t="shared" si="63"/>
        <v>#VALUE!</v>
      </c>
      <c r="DO48" s="48" t="e">
        <f>DN48*(1+((EXP(((0.01374979547/2)*(((103.872/DN48)+0.2701)*(1/DN48)))*(1+(0.8*((0.01374979547/2)*(((103.872/DN48)+0.2701)*(1/DN48))))))-1)/(1+(((0.01374979547/2)*(((103.872/DN48)+0.2701)*(1/DN48)))*(1+(1.6*((0.01374979547/2)*(((103.872/DN48)+0.2701)*(1/DN48)))))*(((2*103.872)+(0.2701+DN48))/(103.872+(0.2701*DN48)))))))</f>
        <v>#VALUE!</v>
      </c>
      <c r="DQ48" s="50" t="str">
        <f t="shared" si="57"/>
        <v/>
      </c>
      <c r="DR48" s="46" t="e">
        <f>ROUND(DQ48*5,2)/5</f>
        <v>#VALUE!</v>
      </c>
      <c r="DS48" s="50" t="e">
        <f>ROUND(DQ48,4)</f>
        <v>#VALUE!</v>
      </c>
      <c r="DT48" s="48" t="e">
        <f t="shared" si="64"/>
        <v>#VALUE!</v>
      </c>
      <c r="DU48" s="48" t="e">
        <f t="shared" si="65"/>
        <v>#VALUE!</v>
      </c>
      <c r="DW48" s="50" t="e">
        <f>ROUND(EXP(-((103.872/(((141.5/(DF48+131.5))*999.012)^2))+(0.2701/((141.5/(DF48+131.5))*999.012)))*(CV48-60)*(1+(0.8*((103.872/(((141.5/(DF48+131.5))*999.012)^2))+(0.2701/((141.5/(DF48+131.5))*999.012)))*(CV48-60)))),4)</f>
        <v>#VALUE!</v>
      </c>
      <c r="DX48" s="52" t="e">
        <f>ROUND(EXP(-(((103.872/DI48)+0.2701)*(1/DI48))*(CX48-60.0068749)*(1+(0.8*(((103.872/DI48)+0.2701)*(1/DI48))*((CX48-60.0068749)+0.01374979547)))),5)</f>
        <v>#VALUE!</v>
      </c>
      <c r="DY48" s="50" t="e">
        <f>ROUND(EXP(-((103.872/((DL48*999.012)^2))+(0.2701/(DL48*999.012)))*(CV48-60)*(1+(0.8*((103.872/((DL48*999.012)^2))+(0.2701/(DL48*999.012)))*(CV48-60)))),4)</f>
        <v>#VALUE!</v>
      </c>
      <c r="DZ48" s="52" t="e">
        <f>ROUND(EXP(-(((103.872/DO48)+0.2701)*(1/DO48))*(CX48-60.0068749)*(1+(0.8*(((103.872/DO48)+0.2701)*(1/DO48))*((CX48-60.0068749)+0.01374979547)))),5)</f>
        <v>#VALUE!</v>
      </c>
      <c r="EA48" s="50" t="e">
        <f>ROUND(EXP(-((186.9696/((DR48*1000)^2))+(0.4862/(DR48*1000)))*(DA48-15)*(1+(0.8*((186.9696/((DR48*1000)^2))+(0.4862/(DR48*1000)))*(DA48-15)))),4)</f>
        <v>#VALUE!</v>
      </c>
      <c r="EB48" s="52" t="e">
        <f>ROUND(EXP(-((((186.9696/DU48)+0.4862)*(1/DU48)))*(DC48-15.00367851)*(1+(0.8*((((186.9696/DU48)+0.4862)*(1/DU48)))*((DC48-15.00367851)+0.01374979547)))),5)</f>
        <v>#VALUE!</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t="str">
        <f>IF(COUNT(AJ37:AN48)=0,"",ROUND(SUM(AJ37:AN48),3))</f>
        <v/>
      </c>
      <c r="AK49" s="321"/>
      <c r="AL49" s="321"/>
      <c r="AM49" s="321"/>
      <c r="AN49" s="322"/>
      <c r="AO49" s="341" t="s">
        <v>214</v>
      </c>
      <c r="AP49" s="341"/>
      <c r="AQ49" s="341"/>
      <c r="AR49" s="341"/>
      <c r="AS49" s="341"/>
      <c r="AT49" s="320" t="str">
        <f>IF(COUNT(AT37:AX48)=0,"",ROUND(SUM(AT37:AX48),3))</f>
        <v/>
      </c>
      <c r="AU49" s="321"/>
      <c r="AV49" s="321"/>
      <c r="AW49" s="321"/>
      <c r="AX49" s="322"/>
      <c r="AY49" s="341" t="s">
        <v>211</v>
      </c>
      <c r="AZ49" s="341"/>
      <c r="BA49" s="341"/>
      <c r="BB49" s="341"/>
      <c r="BC49" s="341"/>
      <c r="BD49" s="320" t="str">
        <f>IF(COUNT(BD37:BH48)=0,"",ROUND(SUM(BD37:BH48),3))</f>
        <v/>
      </c>
      <c r="BE49" s="321"/>
      <c r="BF49" s="321"/>
      <c r="BG49" s="321"/>
      <c r="BH49" s="322"/>
      <c r="BI49" s="341" t="s">
        <v>210</v>
      </c>
      <c r="BJ49" s="341"/>
      <c r="BK49" s="341"/>
      <c r="BL49" s="341"/>
      <c r="BM49" s="341"/>
      <c r="BN49" s="320" t="str">
        <f>IF(COUNT(BN37:BR48)=0,"",ROUND(SUM(BN37:BR48),3))</f>
        <v/>
      </c>
      <c r="BO49" s="321"/>
      <c r="BP49" s="321"/>
      <c r="BQ49" s="321"/>
      <c r="BR49" s="322"/>
      <c r="BS49" s="341" t="s">
        <v>209</v>
      </c>
      <c r="BT49" s="341"/>
      <c r="BU49" s="341"/>
      <c r="BV49" s="341"/>
      <c r="BW49" s="341"/>
      <c r="BX49" s="320" t="str">
        <f>IF(COUNT(BX37:CB48)=0,"",ROUND(SUM(BX37:CB48),3))</f>
        <v/>
      </c>
      <c r="BY49" s="321"/>
      <c r="BZ49" s="321"/>
      <c r="CA49" s="321"/>
      <c r="CB49" s="322"/>
      <c r="CC49" s="320" t="str">
        <f>IF(COUNT(CC37:CG48)=0,"",ROUND(SUM(CC37:CG48),3))</f>
        <v/>
      </c>
      <c r="CD49" s="321"/>
      <c r="CE49" s="321"/>
      <c r="CF49" s="321"/>
      <c r="CG49" s="322"/>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row>
    <row r="51" spans="1:131" ht="11.45" hidden="1" customHeight="1" x14ac:dyDescent="0.2">
      <c r="A51" s="336" t="s">
        <v>446</v>
      </c>
      <c r="B51" s="336"/>
      <c r="C51" s="336"/>
      <c r="D51" s="336"/>
      <c r="E51" s="336"/>
      <c r="F51" s="336"/>
      <c r="G51" s="336"/>
      <c r="H51" s="336"/>
      <c r="I51" s="336"/>
      <c r="J51" s="336"/>
      <c r="K51" s="336"/>
      <c r="L51" s="336"/>
      <c r="M51" s="336"/>
      <c r="N51" s="336"/>
      <c r="O51" s="336"/>
      <c r="P51" s="336"/>
      <c r="Q51" s="336"/>
      <c r="R51" s="336"/>
      <c r="S51" s="343" t="s">
        <v>445</v>
      </c>
      <c r="T51" s="343"/>
      <c r="U51" s="343"/>
      <c r="V51" s="343"/>
      <c r="W51" s="343"/>
      <c r="X51" s="343"/>
      <c r="Y51" s="343"/>
      <c r="Z51" s="343"/>
      <c r="AA51" s="343"/>
      <c r="AB51" s="343"/>
      <c r="AC51" s="343"/>
      <c r="AD51" s="343"/>
      <c r="AE51" s="343"/>
      <c r="AF51" s="343"/>
      <c r="AG51" s="95" t="s">
        <v>0</v>
      </c>
      <c r="AH51" s="343"/>
      <c r="AI51" s="343"/>
      <c r="AJ51" s="343"/>
      <c r="AK51" s="343"/>
      <c r="AL51" s="343"/>
      <c r="AM51" s="343"/>
      <c r="AN51" s="343"/>
      <c r="AO51" s="95"/>
      <c r="AP51" s="393" t="s">
        <v>447</v>
      </c>
      <c r="AQ51" s="393"/>
      <c r="AR51" s="393"/>
      <c r="AS51" s="393"/>
      <c r="AT51" s="393"/>
      <c r="AU51" s="393"/>
      <c r="AV51" s="393"/>
      <c r="AW51" s="393"/>
      <c r="AX51" s="393"/>
      <c r="AY51" s="95" t="s">
        <v>0</v>
      </c>
      <c r="AZ51" s="343"/>
      <c r="BA51" s="343"/>
      <c r="BB51" s="343"/>
      <c r="BC51" s="343"/>
      <c r="BD51" s="343"/>
      <c r="BE51" s="343"/>
      <c r="BF51" s="343"/>
      <c r="BG51" s="96"/>
      <c r="BH51" s="365" t="s">
        <v>458</v>
      </c>
      <c r="BI51" s="365"/>
      <c r="BJ51" s="365"/>
      <c r="BK51" s="365"/>
      <c r="BL51" s="365"/>
      <c r="BM51" s="365"/>
      <c r="BN51" s="365"/>
      <c r="BO51" s="365"/>
      <c r="BP51" s="365"/>
      <c r="BQ51" s="365"/>
      <c r="BR51" s="365"/>
      <c r="BS51" s="365"/>
      <c r="BT51" s="365"/>
      <c r="BU51" s="365"/>
      <c r="BV51" s="365"/>
      <c r="BW51" s="365"/>
      <c r="BX51" s="365"/>
      <c r="BY51" s="95" t="s">
        <v>0</v>
      </c>
      <c r="BZ51" s="343"/>
      <c r="CA51" s="343"/>
      <c r="CB51" s="343"/>
      <c r="CC51" s="343"/>
      <c r="CD51" s="343"/>
      <c r="CE51" s="343"/>
      <c r="CF51" s="343"/>
      <c r="CG51" s="95"/>
    </row>
    <row r="52" spans="1:131" ht="11.45" hidden="1" customHeight="1" x14ac:dyDescent="0.2">
      <c r="A52" s="154"/>
      <c r="B52" s="154"/>
      <c r="C52" s="154"/>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N52" s="1" t="s">
        <v>222</v>
      </c>
    </row>
    <row r="53" spans="1:131" ht="11.45" hidden="1" customHeight="1" x14ac:dyDescent="0.2">
      <c r="A53" s="430" t="s">
        <v>448</v>
      </c>
      <c r="B53" s="430"/>
      <c r="C53" s="430"/>
      <c r="D53" s="430"/>
      <c r="E53" s="430"/>
      <c r="F53" s="430"/>
      <c r="G53" s="430" t="s">
        <v>197</v>
      </c>
      <c r="H53" s="430"/>
      <c r="I53" s="430"/>
      <c r="J53" s="430"/>
      <c r="K53" s="430"/>
      <c r="L53" s="430"/>
      <c r="M53" s="423" t="s">
        <v>449</v>
      </c>
      <c r="N53" s="423"/>
      <c r="O53" s="423"/>
      <c r="P53" s="423"/>
      <c r="Q53" s="423"/>
      <c r="R53" s="423"/>
      <c r="S53" s="197" t="s">
        <v>450</v>
      </c>
      <c r="T53" s="198"/>
      <c r="U53" s="198"/>
      <c r="V53" s="198"/>
      <c r="W53" s="198"/>
      <c r="X53" s="199"/>
      <c r="Y53" s="197" t="s">
        <v>451</v>
      </c>
      <c r="Z53" s="198"/>
      <c r="AA53" s="198"/>
      <c r="AB53" s="198"/>
      <c r="AC53" s="198"/>
      <c r="AD53" s="199"/>
      <c r="AE53" s="197" t="s">
        <v>84</v>
      </c>
      <c r="AF53" s="198"/>
      <c r="AG53" s="198"/>
      <c r="AH53" s="198"/>
      <c r="AI53" s="198"/>
      <c r="AJ53" s="199"/>
      <c r="AK53" s="197" t="s">
        <v>10</v>
      </c>
      <c r="AL53" s="198"/>
      <c r="AM53" s="198"/>
      <c r="AN53" s="198"/>
      <c r="AO53" s="198"/>
      <c r="AP53" s="199"/>
      <c r="AQ53" s="197" t="s">
        <v>452</v>
      </c>
      <c r="AR53" s="198"/>
      <c r="AS53" s="198"/>
      <c r="AT53" s="198"/>
      <c r="AU53" s="198"/>
      <c r="AV53" s="199"/>
      <c r="AW53" s="195"/>
      <c r="AX53" s="430" t="s">
        <v>456</v>
      </c>
      <c r="AY53" s="430"/>
      <c r="AZ53" s="430"/>
      <c r="BA53" s="430"/>
      <c r="BB53" s="430"/>
      <c r="BC53" s="430"/>
      <c r="BD53" s="430"/>
      <c r="BE53" s="430"/>
      <c r="BF53" s="430"/>
      <c r="BG53" s="430" t="s">
        <v>457</v>
      </c>
      <c r="BH53" s="430"/>
      <c r="BI53" s="430"/>
      <c r="BJ53" s="430"/>
      <c r="BK53" s="430"/>
      <c r="BL53" s="430"/>
      <c r="BM53" s="430"/>
      <c r="BN53" s="430"/>
      <c r="BO53" s="430"/>
      <c r="BP53" s="430"/>
      <c r="BQ53" s="430" t="s">
        <v>439</v>
      </c>
      <c r="BR53" s="430"/>
      <c r="BS53" s="430"/>
      <c r="BT53" s="430"/>
      <c r="BU53" s="430"/>
      <c r="BV53" s="430"/>
      <c r="BW53" s="430"/>
      <c r="BX53" s="430"/>
      <c r="BY53" s="430" t="s">
        <v>440</v>
      </c>
      <c r="BZ53" s="430"/>
      <c r="CA53" s="430"/>
      <c r="CB53" s="430"/>
      <c r="CC53" s="430"/>
      <c r="CD53" s="430"/>
      <c r="CE53" s="430"/>
      <c r="CF53" s="430"/>
      <c r="CG53" s="430"/>
      <c r="CN53" s="100">
        <f>IF(BI17=CN44,1,IF(BI17=CN45,2,IF(BI17=CN46,3,IF(BI17=CN47,4,IF(BI17=CN48,5,6)))))</f>
        <v>6</v>
      </c>
    </row>
    <row r="54" spans="1:131" ht="11.45" hidden="1" customHeight="1" x14ac:dyDescent="0.2">
      <c r="A54" s="430"/>
      <c r="B54" s="430"/>
      <c r="C54" s="430"/>
      <c r="D54" s="430"/>
      <c r="E54" s="430"/>
      <c r="F54" s="430"/>
      <c r="G54" s="430"/>
      <c r="H54" s="430"/>
      <c r="I54" s="430"/>
      <c r="J54" s="430"/>
      <c r="K54" s="430"/>
      <c r="L54" s="430"/>
      <c r="M54" s="423"/>
      <c r="N54" s="423"/>
      <c r="O54" s="423"/>
      <c r="P54" s="423"/>
      <c r="Q54" s="423"/>
      <c r="R54" s="423"/>
      <c r="S54" s="333" t="s">
        <v>454</v>
      </c>
      <c r="T54" s="209"/>
      <c r="U54" s="209"/>
      <c r="V54" s="209"/>
      <c r="W54" s="209"/>
      <c r="X54" s="334"/>
      <c r="Y54" s="333" t="s">
        <v>454</v>
      </c>
      <c r="Z54" s="209"/>
      <c r="AA54" s="209"/>
      <c r="AB54" s="209"/>
      <c r="AC54" s="209"/>
      <c r="AD54" s="334"/>
      <c r="AE54" s="424" t="s">
        <v>455</v>
      </c>
      <c r="AF54" s="425"/>
      <c r="AG54" s="425"/>
      <c r="AH54" s="425"/>
      <c r="AI54" s="425"/>
      <c r="AJ54" s="426"/>
      <c r="AK54" s="333" t="str">
        <f>IF(BI17="","",BI17)</f>
        <v>T54B-2004</v>
      </c>
      <c r="AL54" s="209"/>
      <c r="AM54" s="209"/>
      <c r="AN54" s="209"/>
      <c r="AO54" s="209"/>
      <c r="AP54" s="334"/>
      <c r="AQ54" s="333" t="str">
        <f>AJ36</f>
        <v>M³</v>
      </c>
      <c r="AR54" s="209"/>
      <c r="AS54" s="209"/>
      <c r="AT54" s="209"/>
      <c r="AU54" s="209"/>
      <c r="AV54" s="334"/>
      <c r="AW54" s="195"/>
      <c r="AX54" s="430"/>
      <c r="AY54" s="430"/>
      <c r="AZ54" s="430"/>
      <c r="BA54" s="430"/>
      <c r="BB54" s="430"/>
      <c r="BC54" s="430"/>
      <c r="BD54" s="430"/>
      <c r="BE54" s="430"/>
      <c r="BF54" s="430"/>
      <c r="BG54" s="430"/>
      <c r="BH54" s="430"/>
      <c r="BI54" s="430"/>
      <c r="BJ54" s="430"/>
      <c r="BK54" s="430"/>
      <c r="BL54" s="430"/>
      <c r="BM54" s="430"/>
      <c r="BN54" s="430"/>
      <c r="BO54" s="430"/>
      <c r="BP54" s="430"/>
      <c r="BQ54" s="430"/>
      <c r="BR54" s="430"/>
      <c r="BS54" s="430"/>
      <c r="BT54" s="430"/>
      <c r="BU54" s="430"/>
      <c r="BV54" s="430"/>
      <c r="BW54" s="430"/>
      <c r="BX54" s="430"/>
      <c r="BY54" s="430"/>
      <c r="BZ54" s="430"/>
      <c r="CA54" s="430"/>
      <c r="CB54" s="430"/>
      <c r="CC54" s="430"/>
      <c r="CD54" s="430"/>
      <c r="CE54" s="430"/>
      <c r="CF54" s="430"/>
      <c r="CG54" s="430"/>
      <c r="CN54" s="91"/>
    </row>
    <row r="55" spans="1:131" ht="11.45" hidden="1" customHeight="1" x14ac:dyDescent="0.2">
      <c r="A55" s="423"/>
      <c r="B55" s="423"/>
      <c r="C55" s="423"/>
      <c r="D55" s="423"/>
      <c r="E55" s="423"/>
      <c r="F55" s="423"/>
      <c r="G55" s="423"/>
      <c r="H55" s="423"/>
      <c r="I55" s="423"/>
      <c r="J55" s="423"/>
      <c r="K55" s="423"/>
      <c r="L55" s="423"/>
      <c r="M55" s="423"/>
      <c r="N55" s="423"/>
      <c r="O55" s="423"/>
      <c r="P55" s="423"/>
      <c r="Q55" s="423"/>
      <c r="R55" s="423"/>
      <c r="S55" s="423"/>
      <c r="T55" s="423"/>
      <c r="U55" s="423"/>
      <c r="V55" s="423"/>
      <c r="W55" s="423"/>
      <c r="X55" s="423"/>
      <c r="Y55" s="423"/>
      <c r="Z55" s="423"/>
      <c r="AA55" s="423"/>
      <c r="AB55" s="423"/>
      <c r="AC55" s="423"/>
      <c r="AD55" s="423"/>
      <c r="AE55" s="423"/>
      <c r="AF55" s="423"/>
      <c r="AG55" s="423"/>
      <c r="AH55" s="423"/>
      <c r="AI55" s="423"/>
      <c r="AJ55" s="423"/>
      <c r="AK55" s="423"/>
      <c r="AL55" s="423"/>
      <c r="AM55" s="423"/>
      <c r="AN55" s="423"/>
      <c r="AO55" s="423"/>
      <c r="AP55" s="423"/>
      <c r="AQ55" s="423"/>
      <c r="AR55" s="423"/>
      <c r="AS55" s="423"/>
      <c r="AT55" s="423"/>
      <c r="AU55" s="423"/>
      <c r="AV55" s="423"/>
      <c r="AW55" s="195"/>
      <c r="AX55" s="311">
        <f>IF('Bunker Certificate 1'!U25="","",'Bunker Certificate 1'!U25)</f>
        <v>0.83579999999999999</v>
      </c>
      <c r="AY55" s="311"/>
      <c r="AZ55" s="311"/>
      <c r="BA55" s="311"/>
      <c r="BB55" s="311"/>
      <c r="BC55" s="311"/>
      <c r="BD55" s="311"/>
      <c r="BE55" s="311"/>
      <c r="BF55" s="311"/>
      <c r="BG55" s="311" t="str">
        <f>IF(OR(BQ55="",BY55=""),"",BY55/BQ55)</f>
        <v/>
      </c>
      <c r="BH55" s="311"/>
      <c r="BI55" s="311"/>
      <c r="BJ55" s="311"/>
      <c r="BK55" s="311"/>
      <c r="BL55" s="311"/>
      <c r="BM55" s="311"/>
      <c r="BN55" s="311"/>
      <c r="BO55" s="311"/>
      <c r="BP55" s="311"/>
      <c r="BQ55" s="423">
        <f>IF(AX55="","",AX55-0.0011)</f>
        <v>0.8347</v>
      </c>
      <c r="BR55" s="423"/>
      <c r="BS55" s="423"/>
      <c r="BT55" s="423"/>
      <c r="BU55" s="423"/>
      <c r="BV55" s="423"/>
      <c r="BW55" s="423"/>
      <c r="BX55" s="423"/>
      <c r="BY55" s="423" t="str">
        <f>IF(BR11="","",BR11)</f>
        <v/>
      </c>
      <c r="BZ55" s="423"/>
      <c r="CA55" s="423"/>
      <c r="CB55" s="423"/>
      <c r="CC55" s="423"/>
      <c r="CD55" s="423"/>
      <c r="CE55" s="423"/>
      <c r="CF55" s="423"/>
      <c r="CG55" s="423"/>
    </row>
    <row r="56" spans="1:131" ht="11.45" hidden="1" customHeight="1" x14ac:dyDescent="0.2">
      <c r="A56" s="423"/>
      <c r="B56" s="423"/>
      <c r="C56" s="423"/>
      <c r="D56" s="423"/>
      <c r="E56" s="423"/>
      <c r="F56" s="423"/>
      <c r="G56" s="423"/>
      <c r="H56" s="423"/>
      <c r="I56" s="423"/>
      <c r="J56" s="423"/>
      <c r="K56" s="423"/>
      <c r="L56" s="423"/>
      <c r="M56" s="423"/>
      <c r="N56" s="423"/>
      <c r="O56" s="423"/>
      <c r="P56" s="423"/>
      <c r="Q56" s="423"/>
      <c r="R56" s="423"/>
      <c r="S56" s="423"/>
      <c r="T56" s="423"/>
      <c r="U56" s="423"/>
      <c r="V56" s="423"/>
      <c r="W56" s="423"/>
      <c r="X56" s="423"/>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195"/>
      <c r="AX56" s="311"/>
      <c r="AY56" s="311"/>
      <c r="AZ56" s="311"/>
      <c r="BA56" s="311"/>
      <c r="BB56" s="311"/>
      <c r="BC56" s="311"/>
      <c r="BD56" s="311"/>
      <c r="BE56" s="311"/>
      <c r="BF56" s="311"/>
      <c r="BG56" s="311"/>
      <c r="BH56" s="311"/>
      <c r="BI56" s="311"/>
      <c r="BJ56" s="311"/>
      <c r="BK56" s="311"/>
      <c r="BL56" s="311"/>
      <c r="BM56" s="311"/>
      <c r="BN56" s="311"/>
      <c r="BO56" s="311"/>
      <c r="BP56" s="311"/>
      <c r="BQ56" s="423"/>
      <c r="BR56" s="423"/>
      <c r="BS56" s="423"/>
      <c r="BT56" s="423"/>
      <c r="BU56" s="423"/>
      <c r="BV56" s="423"/>
      <c r="BW56" s="423"/>
      <c r="BX56" s="423"/>
      <c r="BY56" s="423"/>
      <c r="BZ56" s="423"/>
      <c r="CA56" s="423"/>
      <c r="CB56" s="423"/>
      <c r="CC56" s="423"/>
      <c r="CD56" s="423"/>
      <c r="CE56" s="423"/>
      <c r="CF56" s="423"/>
      <c r="CG56" s="423"/>
      <c r="CN56" s="1" t="s">
        <v>425</v>
      </c>
    </row>
    <row r="57" spans="1:131" ht="11.45" hidden="1" customHeight="1" x14ac:dyDescent="0.2">
      <c r="A57" s="423"/>
      <c r="B57" s="423"/>
      <c r="C57" s="423"/>
      <c r="D57" s="423"/>
      <c r="E57" s="423"/>
      <c r="F57" s="423"/>
      <c r="G57" s="423"/>
      <c r="H57" s="423"/>
      <c r="I57" s="423"/>
      <c r="J57" s="423"/>
      <c r="K57" s="423"/>
      <c r="L57" s="423"/>
      <c r="M57" s="423"/>
      <c r="N57" s="423"/>
      <c r="O57" s="423"/>
      <c r="P57" s="423"/>
      <c r="Q57" s="423"/>
      <c r="R57" s="423"/>
      <c r="S57" s="423"/>
      <c r="T57" s="423"/>
      <c r="U57" s="423"/>
      <c r="V57" s="423"/>
      <c r="W57" s="423"/>
      <c r="X57" s="423"/>
      <c r="Y57" s="423"/>
      <c r="Z57" s="423"/>
      <c r="AA57" s="423"/>
      <c r="AB57" s="423"/>
      <c r="AC57" s="423"/>
      <c r="AD57" s="423"/>
      <c r="AE57" s="423"/>
      <c r="AF57" s="423"/>
      <c r="AG57" s="423"/>
      <c r="AH57" s="423"/>
      <c r="AI57" s="423"/>
      <c r="AJ57" s="423"/>
      <c r="AK57" s="423"/>
      <c r="AL57" s="423"/>
      <c r="AM57" s="423"/>
      <c r="AN57" s="423"/>
      <c r="AO57" s="423"/>
      <c r="AP57" s="423"/>
      <c r="AQ57" s="423"/>
      <c r="AR57" s="423"/>
      <c r="AS57" s="423"/>
      <c r="AT57" s="423"/>
      <c r="AU57" s="423"/>
      <c r="AV57" s="423"/>
      <c r="AW57" s="195"/>
      <c r="AX57" s="311"/>
      <c r="AY57" s="311"/>
      <c r="AZ57" s="311"/>
      <c r="BA57" s="311"/>
      <c r="BB57" s="311"/>
      <c r="BC57" s="311"/>
      <c r="BD57" s="311"/>
      <c r="BE57" s="311"/>
      <c r="BF57" s="311"/>
      <c r="BG57" s="311"/>
      <c r="BH57" s="311"/>
      <c r="BI57" s="311"/>
      <c r="BJ57" s="311"/>
      <c r="BK57" s="311"/>
      <c r="BL57" s="311"/>
      <c r="BM57" s="311"/>
      <c r="BN57" s="311"/>
      <c r="BO57" s="311"/>
      <c r="BP57" s="311"/>
      <c r="BQ57" s="423"/>
      <c r="BR57" s="423"/>
      <c r="BS57" s="423"/>
      <c r="BT57" s="423"/>
      <c r="BU57" s="423"/>
      <c r="BV57" s="423"/>
      <c r="BW57" s="423"/>
      <c r="BX57" s="423"/>
      <c r="BY57" s="423"/>
      <c r="BZ57" s="423"/>
      <c r="CA57" s="423"/>
      <c r="CB57" s="423"/>
      <c r="CC57" s="423"/>
      <c r="CD57" s="423"/>
      <c r="CE57" s="423"/>
      <c r="CF57" s="423"/>
      <c r="CG57" s="423"/>
      <c r="CN57" s="107" t="s">
        <v>429</v>
      </c>
    </row>
    <row r="58" spans="1:131" ht="11.45" hidden="1" customHeight="1" x14ac:dyDescent="0.2">
      <c r="A58" s="428" t="s">
        <v>441</v>
      </c>
      <c r="B58" s="428"/>
      <c r="C58" s="428"/>
      <c r="D58" s="428"/>
      <c r="E58" s="102" t="s">
        <v>0</v>
      </c>
      <c r="F58" s="429"/>
      <c r="G58" s="429"/>
      <c r="H58" s="429"/>
      <c r="I58" s="429"/>
      <c r="J58" s="429"/>
      <c r="K58" s="429"/>
      <c r="L58" s="429"/>
      <c r="M58" s="429"/>
      <c r="N58" s="429"/>
      <c r="O58" s="429"/>
      <c r="P58" s="429"/>
      <c r="Q58" s="429"/>
      <c r="R58" s="429"/>
      <c r="S58" s="429"/>
      <c r="T58" s="429"/>
      <c r="U58" s="429"/>
      <c r="V58" s="429"/>
      <c r="W58" s="429"/>
      <c r="X58" s="429"/>
      <c r="Y58" s="429"/>
      <c r="Z58" s="429"/>
      <c r="AA58" s="429"/>
      <c r="AB58" s="429"/>
      <c r="AC58" s="429"/>
      <c r="AD58" s="429"/>
      <c r="AE58" s="429"/>
      <c r="AF58" s="429"/>
      <c r="AG58" s="429"/>
      <c r="AH58" s="429"/>
      <c r="AI58" s="429"/>
      <c r="AJ58" s="429"/>
      <c r="AK58" s="429"/>
      <c r="AL58" s="429"/>
      <c r="AM58" s="429"/>
      <c r="AN58" s="429"/>
      <c r="AO58" s="429"/>
      <c r="AP58" s="429"/>
      <c r="AQ58" s="429"/>
      <c r="AR58" s="429"/>
      <c r="AS58" s="429"/>
      <c r="AT58" s="429"/>
      <c r="AU58" s="429"/>
      <c r="AV58" s="429"/>
      <c r="AW58" s="429"/>
      <c r="AX58" s="429"/>
      <c r="AY58" s="429"/>
      <c r="AZ58" s="429"/>
      <c r="BA58" s="429"/>
      <c r="BB58" s="429"/>
      <c r="BC58" s="429"/>
      <c r="BD58" s="429"/>
      <c r="BE58" s="429"/>
      <c r="BF58" s="429"/>
      <c r="BG58" s="429"/>
      <c r="BH58" s="429"/>
      <c r="BI58" s="429"/>
      <c r="BJ58" s="429"/>
      <c r="BK58" s="429"/>
      <c r="BL58" s="429"/>
      <c r="BM58" s="429"/>
      <c r="BN58" s="429"/>
      <c r="BO58" s="429"/>
      <c r="BP58" s="429"/>
      <c r="BQ58" s="429"/>
      <c r="BR58" s="429"/>
      <c r="BS58" s="429"/>
      <c r="BT58" s="429"/>
      <c r="BU58" s="429"/>
      <c r="BV58" s="429"/>
      <c r="BW58" s="429"/>
      <c r="BX58" s="429"/>
      <c r="BY58" s="429"/>
      <c r="BZ58" s="429"/>
      <c r="CA58" s="429"/>
      <c r="CB58" s="429"/>
      <c r="CC58" s="429"/>
      <c r="CD58" s="429"/>
      <c r="CE58" s="429"/>
      <c r="CF58" s="429"/>
      <c r="CG58" s="429"/>
      <c r="CM58" s="91"/>
      <c r="CN58" s="87" t="s">
        <v>430</v>
      </c>
      <c r="CO58" s="91"/>
      <c r="CP58" s="91"/>
      <c r="CQ58" s="91"/>
    </row>
    <row r="59" spans="1:131" ht="11.45" customHeight="1" x14ac:dyDescent="0.2">
      <c r="A59" s="154"/>
      <c r="B59" s="154"/>
      <c r="C59" s="215" t="str">
        <f>IF('Data Entry'!N29="","",'Data Entry'!N29)&amp;IF(OR('Data Entry'!N29="",'Data Entry'!N30=""),""," / Licence No")&amp; IF('Data Entry'!N30="","",'Data Entry'!N30)</f>
        <v>MEHMET EROĞLU</v>
      </c>
      <c r="D59" s="215"/>
      <c r="E59" s="215"/>
      <c r="F59" s="215"/>
      <c r="G59" s="215"/>
      <c r="H59" s="215"/>
      <c r="I59" s="215"/>
      <c r="J59" s="215"/>
      <c r="K59" s="215"/>
      <c r="L59" s="215"/>
      <c r="M59" s="215"/>
      <c r="N59" s="215"/>
      <c r="O59" s="215"/>
      <c r="P59" s="215"/>
      <c r="Q59" s="154"/>
      <c r="R59" s="154"/>
      <c r="S59" s="154"/>
      <c r="T59" s="154"/>
      <c r="U59" s="154"/>
      <c r="V59" s="154"/>
      <c r="W59" s="154"/>
      <c r="X59" s="154"/>
      <c r="Y59" s="154"/>
      <c r="Z59" s="154"/>
      <c r="AA59" s="154"/>
      <c r="AB59" s="154"/>
      <c r="AC59" s="154"/>
      <c r="AD59" s="154"/>
      <c r="AE59" s="154"/>
      <c r="AF59" s="154"/>
      <c r="AG59" s="154"/>
      <c r="AH59" s="154"/>
      <c r="AI59" s="154"/>
      <c r="AJ59" s="154"/>
      <c r="AK59" s="215" t="str">
        <f>IF('Data Entry'!N13="","",'Data Entry'!N13)</f>
        <v/>
      </c>
      <c r="AL59" s="215"/>
      <c r="AM59" s="215"/>
      <c r="AN59" s="215"/>
      <c r="AO59" s="215"/>
      <c r="AP59" s="215"/>
      <c r="AQ59" s="215"/>
      <c r="AR59" s="215"/>
      <c r="AS59" s="215"/>
      <c r="AT59" s="215"/>
      <c r="AU59" s="215"/>
      <c r="AV59" s="215"/>
      <c r="AW59" s="215"/>
      <c r="AX59" s="215"/>
      <c r="AY59" s="154"/>
      <c r="AZ59" s="154"/>
      <c r="BA59" s="154"/>
      <c r="BB59" s="154"/>
      <c r="BC59" s="154"/>
      <c r="BD59" s="154"/>
      <c r="BE59" s="154"/>
      <c r="BF59" s="154"/>
      <c r="BG59" s="154"/>
      <c r="BH59" s="154"/>
      <c r="BI59" s="154"/>
      <c r="BJ59" s="154"/>
      <c r="BK59" s="154"/>
      <c r="BL59" s="154"/>
      <c r="BM59" s="154"/>
      <c r="BN59" s="154"/>
      <c r="BO59" s="154"/>
      <c r="BP59" s="154"/>
      <c r="BQ59" s="154"/>
      <c r="BR59" s="215" t="str">
        <f>IF('Data Entry'!N9="","",'Data Entry'!N9)</f>
        <v/>
      </c>
      <c r="BS59" s="215"/>
      <c r="BT59" s="215"/>
      <c r="BU59" s="215"/>
      <c r="BV59" s="215"/>
      <c r="BW59" s="215"/>
      <c r="BX59" s="215"/>
      <c r="BY59" s="215"/>
      <c r="BZ59" s="215"/>
      <c r="CA59" s="215"/>
      <c r="CB59" s="215"/>
      <c r="CC59" s="215"/>
      <c r="CD59" s="215"/>
      <c r="CE59" s="215"/>
      <c r="CF59" s="375"/>
      <c r="CG59" s="375"/>
      <c r="CN59" s="87" t="s">
        <v>444</v>
      </c>
      <c r="DW59" s="35"/>
      <c r="DX59" s="56"/>
      <c r="DZ59" s="35"/>
      <c r="EA59" s="56"/>
    </row>
    <row r="60" spans="1:131" ht="11.45" customHeight="1" x14ac:dyDescent="0.2">
      <c r="A60" s="154"/>
      <c r="B60" s="154"/>
      <c r="C60" s="215"/>
      <c r="D60" s="215"/>
      <c r="E60" s="215"/>
      <c r="F60" s="215"/>
      <c r="G60" s="215"/>
      <c r="H60" s="215"/>
      <c r="I60" s="215"/>
      <c r="J60" s="215"/>
      <c r="K60" s="215"/>
      <c r="L60" s="215"/>
      <c r="M60" s="215"/>
      <c r="N60" s="215"/>
      <c r="O60" s="215"/>
      <c r="P60" s="215"/>
      <c r="Q60" s="154"/>
      <c r="R60" s="154"/>
      <c r="S60" s="154"/>
      <c r="T60" s="154"/>
      <c r="U60" s="154"/>
      <c r="V60" s="154"/>
      <c r="W60" s="154"/>
      <c r="X60" s="154"/>
      <c r="Y60" s="154"/>
      <c r="Z60" s="154"/>
      <c r="AA60" s="154"/>
      <c r="AB60" s="154"/>
      <c r="AC60" s="154"/>
      <c r="AD60" s="154"/>
      <c r="AE60" s="154"/>
      <c r="AF60" s="154"/>
      <c r="AG60" s="154"/>
      <c r="AH60" s="154"/>
      <c r="AI60" s="154"/>
      <c r="AJ60" s="154"/>
      <c r="AK60" s="215"/>
      <c r="AL60" s="215"/>
      <c r="AM60" s="215"/>
      <c r="AN60" s="215"/>
      <c r="AO60" s="215"/>
      <c r="AP60" s="215"/>
      <c r="AQ60" s="215"/>
      <c r="AR60" s="215"/>
      <c r="AS60" s="215"/>
      <c r="AT60" s="215"/>
      <c r="AU60" s="215"/>
      <c r="AV60" s="215"/>
      <c r="AW60" s="215"/>
      <c r="AX60" s="215"/>
      <c r="AY60" s="154"/>
      <c r="AZ60" s="154"/>
      <c r="BA60" s="154"/>
      <c r="BB60" s="154"/>
      <c r="BC60" s="154"/>
      <c r="BD60" s="154"/>
      <c r="BE60" s="154"/>
      <c r="BF60" s="154"/>
      <c r="BG60" s="154"/>
      <c r="BH60" s="154"/>
      <c r="BI60" s="154"/>
      <c r="BJ60" s="154"/>
      <c r="BK60" s="154"/>
      <c r="BL60" s="154"/>
      <c r="BM60" s="154"/>
      <c r="BN60" s="154"/>
      <c r="BO60" s="154"/>
      <c r="BP60" s="154"/>
      <c r="BQ60" s="154"/>
      <c r="BR60" s="215"/>
      <c r="BS60" s="215"/>
      <c r="BT60" s="215"/>
      <c r="BU60" s="215"/>
      <c r="BV60" s="215"/>
      <c r="BW60" s="215"/>
      <c r="BX60" s="215"/>
      <c r="BY60" s="215"/>
      <c r="BZ60" s="215"/>
      <c r="CA60" s="215"/>
      <c r="CB60" s="215"/>
      <c r="CC60" s="215"/>
      <c r="CD60" s="215"/>
      <c r="CE60" s="215"/>
      <c r="CF60" s="375"/>
      <c r="CG60" s="375"/>
      <c r="CN60" s="2" t="s">
        <v>431</v>
      </c>
      <c r="DW60" s="35"/>
      <c r="DX60" s="56"/>
      <c r="DZ60" s="35"/>
      <c r="EA60" s="56"/>
    </row>
    <row r="61" spans="1:131" ht="11.45" customHeight="1" x14ac:dyDescent="0.2">
      <c r="A61" s="154"/>
      <c r="B61" s="154"/>
      <c r="C61" s="216"/>
      <c r="D61" s="216"/>
      <c r="E61" s="216"/>
      <c r="F61" s="216"/>
      <c r="G61" s="216"/>
      <c r="H61" s="216"/>
      <c r="I61" s="216"/>
      <c r="J61" s="216"/>
      <c r="K61" s="216"/>
      <c r="L61" s="216"/>
      <c r="M61" s="216"/>
      <c r="N61" s="216"/>
      <c r="O61" s="216"/>
      <c r="P61" s="216"/>
      <c r="Q61" s="154"/>
      <c r="R61" s="154"/>
      <c r="S61" s="154"/>
      <c r="T61" s="154"/>
      <c r="U61" s="154"/>
      <c r="V61" s="154"/>
      <c r="W61" s="154"/>
      <c r="X61" s="154"/>
      <c r="Y61" s="154"/>
      <c r="Z61" s="154"/>
      <c r="AA61" s="154"/>
      <c r="AB61" s="154"/>
      <c r="AC61" s="154"/>
      <c r="AD61" s="154"/>
      <c r="AE61" s="154"/>
      <c r="AF61" s="154"/>
      <c r="AG61" s="154"/>
      <c r="AH61" s="154"/>
      <c r="AI61" s="154"/>
      <c r="AJ61" s="154"/>
      <c r="AK61" s="216"/>
      <c r="AL61" s="216"/>
      <c r="AM61" s="216"/>
      <c r="AN61" s="216"/>
      <c r="AO61" s="216"/>
      <c r="AP61" s="216"/>
      <c r="AQ61" s="216"/>
      <c r="AR61" s="216"/>
      <c r="AS61" s="216"/>
      <c r="AT61" s="216"/>
      <c r="AU61" s="216"/>
      <c r="AV61" s="216"/>
      <c r="AW61" s="216"/>
      <c r="AX61" s="216"/>
      <c r="AY61" s="154"/>
      <c r="AZ61" s="154"/>
      <c r="BA61" s="154"/>
      <c r="BB61" s="154"/>
      <c r="BC61" s="154"/>
      <c r="BD61" s="154"/>
      <c r="BE61" s="154"/>
      <c r="BF61" s="154"/>
      <c r="BG61" s="154"/>
      <c r="BH61" s="154"/>
      <c r="BI61" s="154"/>
      <c r="BJ61" s="154"/>
      <c r="BK61" s="154"/>
      <c r="BL61" s="154"/>
      <c r="BM61" s="154"/>
      <c r="BN61" s="154"/>
      <c r="BO61" s="154"/>
      <c r="BP61" s="154"/>
      <c r="BQ61" s="154"/>
      <c r="BR61" s="216"/>
      <c r="BS61" s="216"/>
      <c r="BT61" s="216"/>
      <c r="BU61" s="216"/>
      <c r="BV61" s="216"/>
      <c r="BW61" s="216"/>
      <c r="BX61" s="216"/>
      <c r="BY61" s="216"/>
      <c r="BZ61" s="216"/>
      <c r="CA61" s="216"/>
      <c r="CB61" s="216"/>
      <c r="CC61" s="216"/>
      <c r="CD61" s="216"/>
      <c r="CE61" s="216"/>
      <c r="CF61" s="375"/>
      <c r="CG61" s="375"/>
      <c r="CN61" s="91"/>
      <c r="DW61" s="35"/>
      <c r="DX61" s="56"/>
      <c r="DZ61" s="35"/>
      <c r="EA61" s="56"/>
    </row>
    <row r="62" spans="1:131" ht="11.45" customHeight="1" x14ac:dyDescent="0.2">
      <c r="A62" s="154"/>
      <c r="B62" s="154"/>
      <c r="C62" s="211" t="s">
        <v>184</v>
      </c>
      <c r="D62" s="211"/>
      <c r="E62" s="211"/>
      <c r="F62" s="211"/>
      <c r="G62" s="211"/>
      <c r="H62" s="211"/>
      <c r="I62" s="211"/>
      <c r="J62" s="211"/>
      <c r="K62" s="211"/>
      <c r="L62" s="211"/>
      <c r="M62" s="211"/>
      <c r="N62" s="211"/>
      <c r="O62" s="211"/>
      <c r="P62" s="211"/>
      <c r="Q62" s="154"/>
      <c r="R62" s="154"/>
      <c r="S62" s="154"/>
      <c r="T62" s="154"/>
      <c r="U62" s="154"/>
      <c r="V62" s="154"/>
      <c r="W62" s="154"/>
      <c r="X62" s="154"/>
      <c r="Y62" s="154"/>
      <c r="Z62" s="154"/>
      <c r="AA62" s="154"/>
      <c r="AB62" s="154"/>
      <c r="AC62" s="154"/>
      <c r="AD62" s="154"/>
      <c r="AE62" s="154"/>
      <c r="AF62" s="154"/>
      <c r="AG62" s="154"/>
      <c r="AH62" s="154"/>
      <c r="AI62" s="154"/>
      <c r="AJ62" s="154"/>
      <c r="AK62" s="218" t="s">
        <v>51</v>
      </c>
      <c r="AL62" s="218"/>
      <c r="AM62" s="218"/>
      <c r="AN62" s="218"/>
      <c r="AO62" s="218"/>
      <c r="AP62" s="218"/>
      <c r="AQ62" s="218"/>
      <c r="AR62" s="218"/>
      <c r="AS62" s="218"/>
      <c r="AT62" s="218"/>
      <c r="AU62" s="218"/>
      <c r="AV62" s="218"/>
      <c r="AW62" s="218"/>
      <c r="AX62" s="218"/>
      <c r="AY62" s="154"/>
      <c r="AZ62" s="154"/>
      <c r="BA62" s="154"/>
      <c r="BB62" s="154"/>
      <c r="BC62" s="154"/>
      <c r="BD62" s="154"/>
      <c r="BE62" s="154"/>
      <c r="BF62" s="154"/>
      <c r="BG62" s="154"/>
      <c r="BH62" s="154"/>
      <c r="BI62" s="154"/>
      <c r="BJ62" s="154"/>
      <c r="BK62" s="154"/>
      <c r="BL62" s="154"/>
      <c r="BM62" s="154"/>
      <c r="BN62" s="154"/>
      <c r="BO62" s="154"/>
      <c r="BP62" s="154"/>
      <c r="BQ62" s="154"/>
      <c r="BR62" s="218" t="s">
        <v>17</v>
      </c>
      <c r="BS62" s="218"/>
      <c r="BT62" s="218"/>
      <c r="BU62" s="218"/>
      <c r="BV62" s="218"/>
      <c r="BW62" s="218"/>
      <c r="BX62" s="218"/>
      <c r="BY62" s="218"/>
      <c r="BZ62" s="218"/>
      <c r="CA62" s="218"/>
      <c r="CB62" s="218"/>
      <c r="CC62" s="218"/>
      <c r="CD62" s="218"/>
      <c r="CE62" s="218"/>
      <c r="CF62" s="375"/>
      <c r="CG62" s="375"/>
      <c r="DW62" s="35"/>
      <c r="DX62" s="56"/>
      <c r="DZ62" s="35"/>
      <c r="EA62" s="56"/>
    </row>
    <row r="63" spans="1:131" ht="11.45" customHeight="1" x14ac:dyDescent="0.2">
      <c r="A63" s="148" t="s">
        <v>473</v>
      </c>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9" t="str">
        <f>'Data Entry'!AK9</f>
        <v>LTS-CUS-F-01 rev 2.0</v>
      </c>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c r="BS63" s="149"/>
      <c r="BT63" s="149"/>
      <c r="BU63" s="149"/>
      <c r="BV63" s="149"/>
      <c r="BW63" s="149"/>
      <c r="BX63" s="149"/>
      <c r="BY63" s="149"/>
      <c r="BZ63" s="149"/>
      <c r="CA63" s="149"/>
      <c r="CB63" s="149"/>
      <c r="CC63" s="149"/>
      <c r="CD63" s="149"/>
      <c r="CE63" s="149"/>
      <c r="CF63" s="149"/>
      <c r="CG63" s="149"/>
      <c r="CN63" s="1" t="s">
        <v>428</v>
      </c>
      <c r="DW63" s="35"/>
      <c r="DX63" s="56"/>
      <c r="DZ63" s="35"/>
      <c r="EA63" s="56"/>
    </row>
    <row r="64" spans="1:131" ht="11.45" customHeight="1" x14ac:dyDescent="0.2">
      <c r="CN64" s="107" t="s">
        <v>432</v>
      </c>
      <c r="DW64" s="35"/>
      <c r="DX64" s="56"/>
      <c r="DZ64" s="35"/>
      <c r="EA64" s="56"/>
    </row>
    <row r="65" spans="92:131" ht="11.45" customHeight="1" x14ac:dyDescent="0.2">
      <c r="CN65" s="2" t="s">
        <v>433</v>
      </c>
      <c r="DW65" s="35"/>
      <c r="DX65" s="56"/>
      <c r="DZ65" s="35"/>
      <c r="EA65" s="56"/>
    </row>
  </sheetData>
  <sheetProtection formatCells="0" selectLockedCells="1"/>
  <mergeCells count="665">
    <mergeCell ref="G56:L56"/>
    <mergeCell ref="M56:R56"/>
    <mergeCell ref="S56:X56"/>
    <mergeCell ref="Y56:AD56"/>
    <mergeCell ref="AE56:AJ56"/>
    <mergeCell ref="A63:AN63"/>
    <mergeCell ref="AO63:CG63"/>
    <mergeCell ref="A58:D58"/>
    <mergeCell ref="F58:CG58"/>
    <mergeCell ref="A59:B62"/>
    <mergeCell ref="C59:P61"/>
    <mergeCell ref="Q59:AJ62"/>
    <mergeCell ref="AK59:AX61"/>
    <mergeCell ref="AY59:BQ62"/>
    <mergeCell ref="BR59:CE61"/>
    <mergeCell ref="CF59:CG62"/>
    <mergeCell ref="C62:P62"/>
    <mergeCell ref="AK62:AX62"/>
    <mergeCell ref="BR62:CE62"/>
    <mergeCell ref="AX55:BF57"/>
    <mergeCell ref="BG55:BP57"/>
    <mergeCell ref="BQ55:BX57"/>
    <mergeCell ref="BY55:CG57"/>
    <mergeCell ref="AK56:AP56"/>
    <mergeCell ref="AQ56:AV56"/>
    <mergeCell ref="AK57:AP57"/>
    <mergeCell ref="AQ57:AV57"/>
    <mergeCell ref="AX53:BF54"/>
    <mergeCell ref="BG53:BP54"/>
    <mergeCell ref="BQ53:BX54"/>
    <mergeCell ref="BY53:CG54"/>
    <mergeCell ref="S54:X54"/>
    <mergeCell ref="Y54:AD54"/>
    <mergeCell ref="AE54:AJ54"/>
    <mergeCell ref="AK54:AP54"/>
    <mergeCell ref="AQ54:AV54"/>
    <mergeCell ref="A53:F54"/>
    <mergeCell ref="G53:L54"/>
    <mergeCell ref="M53:R54"/>
    <mergeCell ref="S53:X53"/>
    <mergeCell ref="Y53:AD53"/>
    <mergeCell ref="AE53:AJ53"/>
    <mergeCell ref="AK53:AP53"/>
    <mergeCell ref="AQ53:AV53"/>
    <mergeCell ref="AW53:AW57"/>
    <mergeCell ref="A55:F55"/>
    <mergeCell ref="G55:L55"/>
    <mergeCell ref="M55:R55"/>
    <mergeCell ref="S55:X55"/>
    <mergeCell ref="Y55:AD55"/>
    <mergeCell ref="AE55:AJ55"/>
    <mergeCell ref="AK55:AP55"/>
    <mergeCell ref="AQ55:AV55"/>
    <mergeCell ref="A57:F57"/>
    <mergeCell ref="G57:L57"/>
    <mergeCell ref="M57:R57"/>
    <mergeCell ref="S57:X57"/>
    <mergeCell ref="Y57:AD57"/>
    <mergeCell ref="AE57:AJ57"/>
    <mergeCell ref="A56:F56"/>
    <mergeCell ref="A50:CG50"/>
    <mergeCell ref="A51:R51"/>
    <mergeCell ref="S51:AF51"/>
    <mergeCell ref="AH51:AN51"/>
    <mergeCell ref="AP51:AX51"/>
    <mergeCell ref="AZ51:BF51"/>
    <mergeCell ref="BH51:BX51"/>
    <mergeCell ref="BZ51:CF51"/>
    <mergeCell ref="A52:CG52"/>
    <mergeCell ref="CN1:EB2"/>
    <mergeCell ref="A4:G4"/>
    <mergeCell ref="A1:BK1"/>
    <mergeCell ref="BL1:BP1"/>
    <mergeCell ref="BR1:CG1"/>
    <mergeCell ref="A2:BK2"/>
    <mergeCell ref="BL2:BP2"/>
    <mergeCell ref="BR2:CG2"/>
    <mergeCell ref="I4:T4"/>
    <mergeCell ref="U4:W4"/>
    <mergeCell ref="A3:BQ3"/>
    <mergeCell ref="BR3:CG3"/>
    <mergeCell ref="BM4:BV4"/>
    <mergeCell ref="BX4:CG4"/>
    <mergeCell ref="Y4:AD4"/>
    <mergeCell ref="AE4:AG4"/>
    <mergeCell ref="AI4:AN4"/>
    <mergeCell ref="A8:AN8"/>
    <mergeCell ref="A9:J9"/>
    <mergeCell ref="L9:AN9"/>
    <mergeCell ref="AO9:BP9"/>
    <mergeCell ref="BR9:BY9"/>
    <mergeCell ref="A7:CG7"/>
    <mergeCell ref="AO8:CG8"/>
    <mergeCell ref="A5:G5"/>
    <mergeCell ref="A6:CG6"/>
    <mergeCell ref="BZ9:CG9"/>
    <mergeCell ref="I5:T5"/>
    <mergeCell ref="U5:AA5"/>
    <mergeCell ref="AC5:AN5"/>
    <mergeCell ref="AQ5:AZ5"/>
    <mergeCell ref="BB5:BL5"/>
    <mergeCell ref="BM5:BV5"/>
    <mergeCell ref="BX5:CG5"/>
    <mergeCell ref="AO4:AP5"/>
    <mergeCell ref="AQ4:AZ4"/>
    <mergeCell ref="BB4:BL4"/>
    <mergeCell ref="BR10:BY10"/>
    <mergeCell ref="A11:Y11"/>
    <mergeCell ref="AA11:AH11"/>
    <mergeCell ref="AI11:AN11"/>
    <mergeCell ref="AO11:BP11"/>
    <mergeCell ref="BR11:BY11"/>
    <mergeCell ref="A10:N10"/>
    <mergeCell ref="O10:R10"/>
    <mergeCell ref="T10:AB10"/>
    <mergeCell ref="AC10:AF10"/>
    <mergeCell ref="AH10:AN10"/>
    <mergeCell ref="AO10:BP10"/>
    <mergeCell ref="BR14:CG15"/>
    <mergeCell ref="AJ16:AN16"/>
    <mergeCell ref="AO16:AS16"/>
    <mergeCell ref="AT16:AX16"/>
    <mergeCell ref="AY16:BC16"/>
    <mergeCell ref="BD16:BH16"/>
    <mergeCell ref="BI16:BM16"/>
    <mergeCell ref="A16:H16"/>
    <mergeCell ref="I16:O17"/>
    <mergeCell ref="P16:T16"/>
    <mergeCell ref="U16:Y16"/>
    <mergeCell ref="Z16:AD16"/>
    <mergeCell ref="N15:S15"/>
    <mergeCell ref="T15:W15"/>
    <mergeCell ref="AD15:AF15"/>
    <mergeCell ref="AE16:AI16"/>
    <mergeCell ref="AH15:AL15"/>
    <mergeCell ref="BI17:BM17"/>
    <mergeCell ref="BN17:BR17"/>
    <mergeCell ref="BX17:CB17"/>
    <mergeCell ref="AM15:AP15"/>
    <mergeCell ref="AW15:BL15"/>
    <mergeCell ref="AQ14:AV15"/>
    <mergeCell ref="A14:F15"/>
    <mergeCell ref="EA16:EB16"/>
    <mergeCell ref="A17:H17"/>
    <mergeCell ref="P17:T17"/>
    <mergeCell ref="U17:Y17"/>
    <mergeCell ref="Z17:AD17"/>
    <mergeCell ref="AE17:AI17"/>
    <mergeCell ref="AJ17:AN17"/>
    <mergeCell ref="AO17:AS17"/>
    <mergeCell ref="AT17:AX17"/>
    <mergeCell ref="AY17:BC17"/>
    <mergeCell ref="DA16:DC16"/>
    <mergeCell ref="DF16:DI16"/>
    <mergeCell ref="DL16:DO16"/>
    <mergeCell ref="DR16:DU16"/>
    <mergeCell ref="DW16:DX16"/>
    <mergeCell ref="DY16:DZ16"/>
    <mergeCell ref="BN16:BR16"/>
    <mergeCell ref="BS16:BW17"/>
    <mergeCell ref="BX16:CB16"/>
    <mergeCell ref="CR16:CS16"/>
    <mergeCell ref="CV16:CX16"/>
    <mergeCell ref="CC16:CG16"/>
    <mergeCell ref="CC17:CG17"/>
    <mergeCell ref="BD17:BH17"/>
    <mergeCell ref="A18:H18"/>
    <mergeCell ref="I18:O18"/>
    <mergeCell ref="U18:Y18"/>
    <mergeCell ref="Z18:AD18"/>
    <mergeCell ref="AE18:AI18"/>
    <mergeCell ref="BN18:BR18"/>
    <mergeCell ref="BS18:BW18"/>
    <mergeCell ref="BX18:CB18"/>
    <mergeCell ref="A19:H19"/>
    <mergeCell ref="I19:O19"/>
    <mergeCell ref="U19:Y19"/>
    <mergeCell ref="Z19:AD19"/>
    <mergeCell ref="AE19:AI19"/>
    <mergeCell ref="BD18:BH18"/>
    <mergeCell ref="BI18:BM18"/>
    <mergeCell ref="BS19:BW19"/>
    <mergeCell ref="BX19:CB19"/>
    <mergeCell ref="AY18:BC18"/>
    <mergeCell ref="AT18:AX18"/>
    <mergeCell ref="P18:T18"/>
    <mergeCell ref="AO18:AS18"/>
    <mergeCell ref="AJ18:AN18"/>
    <mergeCell ref="A20:H20"/>
    <mergeCell ref="I20:O20"/>
    <mergeCell ref="U20:Y20"/>
    <mergeCell ref="Z20:AD20"/>
    <mergeCell ref="AE20:AI20"/>
    <mergeCell ref="BD19:BH19"/>
    <mergeCell ref="BI19:BM19"/>
    <mergeCell ref="BN19:BR19"/>
    <mergeCell ref="BX20:CB20"/>
    <mergeCell ref="AT19:AX19"/>
    <mergeCell ref="P19:T19"/>
    <mergeCell ref="P20:T20"/>
    <mergeCell ref="AO19:AS19"/>
    <mergeCell ref="AJ19:AN19"/>
    <mergeCell ref="AJ20:AN20"/>
    <mergeCell ref="A22:H22"/>
    <mergeCell ref="I22:O22"/>
    <mergeCell ref="U22:Y22"/>
    <mergeCell ref="BI20:BM20"/>
    <mergeCell ref="BN20:BR20"/>
    <mergeCell ref="BS20:BW20"/>
    <mergeCell ref="AE22:AI22"/>
    <mergeCell ref="BD21:BH21"/>
    <mergeCell ref="BI21:BM21"/>
    <mergeCell ref="BN21:BR21"/>
    <mergeCell ref="BS21:BW21"/>
    <mergeCell ref="AO21:AS21"/>
    <mergeCell ref="AJ21:AN21"/>
    <mergeCell ref="A21:H21"/>
    <mergeCell ref="I21:O21"/>
    <mergeCell ref="U21:Y21"/>
    <mergeCell ref="Z21:AD21"/>
    <mergeCell ref="AE21:AI21"/>
    <mergeCell ref="BD20:BH20"/>
    <mergeCell ref="AO20:AS20"/>
    <mergeCell ref="AY20:BC20"/>
    <mergeCell ref="P22:T22"/>
    <mergeCell ref="AO22:AS22"/>
    <mergeCell ref="AT20:AX20"/>
    <mergeCell ref="CI21:CL22"/>
    <mergeCell ref="BI22:BM22"/>
    <mergeCell ref="BN23:BR23"/>
    <mergeCell ref="BS23:BW23"/>
    <mergeCell ref="BX23:CB23"/>
    <mergeCell ref="A24:H24"/>
    <mergeCell ref="I24:O24"/>
    <mergeCell ref="P24:T24"/>
    <mergeCell ref="U24:Y24"/>
    <mergeCell ref="Z24:AD24"/>
    <mergeCell ref="Z22:AD22"/>
    <mergeCell ref="BD23:BH23"/>
    <mergeCell ref="BI23:BM23"/>
    <mergeCell ref="BN22:BR22"/>
    <mergeCell ref="BS22:BW22"/>
    <mergeCell ref="BX22:CB22"/>
    <mergeCell ref="AY22:BC22"/>
    <mergeCell ref="AJ22:AN22"/>
    <mergeCell ref="AJ23:AN23"/>
    <mergeCell ref="AY23:BC23"/>
    <mergeCell ref="BX21:CB21"/>
    <mergeCell ref="A23:H23"/>
    <mergeCell ref="I23:O23"/>
    <mergeCell ref="U23:Y23"/>
    <mergeCell ref="BS24:BW24"/>
    <mergeCell ref="BX24:CB24"/>
    <mergeCell ref="A25:H25"/>
    <mergeCell ref="I25:O25"/>
    <mergeCell ref="P25:T25"/>
    <mergeCell ref="U25:Y25"/>
    <mergeCell ref="Z25:AD25"/>
    <mergeCell ref="AE25:AI25"/>
    <mergeCell ref="AE24:AI24"/>
    <mergeCell ref="AJ24:AN24"/>
    <mergeCell ref="AO24:AS24"/>
    <mergeCell ref="AT24:AX24"/>
    <mergeCell ref="AY24:BC24"/>
    <mergeCell ref="BD24:BH24"/>
    <mergeCell ref="BS25:BW25"/>
    <mergeCell ref="BX25:CB25"/>
    <mergeCell ref="AT25:AX25"/>
    <mergeCell ref="AY25:BC25"/>
    <mergeCell ref="BD25:BH25"/>
    <mergeCell ref="BI25:BM25"/>
    <mergeCell ref="BS26:BW26"/>
    <mergeCell ref="BX26:CB26"/>
    <mergeCell ref="A27:H27"/>
    <mergeCell ref="I27:O27"/>
    <mergeCell ref="P27:T27"/>
    <mergeCell ref="U27:Y27"/>
    <mergeCell ref="Z27:AD27"/>
    <mergeCell ref="AE27:AI27"/>
    <mergeCell ref="AJ27:AN27"/>
    <mergeCell ref="AO27:AS27"/>
    <mergeCell ref="AO26:AS26"/>
    <mergeCell ref="AT26:AX26"/>
    <mergeCell ref="AY26:BC26"/>
    <mergeCell ref="BD26:BH26"/>
    <mergeCell ref="BI26:BM26"/>
    <mergeCell ref="BN26:BR26"/>
    <mergeCell ref="A26:H26"/>
    <mergeCell ref="I26:O26"/>
    <mergeCell ref="P26:T26"/>
    <mergeCell ref="U26:Y26"/>
    <mergeCell ref="Z26:AD26"/>
    <mergeCell ref="AE26:AI26"/>
    <mergeCell ref="AJ26:AN26"/>
    <mergeCell ref="A29:H29"/>
    <mergeCell ref="I29:O29"/>
    <mergeCell ref="P29:T29"/>
    <mergeCell ref="U29:Y29"/>
    <mergeCell ref="Z29:AD29"/>
    <mergeCell ref="AE29:AI29"/>
    <mergeCell ref="BS28:BW28"/>
    <mergeCell ref="BX28:CB28"/>
    <mergeCell ref="BX27:CB27"/>
    <mergeCell ref="A28:H28"/>
    <mergeCell ref="I28:O28"/>
    <mergeCell ref="P28:T28"/>
    <mergeCell ref="U28:Y28"/>
    <mergeCell ref="Z28:AD28"/>
    <mergeCell ref="AE28:AI28"/>
    <mergeCell ref="AJ28:AN28"/>
    <mergeCell ref="AO28:AS28"/>
    <mergeCell ref="AT28:AX28"/>
    <mergeCell ref="AT27:AX27"/>
    <mergeCell ref="AY27:BC27"/>
    <mergeCell ref="BD27:BH27"/>
    <mergeCell ref="BI27:BM27"/>
    <mergeCell ref="BN27:BR27"/>
    <mergeCell ref="BS27:BW27"/>
    <mergeCell ref="BX30:CB30"/>
    <mergeCell ref="BD30:BH30"/>
    <mergeCell ref="AT35:AX35"/>
    <mergeCell ref="AY35:BC35"/>
    <mergeCell ref="BD35:BH35"/>
    <mergeCell ref="CI29:CL30"/>
    <mergeCell ref="BN29:BR29"/>
    <mergeCell ref="BS29:BW29"/>
    <mergeCell ref="BX29:CB29"/>
    <mergeCell ref="AT30:AX30"/>
    <mergeCell ref="AY30:BC30"/>
    <mergeCell ref="AQ33:AU34"/>
    <mergeCell ref="AV33:BL33"/>
    <mergeCell ref="AV34:BL34"/>
    <mergeCell ref="A35:H35"/>
    <mergeCell ref="I35:O36"/>
    <mergeCell ref="P35:T35"/>
    <mergeCell ref="U35:Y35"/>
    <mergeCell ref="Z35:AD35"/>
    <mergeCell ref="AE35:AI35"/>
    <mergeCell ref="AJ35:AN35"/>
    <mergeCell ref="AO35:AS35"/>
    <mergeCell ref="BI30:BM30"/>
    <mergeCell ref="A30:AD30"/>
    <mergeCell ref="AE30:AI30"/>
    <mergeCell ref="AJ30:AN30"/>
    <mergeCell ref="AO30:AS30"/>
    <mergeCell ref="AM34:AP34"/>
    <mergeCell ref="AX32:AZ32"/>
    <mergeCell ref="BB32:BI32"/>
    <mergeCell ref="BJ32:BP32"/>
    <mergeCell ref="EA35:EB35"/>
    <mergeCell ref="A36:H36"/>
    <mergeCell ref="P36:T36"/>
    <mergeCell ref="U36:Y36"/>
    <mergeCell ref="Z36:AD36"/>
    <mergeCell ref="AE36:AI36"/>
    <mergeCell ref="AJ36:AN36"/>
    <mergeCell ref="AO36:AS36"/>
    <mergeCell ref="AT36:AX36"/>
    <mergeCell ref="AY36:BC36"/>
    <mergeCell ref="DA35:DC35"/>
    <mergeCell ref="DF35:DI35"/>
    <mergeCell ref="DL35:DO35"/>
    <mergeCell ref="CC36:CG36"/>
    <mergeCell ref="DR35:DU35"/>
    <mergeCell ref="DW35:DX35"/>
    <mergeCell ref="DY35:DZ35"/>
    <mergeCell ref="BI35:BM35"/>
    <mergeCell ref="BN35:BR35"/>
    <mergeCell ref="BS35:BW36"/>
    <mergeCell ref="BX35:CB35"/>
    <mergeCell ref="CR35:CS35"/>
    <mergeCell ref="CV35:CX35"/>
    <mergeCell ref="CC35:CG35"/>
    <mergeCell ref="A37:H37"/>
    <mergeCell ref="I37:O37"/>
    <mergeCell ref="U37:Y37"/>
    <mergeCell ref="Z37:AD37"/>
    <mergeCell ref="AE37:AI37"/>
    <mergeCell ref="BD36:BH36"/>
    <mergeCell ref="BI36:BM36"/>
    <mergeCell ref="BN36:BR36"/>
    <mergeCell ref="BI37:BM37"/>
    <mergeCell ref="BN37:BR37"/>
    <mergeCell ref="I40:O40"/>
    <mergeCell ref="U40:Y40"/>
    <mergeCell ref="Z40:AD40"/>
    <mergeCell ref="AE40:AI40"/>
    <mergeCell ref="BD39:BH39"/>
    <mergeCell ref="BS38:BW38"/>
    <mergeCell ref="BX38:CB38"/>
    <mergeCell ref="A39:H39"/>
    <mergeCell ref="I39:O39"/>
    <mergeCell ref="U39:Y39"/>
    <mergeCell ref="Z39:AD39"/>
    <mergeCell ref="AE39:AI39"/>
    <mergeCell ref="BD38:BH38"/>
    <mergeCell ref="BI38:BM38"/>
    <mergeCell ref="A38:H38"/>
    <mergeCell ref="I38:O38"/>
    <mergeCell ref="U38:Y38"/>
    <mergeCell ref="Z38:AD38"/>
    <mergeCell ref="AE38:AI38"/>
    <mergeCell ref="P38:T38"/>
    <mergeCell ref="AJ38:AN38"/>
    <mergeCell ref="BI40:BM40"/>
    <mergeCell ref="CI39:CL40"/>
    <mergeCell ref="BI41:BM41"/>
    <mergeCell ref="BN41:BR41"/>
    <mergeCell ref="BS41:BW41"/>
    <mergeCell ref="BX41:CB41"/>
    <mergeCell ref="BX40:CB40"/>
    <mergeCell ref="A42:H42"/>
    <mergeCell ref="I42:O42"/>
    <mergeCell ref="U42:Y42"/>
    <mergeCell ref="Z42:AD42"/>
    <mergeCell ref="AE42:AI42"/>
    <mergeCell ref="BD41:BH41"/>
    <mergeCell ref="BD42:BH42"/>
    <mergeCell ref="AT42:AX42"/>
    <mergeCell ref="AY42:BC42"/>
    <mergeCell ref="AJ42:AN42"/>
    <mergeCell ref="A41:H41"/>
    <mergeCell ref="I41:O41"/>
    <mergeCell ref="U41:Y41"/>
    <mergeCell ref="Z41:AD41"/>
    <mergeCell ref="AE41:AI41"/>
    <mergeCell ref="BD40:BH40"/>
    <mergeCell ref="AO40:AS40"/>
    <mergeCell ref="AY41:BC41"/>
    <mergeCell ref="A43:H43"/>
    <mergeCell ref="I43:O43"/>
    <mergeCell ref="P43:T43"/>
    <mergeCell ref="U43:Y43"/>
    <mergeCell ref="Z43:AD43"/>
    <mergeCell ref="AE43:AI43"/>
    <mergeCell ref="BI42:BM42"/>
    <mergeCell ref="BN42:BR42"/>
    <mergeCell ref="BS42:BW42"/>
    <mergeCell ref="BD44:BH44"/>
    <mergeCell ref="BI44:BM44"/>
    <mergeCell ref="BN44:BR44"/>
    <mergeCell ref="BN43:BR43"/>
    <mergeCell ref="BS43:BW43"/>
    <mergeCell ref="BX43:CB43"/>
    <mergeCell ref="AJ43:AN43"/>
    <mergeCell ref="AO43:AS43"/>
    <mergeCell ref="AT43:AX43"/>
    <mergeCell ref="AY43:BC43"/>
    <mergeCell ref="BD43:BH43"/>
    <mergeCell ref="BI43:BM43"/>
    <mergeCell ref="AO44:AS44"/>
    <mergeCell ref="A44:H44"/>
    <mergeCell ref="I44:O44"/>
    <mergeCell ref="P44:T44"/>
    <mergeCell ref="U44:Y44"/>
    <mergeCell ref="Z44:AD44"/>
    <mergeCell ref="AE44:AI44"/>
    <mergeCell ref="AT44:AX44"/>
    <mergeCell ref="AY44:BC44"/>
    <mergeCell ref="AJ44:AN44"/>
    <mergeCell ref="AJ46:AN46"/>
    <mergeCell ref="AO46:AS46"/>
    <mergeCell ref="AT46:AX46"/>
    <mergeCell ref="AT45:AX45"/>
    <mergeCell ref="AY45:BC45"/>
    <mergeCell ref="BD45:BH45"/>
    <mergeCell ref="BI45:BM45"/>
    <mergeCell ref="BI46:BM46"/>
    <mergeCell ref="A45:H45"/>
    <mergeCell ref="I45:O45"/>
    <mergeCell ref="P45:T45"/>
    <mergeCell ref="U45:Y45"/>
    <mergeCell ref="Z45:AD45"/>
    <mergeCell ref="AE45:AI45"/>
    <mergeCell ref="AJ45:AN45"/>
    <mergeCell ref="AO45:AS45"/>
    <mergeCell ref="BZ10:CG10"/>
    <mergeCell ref="BZ11:CG11"/>
    <mergeCell ref="A12:CG12"/>
    <mergeCell ref="BI39:BM39"/>
    <mergeCell ref="BN39:BR39"/>
    <mergeCell ref="BN38:BR38"/>
    <mergeCell ref="BX48:CB48"/>
    <mergeCell ref="A48:H48"/>
    <mergeCell ref="I48:O48"/>
    <mergeCell ref="AJ48:AN48"/>
    <mergeCell ref="BI48:BM48"/>
    <mergeCell ref="AY47:BC47"/>
    <mergeCell ref="BD47:BH47"/>
    <mergeCell ref="AO48:AS48"/>
    <mergeCell ref="AT48:AX48"/>
    <mergeCell ref="AY48:BC48"/>
    <mergeCell ref="BD48:BH48"/>
    <mergeCell ref="AJ47:AN47"/>
    <mergeCell ref="AO47:AS47"/>
    <mergeCell ref="AT47:AX47"/>
    <mergeCell ref="A47:H47"/>
    <mergeCell ref="AY46:BC46"/>
    <mergeCell ref="BD46:BH46"/>
    <mergeCell ref="Z46:AD46"/>
    <mergeCell ref="BD49:BH49"/>
    <mergeCell ref="AT49:AX49"/>
    <mergeCell ref="AY49:BC49"/>
    <mergeCell ref="P48:T48"/>
    <mergeCell ref="U48:Y48"/>
    <mergeCell ref="Z48:AD48"/>
    <mergeCell ref="AE48:AI48"/>
    <mergeCell ref="A49:AD49"/>
    <mergeCell ref="AE49:AI49"/>
    <mergeCell ref="AJ49:AN49"/>
    <mergeCell ref="AO49:AS49"/>
    <mergeCell ref="I47:O47"/>
    <mergeCell ref="P47:T47"/>
    <mergeCell ref="U47:Y47"/>
    <mergeCell ref="Z47:AD47"/>
    <mergeCell ref="AE47:AI47"/>
    <mergeCell ref="A46:H46"/>
    <mergeCell ref="I46:O46"/>
    <mergeCell ref="P46:T46"/>
    <mergeCell ref="U46:Y46"/>
    <mergeCell ref="AE46:AI46"/>
    <mergeCell ref="P41:T41"/>
    <mergeCell ref="P42:T42"/>
    <mergeCell ref="AJ41:AN41"/>
    <mergeCell ref="AO41:AS41"/>
    <mergeCell ref="AJ39:AN39"/>
    <mergeCell ref="AT37:AX37"/>
    <mergeCell ref="AY37:BC37"/>
    <mergeCell ref="AO38:AS38"/>
    <mergeCell ref="AT38:AX38"/>
    <mergeCell ref="AO39:AS39"/>
    <mergeCell ref="AT39:AX39"/>
    <mergeCell ref="AY39:BC39"/>
    <mergeCell ref="AY38:BC38"/>
    <mergeCell ref="AO42:AS42"/>
    <mergeCell ref="AT41:AX41"/>
    <mergeCell ref="AJ40:AN40"/>
    <mergeCell ref="P37:T37"/>
    <mergeCell ref="AJ37:AN37"/>
    <mergeCell ref="AO37:AS37"/>
    <mergeCell ref="CC43:CG43"/>
    <mergeCell ref="CC44:CG44"/>
    <mergeCell ref="CC45:CG45"/>
    <mergeCell ref="CC41:CG41"/>
    <mergeCell ref="BN46:BR46"/>
    <mergeCell ref="BS46:BW46"/>
    <mergeCell ref="CC46:CG46"/>
    <mergeCell ref="BX46:CB46"/>
    <mergeCell ref="BX45:CB45"/>
    <mergeCell ref="BN45:BR45"/>
    <mergeCell ref="BS45:BW45"/>
    <mergeCell ref="BS44:BW44"/>
    <mergeCell ref="BX44:CB44"/>
    <mergeCell ref="BX42:CB42"/>
    <mergeCell ref="CC18:CG18"/>
    <mergeCell ref="CC19:CG19"/>
    <mergeCell ref="CC20:CG20"/>
    <mergeCell ref="AY19:BC19"/>
    <mergeCell ref="AT23:AX23"/>
    <mergeCell ref="CC42:CG42"/>
    <mergeCell ref="CC21:CG21"/>
    <mergeCell ref="CC22:CG22"/>
    <mergeCell ref="CC23:CG23"/>
    <mergeCell ref="BN40:BR40"/>
    <mergeCell ref="BS40:BW40"/>
    <mergeCell ref="BS39:BW39"/>
    <mergeCell ref="BX39:CB39"/>
    <mergeCell ref="BD37:BH37"/>
    <mergeCell ref="BX37:CB37"/>
    <mergeCell ref="BX36:CB36"/>
    <mergeCell ref="BS37:BW37"/>
    <mergeCell ref="BN33:BQ33"/>
    <mergeCell ref="BR33:CG34"/>
    <mergeCell ref="BN30:BR30"/>
    <mergeCell ref="BS30:BW30"/>
    <mergeCell ref="BD22:BH22"/>
    <mergeCell ref="CC39:CG39"/>
    <mergeCell ref="AY40:BC40"/>
    <mergeCell ref="P23:T23"/>
    <mergeCell ref="BI28:BM28"/>
    <mergeCell ref="BN28:BR28"/>
    <mergeCell ref="AJ29:AN29"/>
    <mergeCell ref="AO29:AS29"/>
    <mergeCell ref="AT29:AX29"/>
    <mergeCell ref="AY29:BC29"/>
    <mergeCell ref="BD29:BH29"/>
    <mergeCell ref="BI29:BM29"/>
    <mergeCell ref="AO23:AS23"/>
    <mergeCell ref="BN25:BR25"/>
    <mergeCell ref="BI24:BM24"/>
    <mergeCell ref="BN24:BR24"/>
    <mergeCell ref="Z23:AD23"/>
    <mergeCell ref="AE23:AI23"/>
    <mergeCell ref="AJ25:AN25"/>
    <mergeCell ref="AO25:AS25"/>
    <mergeCell ref="AT21:AX21"/>
    <mergeCell ref="AT22:AX22"/>
    <mergeCell ref="CC28:CG28"/>
    <mergeCell ref="CC29:CG29"/>
    <mergeCell ref="AY28:BC28"/>
    <mergeCell ref="BD28:BH28"/>
    <mergeCell ref="CC40:CG40"/>
    <mergeCell ref="AY21:BC21"/>
    <mergeCell ref="CC37:CG37"/>
    <mergeCell ref="CC38:CG38"/>
    <mergeCell ref="CC27:CG27"/>
    <mergeCell ref="AT40:AX40"/>
    <mergeCell ref="CC30:CG30"/>
    <mergeCell ref="A31:CG31"/>
    <mergeCell ref="CC25:CG25"/>
    <mergeCell ref="CC26:CG26"/>
    <mergeCell ref="CC24:CG24"/>
    <mergeCell ref="P39:T39"/>
    <mergeCell ref="P40:T40"/>
    <mergeCell ref="A40:H40"/>
    <mergeCell ref="P21:T21"/>
    <mergeCell ref="AL32:AN32"/>
    <mergeCell ref="AP32:AW32"/>
    <mergeCell ref="AH34:AL34"/>
    <mergeCell ref="CC47:CG47"/>
    <mergeCell ref="CC48:CG48"/>
    <mergeCell ref="CC49:CG49"/>
    <mergeCell ref="BI49:BM49"/>
    <mergeCell ref="BN47:BR47"/>
    <mergeCell ref="BS47:BW47"/>
    <mergeCell ref="BX47:CB47"/>
    <mergeCell ref="BS49:BW49"/>
    <mergeCell ref="BN48:BR48"/>
    <mergeCell ref="BX49:CB49"/>
    <mergeCell ref="BI47:BM47"/>
    <mergeCell ref="BN49:BR49"/>
    <mergeCell ref="BS48:BW48"/>
    <mergeCell ref="BR13:CG13"/>
    <mergeCell ref="AH14:AL14"/>
    <mergeCell ref="AM14:AP14"/>
    <mergeCell ref="G34:L34"/>
    <mergeCell ref="N34:S34"/>
    <mergeCell ref="T34:W34"/>
    <mergeCell ref="AD34:AF34"/>
    <mergeCell ref="BN34:BQ34"/>
    <mergeCell ref="A13:AK13"/>
    <mergeCell ref="AL13:AN13"/>
    <mergeCell ref="AP13:AW13"/>
    <mergeCell ref="AX13:AZ13"/>
    <mergeCell ref="BB13:BI13"/>
    <mergeCell ref="BR32:CG32"/>
    <mergeCell ref="A33:F34"/>
    <mergeCell ref="G33:L33"/>
    <mergeCell ref="N33:S33"/>
    <mergeCell ref="T33:W33"/>
    <mergeCell ref="X33:AC34"/>
    <mergeCell ref="AD33:AF33"/>
    <mergeCell ref="AH33:AL33"/>
    <mergeCell ref="AM33:AP33"/>
    <mergeCell ref="A32:AK32"/>
    <mergeCell ref="G14:L14"/>
    <mergeCell ref="N14:S14"/>
    <mergeCell ref="T14:W14"/>
    <mergeCell ref="X14:AC15"/>
    <mergeCell ref="AD14:AF14"/>
    <mergeCell ref="BJ13:BP13"/>
    <mergeCell ref="AW14:BL14"/>
    <mergeCell ref="BN14:BQ14"/>
    <mergeCell ref="G15:L15"/>
    <mergeCell ref="BN15:BQ15"/>
  </mergeCells>
  <conditionalFormatting sqref="BX30 BN30 BD30 AT30 AJ30 A37:O48 AJ49 AT49 BD49 BN49 BX49 BR9:BR11 U37:Y48 CC30 CC49 BD18:CG29 BD37:CG48">
    <cfRule type="containsBlanks" dxfId="108" priority="11" stopIfTrue="1">
      <formula>LEN(TRIM(A9))=0</formula>
    </cfRule>
  </conditionalFormatting>
  <conditionalFormatting sqref="L9:AN9 T10:AB10 AH10:AN10 AA11:AH11 A18:BC29 Z37:BC48">
    <cfRule type="containsBlanks" dxfId="107" priority="10" stopIfTrue="1">
      <formula>LEN(TRIM(A9))=0</formula>
    </cfRule>
  </conditionalFormatting>
  <conditionalFormatting sqref="AM34 AH34 N33:S34 BN33:BQ34 BB32 BR32">
    <cfRule type="containsBlanks" dxfId="106" priority="6" stopIfTrue="1">
      <formula>LEN(TRIM(N32))=0</formula>
    </cfRule>
  </conditionalFormatting>
  <conditionalFormatting sqref="AH14 AP13">
    <cfRule type="containsBlanks" dxfId="105" priority="9" stopIfTrue="1">
      <formula>LEN(TRIM(AH13))=0</formula>
    </cfRule>
  </conditionalFormatting>
  <conditionalFormatting sqref="N14:S15 AH15 BB13 BR13 BN14:BQ15 AM15">
    <cfRule type="containsBlanks" dxfId="104" priority="8" stopIfTrue="1">
      <formula>LEN(TRIM(N13))=0</formula>
    </cfRule>
  </conditionalFormatting>
  <conditionalFormatting sqref="AH33">
    <cfRule type="containsBlanks" dxfId="103" priority="7" stopIfTrue="1">
      <formula>LEN(TRIM(AH33))=0</formula>
    </cfRule>
  </conditionalFormatting>
  <conditionalFormatting sqref="BR1:CG2 AC5 Y4 I4:T5">
    <cfRule type="containsBlanks" dxfId="102" priority="5" stopIfTrue="1">
      <formula>LEN(TRIM(I1))=0</formula>
    </cfRule>
  </conditionalFormatting>
  <conditionalFormatting sqref="BB4:BL5 BX4:CG5">
    <cfRule type="containsBlanks" dxfId="101" priority="4" stopIfTrue="1">
      <formula>LEN(TRIM(BB4))=0</formula>
    </cfRule>
  </conditionalFormatting>
  <conditionalFormatting sqref="AX55:CG57 C59 AK59 BR59">
    <cfRule type="containsBlanks" dxfId="100" priority="3" stopIfTrue="1">
      <formula>LEN(TRIM(C55))=0</formula>
    </cfRule>
  </conditionalFormatting>
  <conditionalFormatting sqref="BZ51 AZ51 AH51 AI4 AP32">
    <cfRule type="containsBlanks" dxfId="99" priority="2" stopIfTrue="1">
      <formula>LEN(TRIM(AH4))=0</formula>
    </cfRule>
  </conditionalFormatting>
  <conditionalFormatting sqref="P37:T48">
    <cfRule type="containsBlanks" dxfId="98" priority="1" stopIfTrue="1">
      <formula>LEN(TRIM(P37))=0</formula>
    </cfRule>
  </conditionalFormatting>
  <dataValidations xWindow="234" yWindow="736" count="50">
    <dataValidation allowBlank="1" prompt="Enter the reference height in metres or in Ft&amp;In, this should be available in the vessels calibration tables. Ensure to select the correct units above._x000a_" sqref="U37:Y48" xr:uid="{00000000-0002-0000-0900-000000000000}"/>
    <dataValidation allowBlank="1" sqref="U36:Y36" xr:uid="{00000000-0002-0000-0900-000001000000}"/>
    <dataValidation allowBlank="1" showInputMessage="1" showErrorMessage="1" promptTitle="Closing Soundings" prompt="Enter the temperature of the fuel within the tank in either °C or °F. Ensure the correct units are selected above." sqref="AY37:BC37" xr:uid="{00000000-0002-0000-0900-000002000000}"/>
    <dataValidation allowBlank="1" showInputMessage="1" showErrorMessage="1" promptTitle="Closing Soundings" prompt="Calculate the volume of F.W. This can be entered in m³ or barrels, ensure the correct units are selected above." sqref="AT37:AX37" xr:uid="{00000000-0002-0000-0900-000003000000}"/>
    <dataValidation allowBlank="1" showInputMessage="1" showErrorMessage="1" promptTitle="Closing Soundings" prompt="Enter if any Free Water (F.W.) was observed during the soundings." sqref="AO37:AS37" xr:uid="{00000000-0002-0000-0900-000004000000}"/>
    <dataValidation allowBlank="1" showInputMessage="1" showErrorMessage="1" promptTitle="Closing Soundings" prompt="Enter the Total Observed Volume (T.O.V.), this can be ascertained by using the vessel's calibration tables. This can be entered in m³ or barrels, ensure the correct units are selected above." sqref="AJ37:AN37" xr:uid="{00000000-0002-0000-0900-000005000000}"/>
    <dataValidation allowBlank="1" showInputMessage="1" showErrorMessage="1" promptTitle="Closing soundings" prompt="Enter corrected innage/ullage figures. Ensure that innage or ullage is correctly stated above." sqref="AE37:AI37" xr:uid="{00000000-0002-0000-0900-000006000000}"/>
    <dataValidation allowBlank="1" showInputMessage="1" showErrorMessage="1" promptTitle="Closing soundings" prompt="Enter observed innage/ullage figures. Ensure that innage or ullage is correctly stated above." sqref="Z37:AD37" xr:uid="{00000000-0002-0000-0900-000007000000}"/>
    <dataValidation allowBlank="1" showInputMessage="1" showErrorMessage="1" promptTitle="Closing Density" prompt="Enter the density/API/specific gravity of the fuel within the tank. Ensure that it is correctly stated above." sqref="P37:T37" xr:uid="{5D9B5B7E-06CF-47B2-8759-8EC651A2F1D8}"/>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0900-000009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0900-00000A000000}"/>
    <dataValidation allowBlank="1" showInputMessage="1" showErrorMessage="1" promptTitle="Opening Temperatures" prompt="Enter the temperature of the fuel within the tank in either °C or °F. Ensure the correct units are selected above." sqref="AY18:BC18" xr:uid="{00000000-0002-0000-0900-00000B000000}"/>
    <dataValidation allowBlank="1" showInputMessage="1" showErrorMessage="1" promptTitle="Opening Soundings" prompt="Calculate the volume of F.W. This can be entered in m³ or barrels, ensure the correct units are selected above." sqref="AT18:AX18" xr:uid="{00000000-0002-0000-0900-00000C000000}"/>
    <dataValidation allowBlank="1" showInputMessage="1" showErrorMessage="1" promptTitle="Opening Soundings" prompt="Enter if any Free Water (F.W.) was observed during the soundings." sqref="AO18:AS18" xr:uid="{00000000-0002-0000-0900-00000D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xr:uid="{00000000-0002-0000-0900-00000E000000}"/>
    <dataValidation allowBlank="1" showInputMessage="1" showErrorMessage="1" promptTitle="Opening Soundings" prompt="Enter corrected innage/ullage figures. Ensure that innage or ullage is correctly stated above." sqref="AE18:AI18" xr:uid="{00000000-0002-0000-0900-00000F000000}"/>
    <dataValidation allowBlank="1" showInputMessage="1" showErrorMessage="1" promptTitle="Opening Soundings" prompt="Enter observed innage/ullage figures. Ensure that innage or ullage is correctly stated above." sqref="Z18:AD18" xr:uid="{00000000-0002-0000-0900-000010000000}"/>
    <dataValidation allowBlank="1" showInputMessage="1" showErrorMessage="1" prompt="Enter the reference height in metres or in Ft&amp;In, this should be available in the vessels calibration tables. Ensure to select the correct units above._x000a_" sqref="U18:Y18" xr:uid="{00000000-0002-0000-0900-000011000000}"/>
    <dataValidation allowBlank="1" showInputMessage="1" showErrorMessage="1" promptTitle="Opening Density" prompt="Enter the density/API/specific gravity of the fuel within the tank as advised by the barge. Ensure that it is correctly stated above." sqref="P18:T18" xr:uid="{00000000-0002-0000-0900-000012000000}"/>
    <dataValidation allowBlank="1" showInputMessage="1" showErrorMessage="1" prompt="Enter the grade of fuel within the tank" sqref="I18:O18" xr:uid="{00000000-0002-0000-0900-000013000000}"/>
    <dataValidation allowBlank="1" showInputMessage="1" showErrorMessage="1" prompt="Enter the name of the barge tank" sqref="A18:H18" xr:uid="{00000000-0002-0000-0900-000014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0900-000015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0900-000016000000}"/>
    <dataValidation allowBlank="1" showInputMessage="1" showErrorMessage="1" prompt="Enter the amount of bunkers on departure from the last port of call as advised by the barge" sqref="AA11:AH11" xr:uid="{00000000-0002-0000-0900-000017000000}"/>
    <dataValidation allowBlank="1" showInputMessage="1" showErrorMessage="1" prompt="Enter the time barge sailed from last port of call" sqref="AH10:AN10" xr:uid="{00000000-0002-0000-0900-000018000000}"/>
    <dataValidation allowBlank="1" showInputMessage="1" showErrorMessage="1" prompt="Enter the date barge sailed from the last port of call" sqref="T10:AB10" xr:uid="{00000000-0002-0000-0900-000019000000}"/>
    <dataValidation allowBlank="1" showInputMessage="1" showErrorMessage="1" prompt="Enter the barge's last port of call" sqref="L9:AN9" xr:uid="{00000000-0002-0000-0900-00001A000000}"/>
    <dataValidation type="list" allowBlank="1" showInputMessage="1" showErrorMessage="1" sqref="AY17:BC17" xr:uid="{00000000-0002-0000-0900-00001B000000}">
      <formula1>$CN$39:$CN$40</formula1>
    </dataValidation>
    <dataValidation type="list" allowBlank="1" showInputMessage="1" showErrorMessage="1" sqref="AJ17:AN17" xr:uid="{00000000-0002-0000-0900-00001C000000}">
      <formula1>$CN$34:$CN$35</formula1>
    </dataValidation>
    <dataValidation type="list" allowBlank="1" showInputMessage="1" showErrorMessage="1" sqref="T14 T33" xr:uid="{00000000-0002-0000-0900-00001D000000}">
      <formula1>$CN$8:$CN$9</formula1>
    </dataValidation>
    <dataValidation type="list" allowBlank="1" showInputMessage="1" showErrorMessage="1" sqref="U17:Y17" xr:uid="{00000000-0002-0000-0900-00001E000000}">
      <formula1>$CN$24:$CN$25</formula1>
    </dataValidation>
    <dataValidation type="list" allowBlank="1" showInputMessage="1" showErrorMessage="1" sqref="P16:T16" xr:uid="{00000000-0002-0000-0900-00001F000000}">
      <formula1>$CN$18:$CN$20</formula1>
    </dataValidation>
    <dataValidation type="list" allowBlank="1" showInputMessage="1" showErrorMessage="1" sqref="Z36:AD36 Z17:AD17 AO17:AS17 AO36:AS36" xr:uid="{00000000-0002-0000-0900-000020000000}">
      <formula1>$CN$29:$CN$30</formula1>
    </dataValidation>
    <dataValidation type="list" allowBlank="1" showInputMessage="1" showErrorMessage="1" prompt="Advise whether list corrections were made on arrival" sqref="BN15:BQ15" xr:uid="{00000000-0002-0000-0900-000021000000}">
      <formula1>$CN$13:$CN$14</formula1>
    </dataValidation>
    <dataValidation allowBlank="1" showInputMessage="1" showErrorMessage="1" prompt="Advise time that the opening soundings were made_x000a_" sqref="BB13:BI13" xr:uid="{00000000-0002-0000-0900-000022000000}"/>
    <dataValidation type="list" allowBlank="1" showInputMessage="1" showErrorMessage="1" prompt="Advise whether trim corrections were made on arrival" sqref="BN14:BQ14" xr:uid="{00000000-0002-0000-0900-000023000000}">
      <formula1>$CN$13:$CN$14</formula1>
    </dataValidation>
    <dataValidation allowBlank="1" showInputMessage="1" showErrorMessage="1" prompt="Advise the list of the vessel when opening soundings were made and select either °P or °S in the adjacent box" sqref="AH15:AL15" xr:uid="{00000000-0002-0000-0900-000024000000}"/>
    <dataValidation type="list" allowBlank="1" showInputMessage="1" showErrorMessage="1" prompt="Advise the sea condition during the opening soundings" sqref="BR13:CG13" xr:uid="{00000000-0002-0000-0900-000025000000}">
      <formula1>$CN$57:$CN$60</formula1>
    </dataValidation>
    <dataValidation type="list" allowBlank="1" showInputMessage="1" showErrorMessage="1" sqref="AM15 AM34" xr:uid="{00000000-0002-0000-0900-000026000000}">
      <formula1>$CN$64:$CN$65</formula1>
    </dataValidation>
    <dataValidation allowBlank="1" showInputMessage="1" showErrorMessage="1" prompt="Advise the list of the vessel when closing soundings were made and select either °P or °S in the adjacent box" sqref="AH34:AL34" xr:uid="{00000000-0002-0000-0900-000027000000}"/>
    <dataValidation allowBlank="1" showInputMessage="1" showErrorMessage="1" prompt="Advise time that the closing soundings were made_x000a_" sqref="BB32:BI32" xr:uid="{00000000-0002-0000-0900-000028000000}"/>
    <dataValidation type="list" allowBlank="1" showInputMessage="1" showErrorMessage="1" prompt="Advise whether trim corrections were made on departure" sqref="BN33:BQ33" xr:uid="{00000000-0002-0000-0900-000029000000}">
      <formula1>$CN$13:$CN$14</formula1>
    </dataValidation>
    <dataValidation type="list" allowBlank="1" showInputMessage="1" showErrorMessage="1" prompt="Advise whether list corrections were made on departure_x000a_" sqref="BN34:BQ34" xr:uid="{00000000-0002-0000-0900-00002A000000}">
      <formula1>$CN$13:$CN$14</formula1>
    </dataValidation>
    <dataValidation type="list" allowBlank="1" showInputMessage="1" showErrorMessage="1" prompt="Advise the sea condition during the closing soundings" sqref="BR32:CG32" xr:uid="{00000000-0002-0000-0900-00002B000000}">
      <formula1>$CN$57:$CN$60</formula1>
    </dataValidation>
    <dataValidation allowBlank="1" showInputMessage="1" showErrorMessage="1" prompt="Please enter the name of the company that has certified/created the calibration table." sqref="BB4:BL4" xr:uid="{00000000-0002-0000-0900-00002C000000}"/>
    <dataValidation operator="greaterThan" allowBlank="1" showInputMessage="1" showErrorMessage="1" prompt="Enter the date of the calibration table_x000a_" sqref="BB5:BL5" xr:uid="{00000000-0002-0000-0900-00002D000000}"/>
    <dataValidation allowBlank="1" showInputMessage="1" showErrorMessage="1" prompt="Enter the serial number of the sounding tape used" sqref="BX4:CG4" xr:uid="{00000000-0002-0000-0900-00002E000000}"/>
    <dataValidation allowBlank="1" showInputMessage="1" showErrorMessage="1" prompt="Enter the serial number of the thermometer used" sqref="BX5:CG5" xr:uid="{00000000-0002-0000-0900-00002F000000}"/>
    <dataValidation type="list" allowBlank="1" showInputMessage="1" showErrorMessage="1" sqref="BZ51:CF51" xr:uid="{00000000-0002-0000-0900-000030000000}">
      <formula1>$CN$13:$CN$14</formula1>
    </dataValidation>
    <dataValidation allowBlank="1" showInputMessage="1" showErrorMessage="1" prompt="Advise date closing measurements were made" sqref="AP32:AW32" xr:uid="{34FE3B2E-6D56-43D8-8E11-2FD826477624}"/>
  </dataValidations>
  <printOptions horizontalCentered="1" verticalCentered="1"/>
  <pageMargins left="0.23622047244094491" right="0.23622047244094491" top="0.23622047244094491" bottom="0.23622047244094491" header="0.51181102362204722" footer="0.23622047244094491"/>
  <pageSetup scale="94" orientation="landscape" r:id="rId1"/>
  <headerFooter alignWithMargins="0">
    <oddFooter>&amp;C&amp;06 &amp;P &amp; of &amp;N</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rgb="FF92D050"/>
  </sheetPr>
  <dimension ref="A1:BJ61"/>
  <sheetViews>
    <sheetView topLeftCell="A14" zoomScaleNormal="100" workbookViewId="0">
      <selection activeCell="AK33" sqref="AK33:BB33"/>
    </sheetView>
  </sheetViews>
  <sheetFormatPr defaultColWidth="9" defaultRowHeight="12" customHeight="1" x14ac:dyDescent="0.2"/>
  <cols>
    <col min="1" max="36" width="1" style="6" customWidth="1"/>
    <col min="37" max="54" width="3.7109375" style="6" customWidth="1"/>
    <col min="55" max="16384" width="9" style="6"/>
  </cols>
  <sheetData>
    <row r="1" spans="1:62" ht="12"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5" t="s">
        <v>280</v>
      </c>
      <c r="AS1" s="155"/>
      <c r="AT1" s="90" t="s">
        <v>0</v>
      </c>
      <c r="AU1" s="155" t="str">
        <f>IF('Data Entry'!N28="","",'Data Entry'!N28)</f>
        <v/>
      </c>
      <c r="AV1" s="155"/>
      <c r="AW1" s="155"/>
      <c r="AX1" s="155"/>
      <c r="AY1" s="155"/>
      <c r="AZ1" s="155"/>
      <c r="BA1" s="155"/>
      <c r="BB1" s="155"/>
    </row>
    <row r="2" spans="1:62" ht="12"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5" t="s">
        <v>281</v>
      </c>
      <c r="AS2" s="155"/>
      <c r="AT2" s="90" t="s">
        <v>0</v>
      </c>
      <c r="AU2" s="155" t="str">
        <f>IF('Data Entry'!N39="","",'Data Entry'!N39)</f>
        <v>SC17124</v>
      </c>
      <c r="AV2" s="155"/>
      <c r="AW2" s="155"/>
      <c r="AX2" s="155"/>
      <c r="AY2" s="155"/>
      <c r="AZ2" s="155"/>
      <c r="BA2" s="155"/>
      <c r="BB2" s="155"/>
    </row>
    <row r="3" spans="1:62" ht="12"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t="str">
        <f>'Bunker Certificate 1'!Y4</f>
        <v/>
      </c>
      <c r="AS3" s="154"/>
      <c r="AT3" s="154"/>
      <c r="AU3" s="154"/>
      <c r="AV3" s="154"/>
      <c r="AW3" s="154"/>
      <c r="AX3" s="154"/>
      <c r="AY3" s="154"/>
      <c r="AZ3" s="154"/>
      <c r="BA3" s="154"/>
      <c r="BB3" s="154"/>
    </row>
    <row r="4" spans="1:62" ht="12" customHeight="1" x14ac:dyDescent="0.2">
      <c r="A4" s="164" t="s">
        <v>30</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row>
    <row r="5" spans="1:62" ht="12" customHeight="1" x14ac:dyDescent="0.2">
      <c r="A5" s="164"/>
      <c r="B5" s="164"/>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row>
    <row r="6" spans="1:62" ht="12" customHeight="1" x14ac:dyDescent="0.2">
      <c r="A6" s="155" t="s">
        <v>1</v>
      </c>
      <c r="B6" s="155"/>
      <c r="C6" s="155"/>
      <c r="D6" s="155"/>
      <c r="E6" s="155"/>
      <c r="F6" s="155"/>
      <c r="G6" s="155"/>
      <c r="H6" s="155"/>
      <c r="I6" s="155"/>
      <c r="J6" s="155"/>
      <c r="K6" s="155"/>
      <c r="L6" s="155"/>
      <c r="M6" s="155" t="s">
        <v>0</v>
      </c>
      <c r="N6" s="155"/>
      <c r="O6" s="155" t="str">
        <f>IF('Data Entry'!N6="","",'Data Entry'!N6)</f>
        <v/>
      </c>
      <c r="P6" s="155"/>
      <c r="Q6" s="155"/>
      <c r="R6" s="155"/>
      <c r="S6" s="155"/>
      <c r="T6" s="155"/>
      <c r="U6" s="155"/>
      <c r="V6" s="155"/>
      <c r="W6" s="155"/>
      <c r="X6" s="155"/>
      <c r="Y6" s="155"/>
      <c r="Z6" s="155"/>
      <c r="AA6" s="155"/>
      <c r="AB6" s="155"/>
      <c r="AC6" s="155"/>
      <c r="AD6" s="155"/>
      <c r="AE6" s="155"/>
      <c r="AF6" s="155"/>
      <c r="AG6" s="155"/>
      <c r="AH6" s="155"/>
      <c r="AI6" s="155"/>
      <c r="AJ6" s="155"/>
      <c r="AK6" s="155"/>
      <c r="AL6" s="155"/>
      <c r="AM6" s="155"/>
      <c r="AN6" s="155"/>
      <c r="AO6" s="155"/>
      <c r="AP6" s="155"/>
      <c r="AQ6" s="155"/>
      <c r="AR6" s="155" t="s">
        <v>197</v>
      </c>
      <c r="AS6" s="155"/>
      <c r="AT6" s="90" t="s">
        <v>0</v>
      </c>
      <c r="AU6" s="155" t="str">
        <f>IF('Data Entry'!N14="","",'Data Entry'!N14)</f>
        <v/>
      </c>
      <c r="AV6" s="155"/>
      <c r="AW6" s="155"/>
      <c r="AX6" s="155"/>
      <c r="AY6" s="155"/>
      <c r="AZ6" s="155"/>
      <c r="BA6" s="155"/>
      <c r="BB6" s="155"/>
    </row>
    <row r="7" spans="1:62" ht="12" customHeight="1" x14ac:dyDescent="0.2">
      <c r="A7" s="155" t="s">
        <v>124</v>
      </c>
      <c r="B7" s="155"/>
      <c r="C7" s="155"/>
      <c r="D7" s="155"/>
      <c r="E7" s="155"/>
      <c r="F7" s="155"/>
      <c r="G7" s="155"/>
      <c r="H7" s="155"/>
      <c r="I7" s="155"/>
      <c r="J7" s="155"/>
      <c r="K7" s="155"/>
      <c r="L7" s="155"/>
      <c r="M7" s="155" t="s">
        <v>0</v>
      </c>
      <c r="N7" s="155"/>
      <c r="O7" s="155" t="str">
        <f>IF('Data Entry'!N26="","",'Data Entry'!N26)&amp;IF(OR('Data Entry'!N26="",'Data Entry'!N27=""),"","/")&amp; IF('Data Entry'!N27="","",'Data Entry'!N27)</f>
        <v>ANCHORAGE AREA/İSTANBUL</v>
      </c>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t="s">
        <v>52</v>
      </c>
      <c r="AS7" s="155"/>
      <c r="AT7" s="90" t="s">
        <v>0</v>
      </c>
      <c r="AU7" s="155" t="str">
        <f>IF('Data Entry'!N12="","",'Data Entry'!N12)</f>
        <v/>
      </c>
      <c r="AV7" s="155"/>
      <c r="AW7" s="155"/>
      <c r="AX7" s="155"/>
      <c r="AY7" s="155"/>
      <c r="AZ7" s="155"/>
      <c r="BA7" s="155"/>
      <c r="BB7" s="155"/>
    </row>
    <row r="8" spans="1:62" ht="12" customHeight="1" thickBot="1" x14ac:dyDescent="0.25">
      <c r="A8" s="381"/>
      <c r="B8" s="381"/>
      <c r="C8" s="381"/>
      <c r="D8" s="381"/>
      <c r="E8" s="381"/>
      <c r="F8" s="381"/>
      <c r="G8" s="381"/>
      <c r="H8" s="381"/>
      <c r="I8" s="381"/>
      <c r="J8" s="381"/>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381"/>
      <c r="BB8" s="381"/>
    </row>
    <row r="9" spans="1:62" ht="12" customHeight="1" x14ac:dyDescent="0.2">
      <c r="A9" s="219" t="s">
        <v>480</v>
      </c>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c r="AW9" s="219"/>
      <c r="AX9" s="219"/>
      <c r="AY9" s="219"/>
      <c r="AZ9" s="219"/>
      <c r="BA9" s="219"/>
      <c r="BB9" s="219"/>
    </row>
    <row r="10" spans="1:62" ht="2.1" customHeight="1" x14ac:dyDescent="0.2">
      <c r="A10" s="155"/>
      <c r="B10" s="155"/>
      <c r="C10" s="155"/>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row>
    <row r="11" spans="1:62" ht="12" customHeight="1" x14ac:dyDescent="0.2">
      <c r="A11" s="445" t="s">
        <v>2</v>
      </c>
      <c r="B11" s="445"/>
      <c r="C11" s="445"/>
      <c r="D11" s="445"/>
      <c r="E11" s="445"/>
      <c r="F11" s="445"/>
      <c r="G11" s="445"/>
      <c r="H11" s="445"/>
      <c r="I11" s="445"/>
      <c r="J11" s="445"/>
      <c r="K11" s="445"/>
      <c r="L11" s="445"/>
      <c r="M11" s="445"/>
      <c r="N11" s="445"/>
      <c r="O11" s="445"/>
      <c r="P11" s="445"/>
      <c r="Q11" s="445"/>
      <c r="R11" s="445"/>
      <c r="S11" s="445" t="s">
        <v>32</v>
      </c>
      <c r="T11" s="445"/>
      <c r="U11" s="445"/>
      <c r="V11" s="445"/>
      <c r="W11" s="445"/>
      <c r="X11" s="445"/>
      <c r="Y11" s="445"/>
      <c r="Z11" s="445"/>
      <c r="AA11" s="445"/>
      <c r="AB11" s="445"/>
      <c r="AC11" s="445"/>
      <c r="AD11" s="445"/>
      <c r="AE11" s="445"/>
      <c r="AF11" s="445"/>
      <c r="AG11" s="445"/>
      <c r="AH11" s="445"/>
      <c r="AI11" s="445"/>
      <c r="AJ11" s="445"/>
      <c r="AK11" s="445" t="s">
        <v>33</v>
      </c>
      <c r="AL11" s="445"/>
      <c r="AM11" s="445"/>
      <c r="AN11" s="445"/>
      <c r="AO11" s="445"/>
      <c r="AP11" s="445"/>
      <c r="AQ11" s="445"/>
      <c r="AR11" s="445"/>
      <c r="AS11" s="445"/>
      <c r="AT11" s="445"/>
      <c r="AU11" s="445"/>
      <c r="AV11" s="445"/>
      <c r="AW11" s="445"/>
      <c r="AX11" s="445"/>
      <c r="AY11" s="445"/>
      <c r="AZ11" s="445"/>
      <c r="BA11" s="445"/>
      <c r="BB11" s="445"/>
    </row>
    <row r="12" spans="1:62" ht="12" customHeight="1" x14ac:dyDescent="0.2">
      <c r="A12" s="447">
        <v>44720</v>
      </c>
      <c r="B12" s="447"/>
      <c r="C12" s="447"/>
      <c r="D12" s="447"/>
      <c r="E12" s="447"/>
      <c r="F12" s="447"/>
      <c r="G12" s="447"/>
      <c r="H12" s="447"/>
      <c r="I12" s="447"/>
      <c r="J12" s="447"/>
      <c r="K12" s="447"/>
      <c r="L12" s="447"/>
      <c r="M12" s="447"/>
      <c r="N12" s="447"/>
      <c r="O12" s="447"/>
      <c r="P12" s="447"/>
      <c r="Q12" s="447"/>
      <c r="R12" s="447"/>
      <c r="S12" s="400">
        <v>3.472222222222222E-3</v>
      </c>
      <c r="T12" s="400"/>
      <c r="U12" s="400"/>
      <c r="V12" s="400"/>
      <c r="W12" s="400"/>
      <c r="X12" s="400"/>
      <c r="Y12" s="400"/>
      <c r="Z12" s="400"/>
      <c r="AA12" s="400"/>
      <c r="AB12" s="400"/>
      <c r="AC12" s="400"/>
      <c r="AD12" s="400"/>
      <c r="AE12" s="400"/>
      <c r="AF12" s="400"/>
      <c r="AG12" s="400"/>
      <c r="AH12" s="400"/>
      <c r="AI12" s="400"/>
      <c r="AJ12" s="400"/>
      <c r="AK12" s="446" t="s">
        <v>36</v>
      </c>
      <c r="AL12" s="446"/>
      <c r="AM12" s="446"/>
      <c r="AN12" s="446"/>
      <c r="AO12" s="446"/>
      <c r="AP12" s="446"/>
      <c r="AQ12" s="446"/>
      <c r="AR12" s="446"/>
      <c r="AS12" s="446"/>
      <c r="AT12" s="446"/>
      <c r="AU12" s="446"/>
      <c r="AV12" s="446"/>
      <c r="AW12" s="446"/>
      <c r="AX12" s="446"/>
      <c r="AY12" s="446"/>
      <c r="AZ12" s="446"/>
      <c r="BA12" s="446"/>
      <c r="BB12" s="446"/>
      <c r="BJ12" s="124"/>
    </row>
    <row r="13" spans="1:62" ht="12" customHeight="1" x14ac:dyDescent="0.2">
      <c r="A13" s="447">
        <v>44720</v>
      </c>
      <c r="B13" s="447"/>
      <c r="C13" s="447"/>
      <c r="D13" s="447"/>
      <c r="E13" s="447"/>
      <c r="F13" s="447"/>
      <c r="G13" s="447"/>
      <c r="H13" s="447"/>
      <c r="I13" s="447"/>
      <c r="J13" s="447"/>
      <c r="K13" s="447"/>
      <c r="L13" s="447"/>
      <c r="M13" s="447"/>
      <c r="N13" s="447"/>
      <c r="O13" s="447"/>
      <c r="P13" s="447"/>
      <c r="Q13" s="447"/>
      <c r="R13" s="447"/>
      <c r="S13" s="400">
        <v>1.3888888888888888E-2</v>
      </c>
      <c r="T13" s="400"/>
      <c r="U13" s="400"/>
      <c r="V13" s="400"/>
      <c r="W13" s="400"/>
      <c r="X13" s="400"/>
      <c r="Y13" s="400"/>
      <c r="Z13" s="400"/>
      <c r="AA13" s="400"/>
      <c r="AB13" s="400"/>
      <c r="AC13" s="400"/>
      <c r="AD13" s="400"/>
      <c r="AE13" s="400"/>
      <c r="AF13" s="400"/>
      <c r="AG13" s="400"/>
      <c r="AH13" s="400"/>
      <c r="AI13" s="400"/>
      <c r="AJ13" s="400"/>
      <c r="AK13" s="182" t="s">
        <v>37</v>
      </c>
      <c r="AL13" s="182"/>
      <c r="AM13" s="182"/>
      <c r="AN13" s="182"/>
      <c r="AO13" s="182"/>
      <c r="AP13" s="182"/>
      <c r="AQ13" s="182"/>
      <c r="AR13" s="182"/>
      <c r="AS13" s="182"/>
      <c r="AT13" s="182"/>
      <c r="AU13" s="182"/>
      <c r="AV13" s="182"/>
      <c r="AW13" s="182"/>
      <c r="AX13" s="182"/>
      <c r="AY13" s="182"/>
      <c r="AZ13" s="182"/>
      <c r="BA13" s="182"/>
      <c r="BB13" s="182"/>
      <c r="BJ13" s="124"/>
    </row>
    <row r="14" spans="1:62" ht="12" customHeight="1" x14ac:dyDescent="0.2">
      <c r="A14" s="447">
        <v>44719</v>
      </c>
      <c r="B14" s="447"/>
      <c r="C14" s="447"/>
      <c r="D14" s="447"/>
      <c r="E14" s="447"/>
      <c r="F14" s="447"/>
      <c r="G14" s="447"/>
      <c r="H14" s="447"/>
      <c r="I14" s="447"/>
      <c r="J14" s="447"/>
      <c r="K14" s="447"/>
      <c r="L14" s="447"/>
      <c r="M14" s="447"/>
      <c r="N14" s="447"/>
      <c r="O14" s="447"/>
      <c r="P14" s="447"/>
      <c r="Q14" s="447"/>
      <c r="R14" s="447"/>
      <c r="S14" s="400">
        <v>0.875</v>
      </c>
      <c r="T14" s="400"/>
      <c r="U14" s="400"/>
      <c r="V14" s="400"/>
      <c r="W14" s="400"/>
      <c r="X14" s="400"/>
      <c r="Y14" s="400"/>
      <c r="Z14" s="400"/>
      <c r="AA14" s="400"/>
      <c r="AB14" s="400"/>
      <c r="AC14" s="400"/>
      <c r="AD14" s="400"/>
      <c r="AE14" s="400"/>
      <c r="AF14" s="400"/>
      <c r="AG14" s="400"/>
      <c r="AH14" s="400"/>
      <c r="AI14" s="400"/>
      <c r="AJ14" s="400"/>
      <c r="AK14" s="182" t="s">
        <v>237</v>
      </c>
      <c r="AL14" s="182"/>
      <c r="AM14" s="182"/>
      <c r="AN14" s="182"/>
      <c r="AO14" s="182"/>
      <c r="AP14" s="182"/>
      <c r="AQ14" s="182"/>
      <c r="AR14" s="182"/>
      <c r="AS14" s="182"/>
      <c r="AT14" s="182"/>
      <c r="AU14" s="182"/>
      <c r="AV14" s="182"/>
      <c r="AW14" s="182"/>
      <c r="AX14" s="182"/>
      <c r="AY14" s="182"/>
      <c r="AZ14" s="182"/>
      <c r="BA14" s="182"/>
      <c r="BB14" s="182"/>
      <c r="BJ14" s="124"/>
    </row>
    <row r="15" spans="1:62" ht="12" customHeight="1" x14ac:dyDescent="0.2">
      <c r="A15" s="447">
        <v>44719</v>
      </c>
      <c r="B15" s="447"/>
      <c r="C15" s="447"/>
      <c r="D15" s="447"/>
      <c r="E15" s="447"/>
      <c r="F15" s="447"/>
      <c r="G15" s="447"/>
      <c r="H15" s="447"/>
      <c r="I15" s="447"/>
      <c r="J15" s="447"/>
      <c r="K15" s="447"/>
      <c r="L15" s="447"/>
      <c r="M15" s="447"/>
      <c r="N15" s="447"/>
      <c r="O15" s="447"/>
      <c r="P15" s="447"/>
      <c r="Q15" s="447"/>
      <c r="R15" s="447"/>
      <c r="S15" s="400">
        <v>0.95833333333333337</v>
      </c>
      <c r="T15" s="400"/>
      <c r="U15" s="400"/>
      <c r="V15" s="400"/>
      <c r="W15" s="400"/>
      <c r="X15" s="400"/>
      <c r="Y15" s="400"/>
      <c r="Z15" s="400"/>
      <c r="AA15" s="400"/>
      <c r="AB15" s="400"/>
      <c r="AC15" s="400"/>
      <c r="AD15" s="400"/>
      <c r="AE15" s="400"/>
      <c r="AF15" s="400"/>
      <c r="AG15" s="400"/>
      <c r="AH15" s="400"/>
      <c r="AI15" s="400"/>
      <c r="AJ15" s="400"/>
      <c r="AK15" s="182" t="s">
        <v>256</v>
      </c>
      <c r="AL15" s="182"/>
      <c r="AM15" s="182"/>
      <c r="AN15" s="182"/>
      <c r="AO15" s="182"/>
      <c r="AP15" s="182"/>
      <c r="AQ15" s="182"/>
      <c r="AR15" s="182"/>
      <c r="AS15" s="182"/>
      <c r="AT15" s="182"/>
      <c r="AU15" s="182"/>
      <c r="AV15" s="182"/>
      <c r="AW15" s="182"/>
      <c r="AX15" s="182"/>
      <c r="AY15" s="182"/>
      <c r="AZ15" s="182"/>
      <c r="BA15" s="182"/>
      <c r="BB15" s="182"/>
      <c r="BJ15" s="131"/>
    </row>
    <row r="16" spans="1:62" ht="12" customHeight="1" x14ac:dyDescent="0.2">
      <c r="A16" s="447">
        <v>44720</v>
      </c>
      <c r="B16" s="447"/>
      <c r="C16" s="447"/>
      <c r="D16" s="447"/>
      <c r="E16" s="447"/>
      <c r="F16" s="447"/>
      <c r="G16" s="447"/>
      <c r="H16" s="447"/>
      <c r="I16" s="447"/>
      <c r="J16" s="447"/>
      <c r="K16" s="447"/>
      <c r="L16" s="447"/>
      <c r="M16" s="447"/>
      <c r="N16" s="447"/>
      <c r="O16" s="447"/>
      <c r="P16" s="447"/>
      <c r="Q16" s="447"/>
      <c r="R16" s="447"/>
      <c r="S16" s="400">
        <v>1.3888888888888888E-2</v>
      </c>
      <c r="T16" s="400"/>
      <c r="U16" s="400"/>
      <c r="V16" s="400"/>
      <c r="W16" s="400"/>
      <c r="X16" s="400"/>
      <c r="Y16" s="400"/>
      <c r="Z16" s="400"/>
      <c r="AA16" s="400"/>
      <c r="AB16" s="400"/>
      <c r="AC16" s="400"/>
      <c r="AD16" s="400"/>
      <c r="AE16" s="400"/>
      <c r="AF16" s="400"/>
      <c r="AG16" s="400"/>
      <c r="AH16" s="400"/>
      <c r="AI16" s="400"/>
      <c r="AJ16" s="400"/>
      <c r="AK16" s="182" t="s">
        <v>34</v>
      </c>
      <c r="AL16" s="182"/>
      <c r="AM16" s="182"/>
      <c r="AN16" s="182"/>
      <c r="AO16" s="182"/>
      <c r="AP16" s="182"/>
      <c r="AQ16" s="182"/>
      <c r="AR16" s="182"/>
      <c r="AS16" s="182"/>
      <c r="AT16" s="182"/>
      <c r="AU16" s="182"/>
      <c r="AV16" s="182"/>
      <c r="AW16" s="182"/>
      <c r="AX16" s="182"/>
      <c r="AY16" s="182"/>
      <c r="AZ16" s="182"/>
      <c r="BA16" s="182"/>
      <c r="BB16" s="182"/>
      <c r="BJ16" s="124"/>
    </row>
    <row r="17" spans="1:62" ht="12" customHeight="1" x14ac:dyDescent="0.2">
      <c r="A17" s="447">
        <v>44720</v>
      </c>
      <c r="B17" s="447"/>
      <c r="C17" s="447"/>
      <c r="D17" s="447"/>
      <c r="E17" s="447"/>
      <c r="F17" s="447"/>
      <c r="G17" s="447"/>
      <c r="H17" s="447"/>
      <c r="I17" s="447"/>
      <c r="J17" s="447"/>
      <c r="K17" s="447"/>
      <c r="L17" s="447"/>
      <c r="M17" s="447"/>
      <c r="N17" s="447"/>
      <c r="O17" s="447"/>
      <c r="P17" s="447"/>
      <c r="Q17" s="447"/>
      <c r="R17" s="447"/>
      <c r="S17" s="400">
        <v>2.0833333333333332E-2</v>
      </c>
      <c r="T17" s="400"/>
      <c r="U17" s="400"/>
      <c r="V17" s="400"/>
      <c r="W17" s="400"/>
      <c r="X17" s="400"/>
      <c r="Y17" s="400"/>
      <c r="Z17" s="400"/>
      <c r="AA17" s="400"/>
      <c r="AB17" s="400"/>
      <c r="AC17" s="400"/>
      <c r="AD17" s="400"/>
      <c r="AE17" s="400"/>
      <c r="AF17" s="400"/>
      <c r="AG17" s="400"/>
      <c r="AH17" s="400"/>
      <c r="AI17" s="400"/>
      <c r="AJ17" s="400"/>
      <c r="AK17" s="182" t="s">
        <v>43</v>
      </c>
      <c r="AL17" s="182"/>
      <c r="AM17" s="182"/>
      <c r="AN17" s="182"/>
      <c r="AO17" s="182"/>
      <c r="AP17" s="182"/>
      <c r="AQ17" s="182"/>
      <c r="AR17" s="182"/>
      <c r="AS17" s="182"/>
      <c r="AT17" s="182"/>
      <c r="AU17" s="182"/>
      <c r="AV17" s="182"/>
      <c r="AW17" s="182"/>
      <c r="AX17" s="182"/>
      <c r="AY17" s="182"/>
      <c r="AZ17" s="182"/>
      <c r="BA17" s="182"/>
      <c r="BB17" s="182"/>
      <c r="BJ17" s="124"/>
    </row>
    <row r="18" spans="1:62" ht="12" customHeight="1" x14ac:dyDescent="0.2">
      <c r="A18" s="447">
        <v>44720</v>
      </c>
      <c r="B18" s="447"/>
      <c r="C18" s="447"/>
      <c r="D18" s="447"/>
      <c r="E18" s="447"/>
      <c r="F18" s="447"/>
      <c r="G18" s="447"/>
      <c r="H18" s="447"/>
      <c r="I18" s="447"/>
      <c r="J18" s="447"/>
      <c r="K18" s="447"/>
      <c r="L18" s="447"/>
      <c r="M18" s="447"/>
      <c r="N18" s="447"/>
      <c r="O18" s="447"/>
      <c r="P18" s="447"/>
      <c r="Q18" s="447"/>
      <c r="R18" s="447"/>
      <c r="S18" s="400">
        <v>5.2083333333333336E-2</v>
      </c>
      <c r="T18" s="400"/>
      <c r="U18" s="400"/>
      <c r="V18" s="400"/>
      <c r="W18" s="400"/>
      <c r="X18" s="400"/>
      <c r="Y18" s="400"/>
      <c r="Z18" s="400"/>
      <c r="AA18" s="400"/>
      <c r="AB18" s="400"/>
      <c r="AC18" s="400"/>
      <c r="AD18" s="400"/>
      <c r="AE18" s="400"/>
      <c r="AF18" s="400"/>
      <c r="AG18" s="400"/>
      <c r="AH18" s="400"/>
      <c r="AI18" s="400"/>
      <c r="AJ18" s="400"/>
      <c r="AK18" s="156" t="s">
        <v>44</v>
      </c>
      <c r="AL18" s="156"/>
      <c r="AM18" s="156"/>
      <c r="AN18" s="156"/>
      <c r="AO18" s="156"/>
      <c r="AP18" s="156"/>
      <c r="AQ18" s="156"/>
      <c r="AR18" s="156"/>
      <c r="AS18" s="156"/>
      <c r="AT18" s="156"/>
      <c r="AU18" s="156"/>
      <c r="AV18" s="156"/>
      <c r="AW18" s="156"/>
      <c r="AX18" s="156"/>
      <c r="AY18" s="156"/>
      <c r="AZ18" s="156"/>
      <c r="BA18" s="156"/>
      <c r="BB18" s="156"/>
      <c r="BJ18" s="124"/>
    </row>
    <row r="19" spans="1:62" ht="12" customHeight="1" x14ac:dyDescent="0.2">
      <c r="A19" s="447">
        <v>44720</v>
      </c>
      <c r="B19" s="447"/>
      <c r="C19" s="447"/>
      <c r="D19" s="447"/>
      <c r="E19" s="447"/>
      <c r="F19" s="447"/>
      <c r="G19" s="447"/>
      <c r="H19" s="447"/>
      <c r="I19" s="447"/>
      <c r="J19" s="447"/>
      <c r="K19" s="447"/>
      <c r="L19" s="447"/>
      <c r="M19" s="447"/>
      <c r="N19" s="447"/>
      <c r="O19" s="447"/>
      <c r="P19" s="447"/>
      <c r="Q19" s="447"/>
      <c r="R19" s="447"/>
      <c r="S19" s="400">
        <v>2.0833333333333332E-2</v>
      </c>
      <c r="T19" s="400"/>
      <c r="U19" s="400"/>
      <c r="V19" s="400"/>
      <c r="W19" s="400"/>
      <c r="X19" s="400"/>
      <c r="Y19" s="400"/>
      <c r="Z19" s="400"/>
      <c r="AA19" s="400"/>
      <c r="AB19" s="400"/>
      <c r="AC19" s="400"/>
      <c r="AD19" s="400"/>
      <c r="AE19" s="400"/>
      <c r="AF19" s="400"/>
      <c r="AG19" s="400"/>
      <c r="AH19" s="400"/>
      <c r="AI19" s="400"/>
      <c r="AJ19" s="400"/>
      <c r="AK19" s="182" t="s">
        <v>53</v>
      </c>
      <c r="AL19" s="182"/>
      <c r="AM19" s="182"/>
      <c r="AN19" s="182"/>
      <c r="AO19" s="182"/>
      <c r="AP19" s="182"/>
      <c r="AQ19" s="182"/>
      <c r="AR19" s="182"/>
      <c r="AS19" s="182"/>
      <c r="AT19" s="182"/>
      <c r="AU19" s="182"/>
      <c r="AV19" s="182"/>
      <c r="AW19" s="182"/>
      <c r="AX19" s="182"/>
      <c r="AY19" s="182"/>
      <c r="AZ19" s="182"/>
      <c r="BA19" s="182"/>
      <c r="BB19" s="182"/>
      <c r="BJ19" s="124"/>
    </row>
    <row r="20" spans="1:62" ht="12" customHeight="1" x14ac:dyDescent="0.2">
      <c r="A20" s="447">
        <v>44720</v>
      </c>
      <c r="B20" s="447"/>
      <c r="C20" s="447"/>
      <c r="D20" s="447"/>
      <c r="E20" s="447"/>
      <c r="F20" s="447"/>
      <c r="G20" s="447"/>
      <c r="H20" s="447"/>
      <c r="I20" s="447"/>
      <c r="J20" s="447"/>
      <c r="K20" s="447"/>
      <c r="L20" s="447"/>
      <c r="M20" s="447"/>
      <c r="N20" s="447"/>
      <c r="O20" s="447"/>
      <c r="P20" s="447"/>
      <c r="Q20" s="447"/>
      <c r="R20" s="447"/>
      <c r="S20" s="400">
        <v>5.5555555555555552E-2</v>
      </c>
      <c r="T20" s="400"/>
      <c r="U20" s="400"/>
      <c r="V20" s="400"/>
      <c r="W20" s="400"/>
      <c r="X20" s="400"/>
      <c r="Y20" s="400"/>
      <c r="Z20" s="400"/>
      <c r="AA20" s="400"/>
      <c r="AB20" s="400"/>
      <c r="AC20" s="400"/>
      <c r="AD20" s="400"/>
      <c r="AE20" s="400"/>
      <c r="AF20" s="400"/>
      <c r="AG20" s="400"/>
      <c r="AH20" s="400"/>
      <c r="AI20" s="400"/>
      <c r="AJ20" s="400"/>
      <c r="AK20" s="182" t="s">
        <v>38</v>
      </c>
      <c r="AL20" s="182"/>
      <c r="AM20" s="182"/>
      <c r="AN20" s="182"/>
      <c r="AO20" s="182"/>
      <c r="AP20" s="182"/>
      <c r="AQ20" s="182"/>
      <c r="AR20" s="182"/>
      <c r="AS20" s="182"/>
      <c r="AT20" s="182"/>
      <c r="AU20" s="182"/>
      <c r="AV20" s="182"/>
      <c r="AW20" s="182"/>
      <c r="AX20" s="182"/>
      <c r="AY20" s="182"/>
      <c r="AZ20" s="182"/>
      <c r="BA20" s="182"/>
      <c r="BB20" s="182"/>
      <c r="BJ20" s="124"/>
    </row>
    <row r="21" spans="1:62" ht="12" customHeight="1" x14ac:dyDescent="0.2">
      <c r="A21" s="447">
        <v>44720</v>
      </c>
      <c r="B21" s="447"/>
      <c r="C21" s="447"/>
      <c r="D21" s="447"/>
      <c r="E21" s="447"/>
      <c r="F21" s="447"/>
      <c r="G21" s="447"/>
      <c r="H21" s="447"/>
      <c r="I21" s="447"/>
      <c r="J21" s="447"/>
      <c r="K21" s="447"/>
      <c r="L21" s="447"/>
      <c r="M21" s="447"/>
      <c r="N21" s="447"/>
      <c r="O21" s="447"/>
      <c r="P21" s="447"/>
      <c r="Q21" s="447"/>
      <c r="R21" s="447"/>
      <c r="S21" s="400">
        <v>7.6388888888888895E-2</v>
      </c>
      <c r="T21" s="400"/>
      <c r="U21" s="400"/>
      <c r="V21" s="400"/>
      <c r="W21" s="400"/>
      <c r="X21" s="400"/>
      <c r="Y21" s="400"/>
      <c r="Z21" s="400"/>
      <c r="AA21" s="400"/>
      <c r="AB21" s="400"/>
      <c r="AC21" s="400"/>
      <c r="AD21" s="400"/>
      <c r="AE21" s="400"/>
      <c r="AF21" s="400"/>
      <c r="AG21" s="400"/>
      <c r="AH21" s="400"/>
      <c r="AI21" s="400"/>
      <c r="AJ21" s="400"/>
      <c r="AK21" s="156" t="s">
        <v>39</v>
      </c>
      <c r="AL21" s="156"/>
      <c r="AM21" s="156"/>
      <c r="AN21" s="156"/>
      <c r="AO21" s="156"/>
      <c r="AP21" s="156"/>
      <c r="AQ21" s="156"/>
      <c r="AR21" s="156"/>
      <c r="AS21" s="156"/>
      <c r="AT21" s="156"/>
      <c r="AU21" s="156"/>
      <c r="AV21" s="156"/>
      <c r="AW21" s="156"/>
      <c r="AX21" s="156"/>
      <c r="AY21" s="156"/>
      <c r="AZ21" s="156"/>
      <c r="BA21" s="156"/>
      <c r="BB21" s="156"/>
      <c r="BJ21" s="124"/>
    </row>
    <row r="22" spans="1:62" ht="12" customHeight="1" x14ac:dyDescent="0.2">
      <c r="A22" s="447">
        <v>44720</v>
      </c>
      <c r="B22" s="447"/>
      <c r="C22" s="447"/>
      <c r="D22" s="447"/>
      <c r="E22" s="447"/>
      <c r="F22" s="447"/>
      <c r="G22" s="447"/>
      <c r="H22" s="447"/>
      <c r="I22" s="447"/>
      <c r="J22" s="447"/>
      <c r="K22" s="447"/>
      <c r="L22" s="447"/>
      <c r="M22" s="447"/>
      <c r="N22" s="447"/>
      <c r="O22" s="447"/>
      <c r="P22" s="447"/>
      <c r="Q22" s="447"/>
      <c r="R22" s="447"/>
      <c r="S22" s="400">
        <v>7.9861111111111105E-2</v>
      </c>
      <c r="T22" s="400"/>
      <c r="U22" s="400"/>
      <c r="V22" s="400"/>
      <c r="W22" s="400"/>
      <c r="X22" s="400"/>
      <c r="Y22" s="400"/>
      <c r="Z22" s="400"/>
      <c r="AA22" s="400"/>
      <c r="AB22" s="400"/>
      <c r="AC22" s="400"/>
      <c r="AD22" s="400"/>
      <c r="AE22" s="400"/>
      <c r="AF22" s="400"/>
      <c r="AG22" s="400"/>
      <c r="AH22" s="400"/>
      <c r="AI22" s="400"/>
      <c r="AJ22" s="400"/>
      <c r="AK22" s="156" t="s">
        <v>50</v>
      </c>
      <c r="AL22" s="156"/>
      <c r="AM22" s="156"/>
      <c r="AN22" s="156"/>
      <c r="AO22" s="156"/>
      <c r="AP22" s="156"/>
      <c r="AQ22" s="156"/>
      <c r="AR22" s="156"/>
      <c r="AS22" s="156"/>
      <c r="AT22" s="156"/>
      <c r="AU22" s="156"/>
      <c r="AV22" s="156"/>
      <c r="AW22" s="156"/>
      <c r="AX22" s="156"/>
      <c r="AY22" s="156"/>
      <c r="AZ22" s="156"/>
      <c r="BA22" s="156"/>
      <c r="BB22" s="156"/>
      <c r="BJ22" s="124"/>
    </row>
    <row r="23" spans="1:62" ht="12" customHeight="1" x14ac:dyDescent="0.2">
      <c r="A23" s="447">
        <v>44720</v>
      </c>
      <c r="B23" s="447"/>
      <c r="C23" s="447"/>
      <c r="D23" s="447"/>
      <c r="E23" s="447"/>
      <c r="F23" s="447"/>
      <c r="G23" s="447"/>
      <c r="H23" s="447"/>
      <c r="I23" s="447"/>
      <c r="J23" s="447"/>
      <c r="K23" s="447"/>
      <c r="L23" s="447"/>
      <c r="M23" s="447"/>
      <c r="N23" s="447"/>
      <c r="O23" s="447"/>
      <c r="P23" s="447"/>
      <c r="Q23" s="447"/>
      <c r="R23" s="447"/>
      <c r="S23" s="400">
        <v>6.25E-2</v>
      </c>
      <c r="T23" s="400"/>
      <c r="U23" s="400"/>
      <c r="V23" s="400"/>
      <c r="W23" s="400"/>
      <c r="X23" s="400"/>
      <c r="Y23" s="400"/>
      <c r="Z23" s="400"/>
      <c r="AA23" s="400"/>
      <c r="AB23" s="400"/>
      <c r="AC23" s="400"/>
      <c r="AD23" s="400"/>
      <c r="AE23" s="400"/>
      <c r="AF23" s="400"/>
      <c r="AG23" s="400"/>
      <c r="AH23" s="400"/>
      <c r="AI23" s="400"/>
      <c r="AJ23" s="400"/>
      <c r="AK23" s="182" t="s">
        <v>40</v>
      </c>
      <c r="AL23" s="182"/>
      <c r="AM23" s="182"/>
      <c r="AN23" s="182"/>
      <c r="AO23" s="182"/>
      <c r="AP23" s="182"/>
      <c r="AQ23" s="182"/>
      <c r="AR23" s="182"/>
      <c r="AS23" s="182"/>
      <c r="AT23" s="182"/>
      <c r="AU23" s="182"/>
      <c r="AV23" s="182"/>
      <c r="AW23" s="182"/>
      <c r="AX23" s="182"/>
      <c r="AY23" s="182"/>
      <c r="AZ23" s="182"/>
      <c r="BA23" s="182"/>
      <c r="BB23" s="182"/>
      <c r="BJ23" s="124"/>
    </row>
    <row r="24" spans="1:62" ht="12" customHeight="1" x14ac:dyDescent="0.2">
      <c r="A24" s="447">
        <v>44720</v>
      </c>
      <c r="B24" s="447"/>
      <c r="C24" s="447"/>
      <c r="D24" s="447"/>
      <c r="E24" s="447"/>
      <c r="F24" s="447"/>
      <c r="G24" s="447"/>
      <c r="H24" s="447"/>
      <c r="I24" s="447"/>
      <c r="J24" s="447"/>
      <c r="K24" s="447"/>
      <c r="L24" s="447"/>
      <c r="M24" s="447"/>
      <c r="N24" s="447"/>
      <c r="O24" s="447"/>
      <c r="P24" s="447"/>
      <c r="Q24" s="447"/>
      <c r="R24" s="447"/>
      <c r="S24" s="400">
        <v>8.3333333333333329E-2</v>
      </c>
      <c r="T24" s="400"/>
      <c r="U24" s="400"/>
      <c r="V24" s="400"/>
      <c r="W24" s="400"/>
      <c r="X24" s="400"/>
      <c r="Y24" s="400"/>
      <c r="Z24" s="400"/>
      <c r="AA24" s="400"/>
      <c r="AB24" s="400"/>
      <c r="AC24" s="400"/>
      <c r="AD24" s="400"/>
      <c r="AE24" s="400"/>
      <c r="AF24" s="400"/>
      <c r="AG24" s="400"/>
      <c r="AH24" s="400"/>
      <c r="AI24" s="400"/>
      <c r="AJ24" s="400"/>
      <c r="AK24" s="182" t="s">
        <v>529</v>
      </c>
      <c r="AL24" s="182"/>
      <c r="AM24" s="182"/>
      <c r="AN24" s="182"/>
      <c r="AO24" s="182"/>
      <c r="AP24" s="182"/>
      <c r="AQ24" s="182"/>
      <c r="AR24" s="182"/>
      <c r="AS24" s="182"/>
      <c r="AT24" s="182"/>
      <c r="AU24" s="182"/>
      <c r="AV24" s="182"/>
      <c r="AW24" s="182"/>
      <c r="AX24" s="182"/>
      <c r="AY24" s="182"/>
      <c r="AZ24" s="182"/>
      <c r="BA24" s="182"/>
      <c r="BB24" s="182"/>
      <c r="BJ24" s="124"/>
    </row>
    <row r="25" spans="1:62" ht="12" customHeight="1" x14ac:dyDescent="0.2">
      <c r="A25" s="447">
        <v>44720</v>
      </c>
      <c r="B25" s="447"/>
      <c r="C25" s="447"/>
      <c r="D25" s="447"/>
      <c r="E25" s="447"/>
      <c r="F25" s="447"/>
      <c r="G25" s="447"/>
      <c r="H25" s="447"/>
      <c r="I25" s="447"/>
      <c r="J25" s="447"/>
      <c r="K25" s="447"/>
      <c r="L25" s="447"/>
      <c r="M25" s="447"/>
      <c r="N25" s="447"/>
      <c r="O25" s="447"/>
      <c r="P25" s="447"/>
      <c r="Q25" s="447"/>
      <c r="R25" s="447"/>
      <c r="S25" s="400">
        <v>0.30208333333333331</v>
      </c>
      <c r="T25" s="400"/>
      <c r="U25" s="400"/>
      <c r="V25" s="400"/>
      <c r="W25" s="400"/>
      <c r="X25" s="400"/>
      <c r="Y25" s="400"/>
      <c r="Z25" s="400"/>
      <c r="AA25" s="400"/>
      <c r="AB25" s="400"/>
      <c r="AC25" s="400"/>
      <c r="AD25" s="400"/>
      <c r="AE25" s="400"/>
      <c r="AF25" s="400"/>
      <c r="AG25" s="400"/>
      <c r="AH25" s="400"/>
      <c r="AI25" s="400"/>
      <c r="AJ25" s="400"/>
      <c r="AK25" s="182" t="s">
        <v>41</v>
      </c>
      <c r="AL25" s="182"/>
      <c r="AM25" s="182"/>
      <c r="AN25" s="182"/>
      <c r="AO25" s="182"/>
      <c r="AP25" s="182"/>
      <c r="AQ25" s="182"/>
      <c r="AR25" s="182"/>
      <c r="AS25" s="182"/>
      <c r="AT25" s="182"/>
      <c r="AU25" s="182"/>
      <c r="AV25" s="182"/>
      <c r="AW25" s="182"/>
      <c r="AX25" s="182"/>
      <c r="AY25" s="182"/>
      <c r="AZ25" s="182"/>
      <c r="BA25" s="182"/>
      <c r="BB25" s="182"/>
      <c r="BJ25" s="124"/>
    </row>
    <row r="26" spans="1:62" ht="12" customHeight="1" x14ac:dyDescent="0.2">
      <c r="A26" s="447">
        <v>44720</v>
      </c>
      <c r="B26" s="447"/>
      <c r="C26" s="447"/>
      <c r="D26" s="447"/>
      <c r="E26" s="447"/>
      <c r="F26" s="447"/>
      <c r="G26" s="447"/>
      <c r="H26" s="447"/>
      <c r="I26" s="447"/>
      <c r="J26" s="447"/>
      <c r="K26" s="447"/>
      <c r="L26" s="447"/>
      <c r="M26" s="447"/>
      <c r="N26" s="447"/>
      <c r="O26" s="447"/>
      <c r="P26" s="447"/>
      <c r="Q26" s="447"/>
      <c r="R26" s="447"/>
      <c r="S26" s="400">
        <v>0.30902777777777779</v>
      </c>
      <c r="T26" s="400"/>
      <c r="U26" s="400"/>
      <c r="V26" s="400"/>
      <c r="W26" s="400"/>
      <c r="X26" s="400"/>
      <c r="Y26" s="400"/>
      <c r="Z26" s="400"/>
      <c r="AA26" s="400"/>
      <c r="AB26" s="400"/>
      <c r="AC26" s="400"/>
      <c r="AD26" s="400"/>
      <c r="AE26" s="400"/>
      <c r="AF26" s="400"/>
      <c r="AG26" s="400"/>
      <c r="AH26" s="400"/>
      <c r="AI26" s="400"/>
      <c r="AJ26" s="400"/>
      <c r="AK26" s="156" t="s">
        <v>45</v>
      </c>
      <c r="AL26" s="156"/>
      <c r="AM26" s="156"/>
      <c r="AN26" s="156"/>
      <c r="AO26" s="156"/>
      <c r="AP26" s="156"/>
      <c r="AQ26" s="156"/>
      <c r="AR26" s="156"/>
      <c r="AS26" s="156"/>
      <c r="AT26" s="156"/>
      <c r="AU26" s="156"/>
      <c r="AV26" s="156"/>
      <c r="AW26" s="156"/>
      <c r="AX26" s="156"/>
      <c r="AY26" s="156"/>
      <c r="AZ26" s="156"/>
      <c r="BA26" s="156"/>
      <c r="BB26" s="156"/>
      <c r="BJ26" s="124"/>
    </row>
    <row r="27" spans="1:62" ht="12" customHeight="1" x14ac:dyDescent="0.2">
      <c r="A27" s="447">
        <v>44720</v>
      </c>
      <c r="B27" s="447"/>
      <c r="C27" s="447"/>
      <c r="D27" s="447"/>
      <c r="E27" s="447"/>
      <c r="F27" s="447"/>
      <c r="G27" s="447"/>
      <c r="H27" s="447"/>
      <c r="I27" s="447"/>
      <c r="J27" s="447"/>
      <c r="K27" s="447"/>
      <c r="L27" s="447"/>
      <c r="M27" s="447"/>
      <c r="N27" s="447"/>
      <c r="O27" s="447"/>
      <c r="P27" s="447"/>
      <c r="Q27" s="447"/>
      <c r="R27" s="447"/>
      <c r="S27" s="400">
        <v>0.3298611111111111</v>
      </c>
      <c r="T27" s="400"/>
      <c r="U27" s="400"/>
      <c r="V27" s="400"/>
      <c r="W27" s="400"/>
      <c r="X27" s="400"/>
      <c r="Y27" s="400"/>
      <c r="Z27" s="400"/>
      <c r="AA27" s="400"/>
      <c r="AB27" s="400"/>
      <c r="AC27" s="400"/>
      <c r="AD27" s="400"/>
      <c r="AE27" s="400"/>
      <c r="AF27" s="400"/>
      <c r="AG27" s="400"/>
      <c r="AH27" s="400"/>
      <c r="AI27" s="400"/>
      <c r="AJ27" s="400"/>
      <c r="AK27" s="182" t="s">
        <v>46</v>
      </c>
      <c r="AL27" s="182"/>
      <c r="AM27" s="182"/>
      <c r="AN27" s="182"/>
      <c r="AO27" s="182"/>
      <c r="AP27" s="182"/>
      <c r="AQ27" s="182"/>
      <c r="AR27" s="182"/>
      <c r="AS27" s="182"/>
      <c r="AT27" s="182"/>
      <c r="AU27" s="182"/>
      <c r="AV27" s="182"/>
      <c r="AW27" s="182"/>
      <c r="AX27" s="182"/>
      <c r="AY27" s="182"/>
      <c r="AZ27" s="182"/>
      <c r="BA27" s="182"/>
      <c r="BB27" s="182"/>
      <c r="BJ27" s="124"/>
    </row>
    <row r="28" spans="1:62" ht="12" customHeight="1" x14ac:dyDescent="0.2">
      <c r="A28" s="447">
        <v>44720</v>
      </c>
      <c r="B28" s="447"/>
      <c r="C28" s="447"/>
      <c r="D28" s="447"/>
      <c r="E28" s="447"/>
      <c r="F28" s="447"/>
      <c r="G28" s="447"/>
      <c r="H28" s="447"/>
      <c r="I28" s="447"/>
      <c r="J28" s="447"/>
      <c r="K28" s="447"/>
      <c r="L28" s="447"/>
      <c r="M28" s="447"/>
      <c r="N28" s="447"/>
      <c r="O28" s="447"/>
      <c r="P28" s="447"/>
      <c r="Q28" s="447"/>
      <c r="R28" s="447"/>
      <c r="S28" s="400">
        <v>0.30208333333333331</v>
      </c>
      <c r="T28" s="400"/>
      <c r="U28" s="400"/>
      <c r="V28" s="400"/>
      <c r="W28" s="400"/>
      <c r="X28" s="400"/>
      <c r="Y28" s="400"/>
      <c r="Z28" s="400"/>
      <c r="AA28" s="400"/>
      <c r="AB28" s="400"/>
      <c r="AC28" s="400"/>
      <c r="AD28" s="400"/>
      <c r="AE28" s="400"/>
      <c r="AF28" s="400"/>
      <c r="AG28" s="400"/>
      <c r="AH28" s="400"/>
      <c r="AI28" s="400"/>
      <c r="AJ28" s="400"/>
      <c r="AK28" s="182" t="s">
        <v>47</v>
      </c>
      <c r="AL28" s="182"/>
      <c r="AM28" s="182"/>
      <c r="AN28" s="182"/>
      <c r="AO28" s="182"/>
      <c r="AP28" s="182"/>
      <c r="AQ28" s="182"/>
      <c r="AR28" s="182"/>
      <c r="AS28" s="182"/>
      <c r="AT28" s="182"/>
      <c r="AU28" s="182"/>
      <c r="AV28" s="182"/>
      <c r="AW28" s="182"/>
      <c r="AX28" s="182"/>
      <c r="AY28" s="182"/>
      <c r="AZ28" s="182"/>
      <c r="BA28" s="182"/>
      <c r="BB28" s="182"/>
      <c r="BJ28" s="124"/>
    </row>
    <row r="29" spans="1:62" ht="12" customHeight="1" x14ac:dyDescent="0.2">
      <c r="A29" s="447">
        <v>44720</v>
      </c>
      <c r="B29" s="447"/>
      <c r="C29" s="447"/>
      <c r="D29" s="447"/>
      <c r="E29" s="447"/>
      <c r="F29" s="447"/>
      <c r="G29" s="447"/>
      <c r="H29" s="447"/>
      <c r="I29" s="447"/>
      <c r="J29" s="447"/>
      <c r="K29" s="447"/>
      <c r="L29" s="447"/>
      <c r="M29" s="447"/>
      <c r="N29" s="447"/>
      <c r="O29" s="447"/>
      <c r="P29" s="447"/>
      <c r="Q29" s="447"/>
      <c r="R29" s="447"/>
      <c r="S29" s="400">
        <v>0.30555555555555552</v>
      </c>
      <c r="T29" s="400"/>
      <c r="U29" s="400"/>
      <c r="V29" s="400"/>
      <c r="W29" s="400"/>
      <c r="X29" s="400"/>
      <c r="Y29" s="400"/>
      <c r="Z29" s="400"/>
      <c r="AA29" s="400"/>
      <c r="AB29" s="400"/>
      <c r="AC29" s="400"/>
      <c r="AD29" s="400"/>
      <c r="AE29" s="400"/>
      <c r="AF29" s="400"/>
      <c r="AG29" s="400"/>
      <c r="AH29" s="400"/>
      <c r="AI29" s="400"/>
      <c r="AJ29" s="400"/>
      <c r="AK29" s="182" t="s">
        <v>48</v>
      </c>
      <c r="AL29" s="182"/>
      <c r="AM29" s="182"/>
      <c r="AN29" s="182"/>
      <c r="AO29" s="182"/>
      <c r="AP29" s="182"/>
      <c r="AQ29" s="182"/>
      <c r="AR29" s="182"/>
      <c r="AS29" s="182"/>
      <c r="AT29" s="182"/>
      <c r="AU29" s="182"/>
      <c r="AV29" s="182"/>
      <c r="AW29" s="182"/>
      <c r="AX29" s="182"/>
      <c r="AY29" s="182"/>
      <c r="AZ29" s="182"/>
      <c r="BA29" s="182"/>
      <c r="BB29" s="182"/>
      <c r="BJ29" s="124"/>
    </row>
    <row r="30" spans="1:62" ht="12" customHeight="1" x14ac:dyDescent="0.2">
      <c r="A30" s="447">
        <v>44720</v>
      </c>
      <c r="B30" s="447"/>
      <c r="C30" s="447"/>
      <c r="D30" s="447"/>
      <c r="E30" s="447"/>
      <c r="F30" s="447"/>
      <c r="G30" s="447"/>
      <c r="H30" s="447"/>
      <c r="I30" s="447"/>
      <c r="J30" s="447"/>
      <c r="K30" s="447"/>
      <c r="L30" s="447"/>
      <c r="M30" s="447"/>
      <c r="N30" s="447"/>
      <c r="O30" s="447"/>
      <c r="P30" s="447"/>
      <c r="Q30" s="447"/>
      <c r="R30" s="447"/>
      <c r="S30" s="400">
        <v>0.33333333333333331</v>
      </c>
      <c r="T30" s="400"/>
      <c r="U30" s="400"/>
      <c r="V30" s="400"/>
      <c r="W30" s="400"/>
      <c r="X30" s="400"/>
      <c r="Y30" s="400"/>
      <c r="Z30" s="400"/>
      <c r="AA30" s="400"/>
      <c r="AB30" s="400"/>
      <c r="AC30" s="400"/>
      <c r="AD30" s="400"/>
      <c r="AE30" s="400"/>
      <c r="AF30" s="400"/>
      <c r="AG30" s="400"/>
      <c r="AH30" s="400"/>
      <c r="AI30" s="400"/>
      <c r="AJ30" s="400"/>
      <c r="AK30" s="182" t="s">
        <v>49</v>
      </c>
      <c r="AL30" s="182"/>
      <c r="AM30" s="182"/>
      <c r="AN30" s="182"/>
      <c r="AO30" s="182"/>
      <c r="AP30" s="182"/>
      <c r="AQ30" s="182"/>
      <c r="AR30" s="182"/>
      <c r="AS30" s="182"/>
      <c r="AT30" s="182"/>
      <c r="AU30" s="182"/>
      <c r="AV30" s="182"/>
      <c r="AW30" s="182"/>
      <c r="AX30" s="182"/>
      <c r="AY30" s="182"/>
      <c r="AZ30" s="182"/>
      <c r="BA30" s="182"/>
      <c r="BB30" s="182"/>
      <c r="BJ30" s="124"/>
    </row>
    <row r="31" spans="1:62" ht="12" customHeight="1" x14ac:dyDescent="0.2">
      <c r="A31" s="447">
        <v>44720</v>
      </c>
      <c r="B31" s="447"/>
      <c r="C31" s="447"/>
      <c r="D31" s="447"/>
      <c r="E31" s="447"/>
      <c r="F31" s="447"/>
      <c r="G31" s="447"/>
      <c r="H31" s="447"/>
      <c r="I31" s="447"/>
      <c r="J31" s="447"/>
      <c r="K31" s="447"/>
      <c r="L31" s="447"/>
      <c r="M31" s="447"/>
      <c r="N31" s="447"/>
      <c r="O31" s="447"/>
      <c r="P31" s="447"/>
      <c r="Q31" s="447"/>
      <c r="R31" s="447"/>
      <c r="S31" s="400">
        <v>0.35416666666666669</v>
      </c>
      <c r="T31" s="400"/>
      <c r="U31" s="400"/>
      <c r="V31" s="400"/>
      <c r="W31" s="400"/>
      <c r="X31" s="400"/>
      <c r="Y31" s="400"/>
      <c r="Z31" s="400"/>
      <c r="AA31" s="400"/>
      <c r="AB31" s="400"/>
      <c r="AC31" s="400"/>
      <c r="AD31" s="400"/>
      <c r="AE31" s="400"/>
      <c r="AF31" s="400"/>
      <c r="AG31" s="400"/>
      <c r="AH31" s="400"/>
      <c r="AI31" s="400"/>
      <c r="AJ31" s="400"/>
      <c r="AK31" s="182" t="s">
        <v>42</v>
      </c>
      <c r="AL31" s="182"/>
      <c r="AM31" s="182"/>
      <c r="AN31" s="182"/>
      <c r="AO31" s="182"/>
      <c r="AP31" s="182"/>
      <c r="AQ31" s="182"/>
      <c r="AR31" s="182"/>
      <c r="AS31" s="182"/>
      <c r="AT31" s="182"/>
      <c r="AU31" s="182"/>
      <c r="AV31" s="182"/>
      <c r="AW31" s="182"/>
      <c r="AX31" s="182"/>
      <c r="AY31" s="182"/>
      <c r="AZ31" s="182"/>
      <c r="BA31" s="182"/>
      <c r="BB31" s="182"/>
      <c r="BJ31" s="124"/>
    </row>
    <row r="32" spans="1:62" ht="12" customHeight="1" x14ac:dyDescent="0.2">
      <c r="A32" s="447">
        <v>44720</v>
      </c>
      <c r="B32" s="447"/>
      <c r="C32" s="447"/>
      <c r="D32" s="447"/>
      <c r="E32" s="447"/>
      <c r="F32" s="447"/>
      <c r="G32" s="447"/>
      <c r="H32" s="447"/>
      <c r="I32" s="447"/>
      <c r="J32" s="447"/>
      <c r="K32" s="447"/>
      <c r="L32" s="447"/>
      <c r="M32" s="447"/>
      <c r="N32" s="447"/>
      <c r="O32" s="447"/>
      <c r="P32" s="447"/>
      <c r="Q32" s="447"/>
      <c r="R32" s="447"/>
      <c r="S32" s="400">
        <v>0.3611111111111111</v>
      </c>
      <c r="T32" s="400"/>
      <c r="U32" s="400"/>
      <c r="V32" s="400"/>
      <c r="W32" s="400"/>
      <c r="X32" s="400"/>
      <c r="Y32" s="400"/>
      <c r="Z32" s="400"/>
      <c r="AA32" s="400"/>
      <c r="AB32" s="400"/>
      <c r="AC32" s="400"/>
      <c r="AD32" s="400"/>
      <c r="AE32" s="400"/>
      <c r="AF32" s="400"/>
      <c r="AG32" s="400"/>
      <c r="AH32" s="400"/>
      <c r="AI32" s="400"/>
      <c r="AJ32" s="400"/>
      <c r="AK32" s="182" t="s">
        <v>54</v>
      </c>
      <c r="AL32" s="182"/>
      <c r="AM32" s="182"/>
      <c r="AN32" s="182"/>
      <c r="AO32" s="182"/>
      <c r="AP32" s="182"/>
      <c r="AQ32" s="182"/>
      <c r="AR32" s="182"/>
      <c r="AS32" s="182"/>
      <c r="AT32" s="182"/>
      <c r="AU32" s="182"/>
      <c r="AV32" s="182"/>
      <c r="AW32" s="182"/>
      <c r="AX32" s="182"/>
      <c r="AY32" s="182"/>
      <c r="AZ32" s="182"/>
      <c r="BA32" s="182"/>
      <c r="BB32" s="182"/>
      <c r="BJ32" s="131"/>
    </row>
    <row r="33" spans="1:62" ht="12" customHeight="1" x14ac:dyDescent="0.2">
      <c r="A33" s="447">
        <v>44720</v>
      </c>
      <c r="B33" s="447"/>
      <c r="C33" s="447"/>
      <c r="D33" s="447"/>
      <c r="E33" s="447"/>
      <c r="F33" s="447"/>
      <c r="G33" s="447"/>
      <c r="H33" s="447"/>
      <c r="I33" s="447"/>
      <c r="J33" s="447"/>
      <c r="K33" s="447"/>
      <c r="L33" s="447"/>
      <c r="M33" s="447"/>
      <c r="N33" s="447"/>
      <c r="O33" s="447"/>
      <c r="P33" s="447"/>
      <c r="Q33" s="447"/>
      <c r="R33" s="447"/>
      <c r="S33" s="400">
        <v>0.375</v>
      </c>
      <c r="T33" s="400"/>
      <c r="U33" s="400"/>
      <c r="V33" s="400"/>
      <c r="W33" s="400"/>
      <c r="X33" s="400"/>
      <c r="Y33" s="400"/>
      <c r="Z33" s="400"/>
      <c r="AA33" s="400"/>
      <c r="AB33" s="400"/>
      <c r="AC33" s="400"/>
      <c r="AD33" s="400"/>
      <c r="AE33" s="400"/>
      <c r="AF33" s="400"/>
      <c r="AG33" s="400"/>
      <c r="AH33" s="400"/>
      <c r="AI33" s="400"/>
      <c r="AJ33" s="400"/>
      <c r="AK33" s="182" t="s">
        <v>257</v>
      </c>
      <c r="AL33" s="182"/>
      <c r="AM33" s="182"/>
      <c r="AN33" s="182"/>
      <c r="AO33" s="182"/>
      <c r="AP33" s="182"/>
      <c r="AQ33" s="182"/>
      <c r="AR33" s="182"/>
      <c r="AS33" s="182"/>
      <c r="AT33" s="182"/>
      <c r="AU33" s="182"/>
      <c r="AV33" s="182"/>
      <c r="AW33" s="182"/>
      <c r="AX33" s="182"/>
      <c r="AY33" s="182"/>
      <c r="AZ33" s="182"/>
      <c r="BA33" s="182"/>
      <c r="BB33" s="182"/>
      <c r="BJ33" s="131"/>
    </row>
    <row r="34" spans="1:62" ht="12" customHeight="1" x14ac:dyDescent="0.2">
      <c r="A34" s="447">
        <v>44720</v>
      </c>
      <c r="B34" s="447"/>
      <c r="C34" s="447"/>
      <c r="D34" s="447"/>
      <c r="E34" s="447"/>
      <c r="F34" s="447"/>
      <c r="G34" s="447"/>
      <c r="H34" s="447"/>
      <c r="I34" s="447"/>
      <c r="J34" s="447"/>
      <c r="K34" s="447"/>
      <c r="L34" s="447"/>
      <c r="M34" s="447"/>
      <c r="N34" s="447"/>
      <c r="O34" s="447"/>
      <c r="P34" s="447"/>
      <c r="Q34" s="447"/>
      <c r="R34" s="447"/>
      <c r="S34" s="400">
        <v>0.4375</v>
      </c>
      <c r="T34" s="400"/>
      <c r="U34" s="400"/>
      <c r="V34" s="400"/>
      <c r="W34" s="400"/>
      <c r="X34" s="400"/>
      <c r="Y34" s="400"/>
      <c r="Z34" s="400"/>
      <c r="AA34" s="400"/>
      <c r="AB34" s="400"/>
      <c r="AC34" s="400"/>
      <c r="AD34" s="400"/>
      <c r="AE34" s="400"/>
      <c r="AF34" s="400"/>
      <c r="AG34" s="400"/>
      <c r="AH34" s="400"/>
      <c r="AI34" s="400"/>
      <c r="AJ34" s="400"/>
      <c r="AK34" s="182" t="s">
        <v>238</v>
      </c>
      <c r="AL34" s="182"/>
      <c r="AM34" s="182"/>
      <c r="AN34" s="182"/>
      <c r="AO34" s="182"/>
      <c r="AP34" s="182"/>
      <c r="AQ34" s="182"/>
      <c r="AR34" s="182"/>
      <c r="AS34" s="182"/>
      <c r="AT34" s="182"/>
      <c r="AU34" s="182"/>
      <c r="AV34" s="182"/>
      <c r="AW34" s="182"/>
      <c r="AX34" s="182"/>
      <c r="AY34" s="182"/>
      <c r="AZ34" s="182"/>
      <c r="BA34" s="182"/>
      <c r="BB34" s="182"/>
      <c r="BJ34" s="131"/>
    </row>
    <row r="35" spans="1:62" ht="12" customHeight="1" x14ac:dyDescent="0.2">
      <c r="A35" s="447"/>
      <c r="B35" s="447"/>
      <c r="C35" s="447"/>
      <c r="D35" s="447"/>
      <c r="E35" s="447"/>
      <c r="F35" s="447"/>
      <c r="G35" s="447"/>
      <c r="H35" s="447"/>
      <c r="I35" s="447"/>
      <c r="J35" s="447"/>
      <c r="K35" s="447"/>
      <c r="L35" s="447"/>
      <c r="M35" s="447"/>
      <c r="N35" s="447"/>
      <c r="O35" s="447"/>
      <c r="P35" s="447"/>
      <c r="Q35" s="447"/>
      <c r="R35" s="447"/>
      <c r="S35" s="400"/>
      <c r="T35" s="400"/>
      <c r="U35" s="400"/>
      <c r="V35" s="400"/>
      <c r="W35" s="400"/>
      <c r="X35" s="400"/>
      <c r="Y35" s="400"/>
      <c r="Z35" s="400"/>
      <c r="AA35" s="400"/>
      <c r="AB35" s="400"/>
      <c r="AC35" s="400"/>
      <c r="AD35" s="400"/>
      <c r="AE35" s="400"/>
      <c r="AF35" s="400"/>
      <c r="AG35" s="400"/>
      <c r="AH35" s="400"/>
      <c r="AI35" s="400"/>
      <c r="AJ35" s="400"/>
      <c r="AK35" s="182"/>
      <c r="AL35" s="182"/>
      <c r="AM35" s="182"/>
      <c r="AN35" s="182"/>
      <c r="AO35" s="182"/>
      <c r="AP35" s="182"/>
      <c r="AQ35" s="182"/>
      <c r="AR35" s="182"/>
      <c r="AS35" s="182"/>
      <c r="AT35" s="182"/>
      <c r="AU35" s="182"/>
      <c r="AV35" s="182"/>
      <c r="AW35" s="182"/>
      <c r="AX35" s="182"/>
      <c r="AY35" s="182"/>
      <c r="AZ35" s="182"/>
      <c r="BA35" s="182"/>
      <c r="BB35" s="182"/>
    </row>
    <row r="36" spans="1:62" ht="12" customHeight="1" x14ac:dyDescent="0.2">
      <c r="A36" s="447"/>
      <c r="B36" s="447"/>
      <c r="C36" s="447"/>
      <c r="D36" s="447"/>
      <c r="E36" s="447"/>
      <c r="F36" s="447"/>
      <c r="G36" s="447"/>
      <c r="H36" s="447"/>
      <c r="I36" s="447"/>
      <c r="J36" s="447"/>
      <c r="K36" s="447"/>
      <c r="L36" s="447"/>
      <c r="M36" s="447"/>
      <c r="N36" s="447"/>
      <c r="O36" s="447"/>
      <c r="P36" s="447"/>
      <c r="Q36" s="447"/>
      <c r="R36" s="447"/>
      <c r="S36" s="400"/>
      <c r="T36" s="400"/>
      <c r="U36" s="400"/>
      <c r="V36" s="400"/>
      <c r="W36" s="400"/>
      <c r="X36" s="400"/>
      <c r="Y36" s="400"/>
      <c r="Z36" s="400"/>
      <c r="AA36" s="400"/>
      <c r="AB36" s="400"/>
      <c r="AC36" s="400"/>
      <c r="AD36" s="400"/>
      <c r="AE36" s="400"/>
      <c r="AF36" s="400"/>
      <c r="AG36" s="400"/>
      <c r="AH36" s="400"/>
      <c r="AI36" s="400"/>
      <c r="AJ36" s="400"/>
      <c r="AK36" s="156"/>
      <c r="AL36" s="156"/>
      <c r="AM36" s="156"/>
      <c r="AN36" s="156"/>
      <c r="AO36" s="156"/>
      <c r="AP36" s="156"/>
      <c r="AQ36" s="156"/>
      <c r="AR36" s="156"/>
      <c r="AS36" s="156"/>
      <c r="AT36" s="156"/>
      <c r="AU36" s="156"/>
      <c r="AV36" s="156"/>
      <c r="AW36" s="156"/>
      <c r="AX36" s="156"/>
      <c r="AY36" s="156"/>
      <c r="AZ36" s="156"/>
      <c r="BA36" s="156"/>
      <c r="BB36" s="156"/>
    </row>
    <row r="37" spans="1:62" ht="12" customHeight="1" x14ac:dyDescent="0.2">
      <c r="A37" s="447"/>
      <c r="B37" s="447"/>
      <c r="C37" s="447"/>
      <c r="D37" s="447"/>
      <c r="E37" s="447"/>
      <c r="F37" s="447"/>
      <c r="G37" s="447"/>
      <c r="H37" s="447"/>
      <c r="I37" s="447"/>
      <c r="J37" s="447"/>
      <c r="K37" s="447"/>
      <c r="L37" s="447"/>
      <c r="M37" s="447"/>
      <c r="N37" s="447"/>
      <c r="O37" s="447"/>
      <c r="P37" s="447"/>
      <c r="Q37" s="447"/>
      <c r="R37" s="447"/>
      <c r="S37" s="400"/>
      <c r="T37" s="400"/>
      <c r="U37" s="400"/>
      <c r="V37" s="400"/>
      <c r="W37" s="400"/>
      <c r="X37" s="400"/>
      <c r="Y37" s="400"/>
      <c r="Z37" s="400"/>
      <c r="AA37" s="400"/>
      <c r="AB37" s="400"/>
      <c r="AC37" s="400"/>
      <c r="AD37" s="400"/>
      <c r="AE37" s="400"/>
      <c r="AF37" s="400"/>
      <c r="AG37" s="400"/>
      <c r="AH37" s="400"/>
      <c r="AI37" s="400"/>
      <c r="AJ37" s="400"/>
      <c r="AK37" s="156"/>
      <c r="AL37" s="156"/>
      <c r="AM37" s="156"/>
      <c r="AN37" s="156"/>
      <c r="AO37" s="156"/>
      <c r="AP37" s="156"/>
      <c r="AQ37" s="156"/>
      <c r="AR37" s="156"/>
      <c r="AS37" s="156"/>
      <c r="AT37" s="156"/>
      <c r="AU37" s="156"/>
      <c r="AV37" s="156"/>
      <c r="AW37" s="156"/>
      <c r="AX37" s="156"/>
      <c r="AY37" s="156"/>
      <c r="AZ37" s="156"/>
      <c r="BA37" s="156"/>
      <c r="BB37" s="156"/>
    </row>
    <row r="38" spans="1:62" ht="12" customHeight="1" x14ac:dyDescent="0.2">
      <c r="A38" s="447"/>
      <c r="B38" s="447"/>
      <c r="C38" s="447"/>
      <c r="D38" s="447"/>
      <c r="E38" s="447"/>
      <c r="F38" s="447"/>
      <c r="G38" s="447"/>
      <c r="H38" s="447"/>
      <c r="I38" s="447"/>
      <c r="J38" s="447"/>
      <c r="K38" s="447"/>
      <c r="L38" s="447"/>
      <c r="M38" s="447"/>
      <c r="N38" s="447"/>
      <c r="O38" s="447"/>
      <c r="P38" s="447"/>
      <c r="Q38" s="447"/>
      <c r="R38" s="447"/>
      <c r="S38" s="400"/>
      <c r="T38" s="400"/>
      <c r="U38" s="400"/>
      <c r="V38" s="400"/>
      <c r="W38" s="400"/>
      <c r="X38" s="400"/>
      <c r="Y38" s="400"/>
      <c r="Z38" s="400"/>
      <c r="AA38" s="400"/>
      <c r="AB38" s="400"/>
      <c r="AC38" s="400"/>
      <c r="AD38" s="400"/>
      <c r="AE38" s="400"/>
      <c r="AF38" s="400"/>
      <c r="AG38" s="400"/>
      <c r="AH38" s="400"/>
      <c r="AI38" s="400"/>
      <c r="AJ38" s="400"/>
      <c r="AK38" s="156"/>
      <c r="AL38" s="156"/>
      <c r="AM38" s="156"/>
      <c r="AN38" s="156"/>
      <c r="AO38" s="156"/>
      <c r="AP38" s="156"/>
      <c r="AQ38" s="156"/>
      <c r="AR38" s="156"/>
      <c r="AS38" s="156"/>
      <c r="AT38" s="156"/>
      <c r="AU38" s="156"/>
      <c r="AV38" s="156"/>
      <c r="AW38" s="156"/>
      <c r="AX38" s="156"/>
      <c r="AY38" s="156"/>
      <c r="AZ38" s="156"/>
      <c r="BA38" s="156"/>
      <c r="BB38" s="156"/>
    </row>
    <row r="39" spans="1:62" ht="12" customHeight="1" x14ac:dyDescent="0.2">
      <c r="A39" s="447"/>
      <c r="B39" s="447"/>
      <c r="C39" s="447"/>
      <c r="D39" s="447"/>
      <c r="E39" s="447"/>
      <c r="F39" s="447"/>
      <c r="G39" s="447"/>
      <c r="H39" s="447"/>
      <c r="I39" s="447"/>
      <c r="J39" s="447"/>
      <c r="K39" s="447"/>
      <c r="L39" s="447"/>
      <c r="M39" s="447"/>
      <c r="N39" s="447"/>
      <c r="O39" s="447"/>
      <c r="P39" s="447"/>
      <c r="Q39" s="447"/>
      <c r="R39" s="447"/>
      <c r="S39" s="400"/>
      <c r="T39" s="400"/>
      <c r="U39" s="400"/>
      <c r="V39" s="400"/>
      <c r="W39" s="400"/>
      <c r="X39" s="400"/>
      <c r="Y39" s="400"/>
      <c r="Z39" s="400"/>
      <c r="AA39" s="400"/>
      <c r="AB39" s="400"/>
      <c r="AC39" s="400"/>
      <c r="AD39" s="400"/>
      <c r="AE39" s="400"/>
      <c r="AF39" s="400"/>
      <c r="AG39" s="400"/>
      <c r="AH39" s="400"/>
      <c r="AI39" s="400"/>
      <c r="AJ39" s="400"/>
      <c r="AK39" s="156"/>
      <c r="AL39" s="156"/>
      <c r="AM39" s="156"/>
      <c r="AN39" s="156"/>
      <c r="AO39" s="156"/>
      <c r="AP39" s="156"/>
      <c r="AQ39" s="156"/>
      <c r="AR39" s="156"/>
      <c r="AS39" s="156"/>
      <c r="AT39" s="156"/>
      <c r="AU39" s="156"/>
      <c r="AV39" s="156"/>
      <c r="AW39" s="156"/>
      <c r="AX39" s="156"/>
      <c r="AY39" s="156"/>
      <c r="AZ39" s="156"/>
      <c r="BA39" s="156"/>
      <c r="BB39" s="156"/>
    </row>
    <row r="40" spans="1:62" ht="12" customHeight="1" x14ac:dyDescent="0.2">
      <c r="A40" s="447"/>
      <c r="B40" s="447"/>
      <c r="C40" s="447"/>
      <c r="D40" s="447"/>
      <c r="E40" s="447"/>
      <c r="F40" s="447"/>
      <c r="G40" s="447"/>
      <c r="H40" s="447"/>
      <c r="I40" s="447"/>
      <c r="J40" s="447"/>
      <c r="K40" s="447"/>
      <c r="L40" s="447"/>
      <c r="M40" s="447"/>
      <c r="N40" s="447"/>
      <c r="O40" s="447"/>
      <c r="P40" s="447"/>
      <c r="Q40" s="447"/>
      <c r="R40" s="447"/>
      <c r="S40" s="400"/>
      <c r="T40" s="400"/>
      <c r="U40" s="400"/>
      <c r="V40" s="400"/>
      <c r="W40" s="400"/>
      <c r="X40" s="400"/>
      <c r="Y40" s="400"/>
      <c r="Z40" s="400"/>
      <c r="AA40" s="400"/>
      <c r="AB40" s="400"/>
      <c r="AC40" s="400"/>
      <c r="AD40" s="400"/>
      <c r="AE40" s="400"/>
      <c r="AF40" s="400"/>
      <c r="AG40" s="400"/>
      <c r="AH40" s="400"/>
      <c r="AI40" s="400"/>
      <c r="AJ40" s="400"/>
      <c r="AK40" s="156"/>
      <c r="AL40" s="156"/>
      <c r="AM40" s="156"/>
      <c r="AN40" s="156"/>
      <c r="AO40" s="156"/>
      <c r="AP40" s="156"/>
      <c r="AQ40" s="156"/>
      <c r="AR40" s="156"/>
      <c r="AS40" s="156"/>
      <c r="AT40" s="156"/>
      <c r="AU40" s="156"/>
      <c r="AV40" s="156"/>
      <c r="AW40" s="156"/>
      <c r="AX40" s="156"/>
      <c r="AY40" s="156"/>
      <c r="AZ40" s="156"/>
      <c r="BA40" s="156"/>
      <c r="BB40" s="156"/>
    </row>
    <row r="41" spans="1:62" ht="12" customHeight="1" x14ac:dyDescent="0.2">
      <c r="A41" s="447"/>
      <c r="B41" s="447"/>
      <c r="C41" s="447"/>
      <c r="D41" s="447"/>
      <c r="E41" s="447"/>
      <c r="F41" s="447"/>
      <c r="G41" s="447"/>
      <c r="H41" s="447"/>
      <c r="I41" s="447"/>
      <c r="J41" s="447"/>
      <c r="K41" s="447"/>
      <c r="L41" s="447"/>
      <c r="M41" s="447"/>
      <c r="N41" s="447"/>
      <c r="O41" s="447"/>
      <c r="P41" s="447"/>
      <c r="Q41" s="447"/>
      <c r="R41" s="447"/>
      <c r="S41" s="400"/>
      <c r="T41" s="400"/>
      <c r="U41" s="400"/>
      <c r="V41" s="400"/>
      <c r="W41" s="400"/>
      <c r="X41" s="400"/>
      <c r="Y41" s="400"/>
      <c r="Z41" s="400"/>
      <c r="AA41" s="400"/>
      <c r="AB41" s="400"/>
      <c r="AC41" s="400"/>
      <c r="AD41" s="400"/>
      <c r="AE41" s="400"/>
      <c r="AF41" s="400"/>
      <c r="AG41" s="400"/>
      <c r="AH41" s="400"/>
      <c r="AI41" s="400"/>
      <c r="AJ41" s="400"/>
      <c r="AK41" s="156"/>
      <c r="AL41" s="156"/>
      <c r="AM41" s="156"/>
      <c r="AN41" s="156"/>
      <c r="AO41" s="156"/>
      <c r="AP41" s="156"/>
      <c r="AQ41" s="156"/>
      <c r="AR41" s="156"/>
      <c r="AS41" s="156"/>
      <c r="AT41" s="156"/>
      <c r="AU41" s="156"/>
      <c r="AV41" s="156"/>
      <c r="AW41" s="156"/>
      <c r="AX41" s="156"/>
      <c r="AY41" s="156"/>
      <c r="AZ41" s="156"/>
      <c r="BA41" s="156"/>
      <c r="BB41" s="156"/>
    </row>
    <row r="42" spans="1:62" ht="12" customHeight="1" x14ac:dyDescent="0.2">
      <c r="A42" s="447"/>
      <c r="B42" s="447"/>
      <c r="C42" s="447"/>
      <c r="D42" s="447"/>
      <c r="E42" s="447"/>
      <c r="F42" s="447"/>
      <c r="G42" s="447"/>
      <c r="H42" s="447"/>
      <c r="I42" s="447"/>
      <c r="J42" s="447"/>
      <c r="K42" s="447"/>
      <c r="L42" s="447"/>
      <c r="M42" s="447"/>
      <c r="N42" s="447"/>
      <c r="O42" s="447"/>
      <c r="P42" s="447"/>
      <c r="Q42" s="447"/>
      <c r="R42" s="447"/>
      <c r="S42" s="400"/>
      <c r="T42" s="400"/>
      <c r="U42" s="400"/>
      <c r="V42" s="400"/>
      <c r="W42" s="400"/>
      <c r="X42" s="400"/>
      <c r="Y42" s="400"/>
      <c r="Z42" s="400"/>
      <c r="AA42" s="400"/>
      <c r="AB42" s="400"/>
      <c r="AC42" s="400"/>
      <c r="AD42" s="400"/>
      <c r="AE42" s="400"/>
      <c r="AF42" s="400"/>
      <c r="AG42" s="400"/>
      <c r="AH42" s="400"/>
      <c r="AI42" s="400"/>
      <c r="AJ42" s="400"/>
      <c r="AK42" s="156"/>
      <c r="AL42" s="156"/>
      <c r="AM42" s="156"/>
      <c r="AN42" s="156"/>
      <c r="AO42" s="156"/>
      <c r="AP42" s="156"/>
      <c r="AQ42" s="156"/>
      <c r="AR42" s="156"/>
      <c r="AS42" s="156"/>
      <c r="AT42" s="156"/>
      <c r="AU42" s="156"/>
      <c r="AV42" s="156"/>
      <c r="AW42" s="156"/>
      <c r="AX42" s="156"/>
      <c r="AY42" s="156"/>
      <c r="AZ42" s="156"/>
      <c r="BA42" s="156"/>
      <c r="BB42" s="156"/>
    </row>
    <row r="43" spans="1:62" ht="12" customHeight="1" x14ac:dyDescent="0.2">
      <c r="A43" s="447"/>
      <c r="B43" s="447"/>
      <c r="C43" s="447"/>
      <c r="D43" s="447"/>
      <c r="E43" s="447"/>
      <c r="F43" s="447"/>
      <c r="G43" s="447"/>
      <c r="H43" s="447"/>
      <c r="I43" s="447"/>
      <c r="J43" s="447"/>
      <c r="K43" s="447"/>
      <c r="L43" s="447"/>
      <c r="M43" s="447"/>
      <c r="N43" s="447"/>
      <c r="O43" s="447"/>
      <c r="P43" s="447"/>
      <c r="Q43" s="447"/>
      <c r="R43" s="447"/>
      <c r="S43" s="400"/>
      <c r="T43" s="400"/>
      <c r="U43" s="400"/>
      <c r="V43" s="400"/>
      <c r="W43" s="400"/>
      <c r="X43" s="400"/>
      <c r="Y43" s="400"/>
      <c r="Z43" s="400"/>
      <c r="AA43" s="400"/>
      <c r="AB43" s="400"/>
      <c r="AC43" s="400"/>
      <c r="AD43" s="400"/>
      <c r="AE43" s="400"/>
      <c r="AF43" s="400"/>
      <c r="AG43" s="400"/>
      <c r="AH43" s="400"/>
      <c r="AI43" s="400"/>
      <c r="AJ43" s="400"/>
      <c r="AK43" s="156"/>
      <c r="AL43" s="156"/>
      <c r="AM43" s="156"/>
      <c r="AN43" s="156"/>
      <c r="AO43" s="156"/>
      <c r="AP43" s="156"/>
      <c r="AQ43" s="156"/>
      <c r="AR43" s="156"/>
      <c r="AS43" s="156"/>
      <c r="AT43" s="156"/>
      <c r="AU43" s="156"/>
      <c r="AV43" s="156"/>
      <c r="AW43" s="156"/>
      <c r="AX43" s="156"/>
      <c r="AY43" s="156"/>
      <c r="AZ43" s="156"/>
      <c r="BA43" s="156"/>
      <c r="BB43" s="156"/>
    </row>
    <row r="44" spans="1:62" ht="12" customHeight="1" x14ac:dyDescent="0.2">
      <c r="A44" s="447"/>
      <c r="B44" s="447"/>
      <c r="C44" s="447"/>
      <c r="D44" s="447"/>
      <c r="E44" s="447"/>
      <c r="F44" s="447"/>
      <c r="G44" s="447"/>
      <c r="H44" s="447"/>
      <c r="I44" s="447"/>
      <c r="J44" s="447"/>
      <c r="K44" s="447"/>
      <c r="L44" s="447"/>
      <c r="M44" s="447"/>
      <c r="N44" s="447"/>
      <c r="O44" s="447"/>
      <c r="P44" s="447"/>
      <c r="Q44" s="447"/>
      <c r="R44" s="447"/>
      <c r="S44" s="400"/>
      <c r="T44" s="400"/>
      <c r="U44" s="400"/>
      <c r="V44" s="400"/>
      <c r="W44" s="400"/>
      <c r="X44" s="400"/>
      <c r="Y44" s="400"/>
      <c r="Z44" s="400"/>
      <c r="AA44" s="400"/>
      <c r="AB44" s="400"/>
      <c r="AC44" s="400"/>
      <c r="AD44" s="400"/>
      <c r="AE44" s="400"/>
      <c r="AF44" s="400"/>
      <c r="AG44" s="400"/>
      <c r="AH44" s="400"/>
      <c r="AI44" s="400"/>
      <c r="AJ44" s="400"/>
      <c r="AK44" s="156"/>
      <c r="AL44" s="156"/>
      <c r="AM44" s="156"/>
      <c r="AN44" s="156"/>
      <c r="AO44" s="156"/>
      <c r="AP44" s="156"/>
      <c r="AQ44" s="156"/>
      <c r="AR44" s="156"/>
      <c r="AS44" s="156"/>
      <c r="AT44" s="156"/>
      <c r="AU44" s="156"/>
      <c r="AV44" s="156"/>
      <c r="AW44" s="156"/>
      <c r="AX44" s="156"/>
      <c r="AY44" s="156"/>
      <c r="AZ44" s="156"/>
      <c r="BA44" s="156"/>
      <c r="BB44" s="156"/>
    </row>
    <row r="45" spans="1:62" ht="12" customHeight="1" x14ac:dyDescent="0.2">
      <c r="A45" s="447"/>
      <c r="B45" s="447"/>
      <c r="C45" s="447"/>
      <c r="D45" s="447"/>
      <c r="E45" s="447"/>
      <c r="F45" s="447"/>
      <c r="G45" s="447"/>
      <c r="H45" s="447"/>
      <c r="I45" s="447"/>
      <c r="J45" s="447"/>
      <c r="K45" s="447"/>
      <c r="L45" s="447"/>
      <c r="M45" s="447"/>
      <c r="N45" s="447"/>
      <c r="O45" s="447"/>
      <c r="P45" s="447"/>
      <c r="Q45" s="447"/>
      <c r="R45" s="447"/>
      <c r="S45" s="400"/>
      <c r="T45" s="400"/>
      <c r="U45" s="400"/>
      <c r="V45" s="400"/>
      <c r="W45" s="400"/>
      <c r="X45" s="400"/>
      <c r="Y45" s="400"/>
      <c r="Z45" s="400"/>
      <c r="AA45" s="400"/>
      <c r="AB45" s="400"/>
      <c r="AC45" s="400"/>
      <c r="AD45" s="400"/>
      <c r="AE45" s="400"/>
      <c r="AF45" s="400"/>
      <c r="AG45" s="400"/>
      <c r="AH45" s="400"/>
      <c r="AI45" s="400"/>
      <c r="AJ45" s="400"/>
      <c r="AK45" s="156"/>
      <c r="AL45" s="156"/>
      <c r="AM45" s="156"/>
      <c r="AN45" s="156"/>
      <c r="AO45" s="156"/>
      <c r="AP45" s="156"/>
      <c r="AQ45" s="156"/>
      <c r="AR45" s="156"/>
      <c r="AS45" s="156"/>
      <c r="AT45" s="156"/>
      <c r="AU45" s="156"/>
      <c r="AV45" s="156"/>
      <c r="AW45" s="156"/>
      <c r="AX45" s="156"/>
      <c r="AY45" s="156"/>
      <c r="AZ45" s="156"/>
      <c r="BA45" s="156"/>
      <c r="BB45" s="156"/>
    </row>
    <row r="46" spans="1:62" ht="12" customHeight="1" x14ac:dyDescent="0.2">
      <c r="A46" s="447"/>
      <c r="B46" s="447"/>
      <c r="C46" s="447"/>
      <c r="D46" s="447"/>
      <c r="E46" s="447"/>
      <c r="F46" s="447"/>
      <c r="G46" s="447"/>
      <c r="H46" s="447"/>
      <c r="I46" s="447"/>
      <c r="J46" s="447"/>
      <c r="K46" s="447"/>
      <c r="L46" s="447"/>
      <c r="M46" s="447"/>
      <c r="N46" s="447"/>
      <c r="O46" s="447"/>
      <c r="P46" s="447"/>
      <c r="Q46" s="447"/>
      <c r="R46" s="447"/>
      <c r="S46" s="400"/>
      <c r="T46" s="400"/>
      <c r="U46" s="400"/>
      <c r="V46" s="400"/>
      <c r="W46" s="400"/>
      <c r="X46" s="400"/>
      <c r="Y46" s="400"/>
      <c r="Z46" s="400"/>
      <c r="AA46" s="400"/>
      <c r="AB46" s="400"/>
      <c r="AC46" s="400"/>
      <c r="AD46" s="400"/>
      <c r="AE46" s="400"/>
      <c r="AF46" s="400"/>
      <c r="AG46" s="400"/>
      <c r="AH46" s="400"/>
      <c r="AI46" s="400"/>
      <c r="AJ46" s="400"/>
      <c r="AK46" s="156"/>
      <c r="AL46" s="156"/>
      <c r="AM46" s="156"/>
      <c r="AN46" s="156"/>
      <c r="AO46" s="156"/>
      <c r="AP46" s="156"/>
      <c r="AQ46" s="156"/>
      <c r="AR46" s="156"/>
      <c r="AS46" s="156"/>
      <c r="AT46" s="156"/>
      <c r="AU46" s="156"/>
      <c r="AV46" s="156"/>
      <c r="AW46" s="156"/>
      <c r="AX46" s="156"/>
      <c r="AY46" s="156"/>
      <c r="AZ46" s="156"/>
      <c r="BA46" s="156"/>
      <c r="BB46" s="156"/>
    </row>
    <row r="47" spans="1:62" ht="12" customHeight="1" x14ac:dyDescent="0.2">
      <c r="A47" s="447"/>
      <c r="B47" s="447"/>
      <c r="C47" s="447"/>
      <c r="D47" s="447"/>
      <c r="E47" s="447"/>
      <c r="F47" s="447"/>
      <c r="G47" s="447"/>
      <c r="H47" s="447"/>
      <c r="I47" s="447"/>
      <c r="J47" s="447"/>
      <c r="K47" s="447"/>
      <c r="L47" s="447"/>
      <c r="M47" s="447"/>
      <c r="N47" s="447"/>
      <c r="O47" s="447"/>
      <c r="P47" s="447"/>
      <c r="Q47" s="447"/>
      <c r="R47" s="447"/>
      <c r="S47" s="400"/>
      <c r="T47" s="400"/>
      <c r="U47" s="400"/>
      <c r="V47" s="400"/>
      <c r="W47" s="400"/>
      <c r="X47" s="400"/>
      <c r="Y47" s="400"/>
      <c r="Z47" s="400"/>
      <c r="AA47" s="400"/>
      <c r="AB47" s="400"/>
      <c r="AC47" s="400"/>
      <c r="AD47" s="400"/>
      <c r="AE47" s="400"/>
      <c r="AF47" s="400"/>
      <c r="AG47" s="400"/>
      <c r="AH47" s="400"/>
      <c r="AI47" s="400"/>
      <c r="AJ47" s="400"/>
      <c r="AK47" s="156"/>
      <c r="AL47" s="156"/>
      <c r="AM47" s="156"/>
      <c r="AN47" s="156"/>
      <c r="AO47" s="156"/>
      <c r="AP47" s="156"/>
      <c r="AQ47" s="156"/>
      <c r="AR47" s="156"/>
      <c r="AS47" s="156"/>
      <c r="AT47" s="156"/>
      <c r="AU47" s="156"/>
      <c r="AV47" s="156"/>
      <c r="AW47" s="156"/>
      <c r="AX47" s="156"/>
      <c r="AY47" s="156"/>
      <c r="AZ47" s="156"/>
      <c r="BA47" s="156"/>
      <c r="BB47" s="156"/>
    </row>
    <row r="48" spans="1:62" ht="12" customHeight="1" x14ac:dyDescent="0.2">
      <c r="A48" s="447"/>
      <c r="B48" s="447"/>
      <c r="C48" s="447"/>
      <c r="D48" s="447"/>
      <c r="E48" s="447"/>
      <c r="F48" s="447"/>
      <c r="G48" s="447"/>
      <c r="H48" s="447"/>
      <c r="I48" s="447"/>
      <c r="J48" s="447"/>
      <c r="K48" s="447"/>
      <c r="L48" s="447"/>
      <c r="M48" s="447"/>
      <c r="N48" s="447"/>
      <c r="O48" s="447"/>
      <c r="P48" s="447"/>
      <c r="Q48" s="447"/>
      <c r="R48" s="447"/>
      <c r="S48" s="400"/>
      <c r="T48" s="400"/>
      <c r="U48" s="400"/>
      <c r="V48" s="400"/>
      <c r="W48" s="400"/>
      <c r="X48" s="400"/>
      <c r="Y48" s="400"/>
      <c r="Z48" s="400"/>
      <c r="AA48" s="400"/>
      <c r="AB48" s="400"/>
      <c r="AC48" s="400"/>
      <c r="AD48" s="400"/>
      <c r="AE48" s="400"/>
      <c r="AF48" s="400"/>
      <c r="AG48" s="400"/>
      <c r="AH48" s="400"/>
      <c r="AI48" s="400"/>
      <c r="AJ48" s="400"/>
      <c r="AK48" s="156"/>
      <c r="AL48" s="156"/>
      <c r="AM48" s="156"/>
      <c r="AN48" s="156"/>
      <c r="AO48" s="156"/>
      <c r="AP48" s="156"/>
      <c r="AQ48" s="156"/>
      <c r="AR48" s="156"/>
      <c r="AS48" s="156"/>
      <c r="AT48" s="156"/>
      <c r="AU48" s="156"/>
      <c r="AV48" s="156"/>
      <c r="AW48" s="156"/>
      <c r="AX48" s="156"/>
      <c r="AY48" s="156"/>
      <c r="AZ48" s="156"/>
      <c r="BA48" s="156"/>
      <c r="BB48" s="156"/>
    </row>
    <row r="49" spans="1:54" ht="12" customHeight="1" x14ac:dyDescent="0.2">
      <c r="A49" s="447"/>
      <c r="B49" s="447"/>
      <c r="C49" s="447"/>
      <c r="D49" s="447"/>
      <c r="E49" s="447"/>
      <c r="F49" s="447"/>
      <c r="G49" s="447"/>
      <c r="H49" s="447"/>
      <c r="I49" s="447"/>
      <c r="J49" s="447"/>
      <c r="K49" s="447"/>
      <c r="L49" s="447"/>
      <c r="M49" s="447"/>
      <c r="N49" s="447"/>
      <c r="O49" s="447"/>
      <c r="P49" s="447"/>
      <c r="Q49" s="447"/>
      <c r="R49" s="447"/>
      <c r="S49" s="400"/>
      <c r="T49" s="400"/>
      <c r="U49" s="400"/>
      <c r="V49" s="400"/>
      <c r="W49" s="400"/>
      <c r="X49" s="400"/>
      <c r="Y49" s="400"/>
      <c r="Z49" s="400"/>
      <c r="AA49" s="400"/>
      <c r="AB49" s="400"/>
      <c r="AC49" s="400"/>
      <c r="AD49" s="400"/>
      <c r="AE49" s="400"/>
      <c r="AF49" s="400"/>
      <c r="AG49" s="400"/>
      <c r="AH49" s="400"/>
      <c r="AI49" s="400"/>
      <c r="AJ49" s="400"/>
      <c r="AK49" s="156"/>
      <c r="AL49" s="156"/>
      <c r="AM49" s="156"/>
      <c r="AN49" s="156"/>
      <c r="AO49" s="156"/>
      <c r="AP49" s="156"/>
      <c r="AQ49" s="156"/>
      <c r="AR49" s="156"/>
      <c r="AS49" s="156"/>
      <c r="AT49" s="156"/>
      <c r="AU49" s="156"/>
      <c r="AV49" s="156"/>
      <c r="AW49" s="156"/>
      <c r="AX49" s="156"/>
      <c r="AY49" s="156"/>
      <c r="AZ49" s="156"/>
      <c r="BA49" s="156"/>
      <c r="BB49" s="156"/>
    </row>
    <row r="50" spans="1:54" ht="12" customHeight="1" thickBot="1" x14ac:dyDescent="0.25">
      <c r="A50" s="450"/>
      <c r="B50" s="450"/>
      <c r="C50" s="450"/>
      <c r="D50" s="450"/>
      <c r="E50" s="450"/>
      <c r="F50" s="450"/>
      <c r="G50" s="450"/>
      <c r="H50" s="450"/>
      <c r="I50" s="450"/>
      <c r="J50" s="450"/>
      <c r="K50" s="450"/>
      <c r="L50" s="450"/>
      <c r="M50" s="450"/>
      <c r="N50" s="450"/>
      <c r="O50" s="450"/>
      <c r="P50" s="450"/>
      <c r="Q50" s="450"/>
      <c r="R50" s="450"/>
      <c r="S50" s="451"/>
      <c r="T50" s="451"/>
      <c r="U50" s="451"/>
      <c r="V50" s="451"/>
      <c r="W50" s="451"/>
      <c r="X50" s="451"/>
      <c r="Y50" s="451"/>
      <c r="Z50" s="451"/>
      <c r="AA50" s="451"/>
      <c r="AB50" s="451"/>
      <c r="AC50" s="451"/>
      <c r="AD50" s="451"/>
      <c r="AE50" s="451"/>
      <c r="AF50" s="451"/>
      <c r="AG50" s="451"/>
      <c r="AH50" s="451"/>
      <c r="AI50" s="451"/>
      <c r="AJ50" s="451"/>
      <c r="AK50" s="448"/>
      <c r="AL50" s="448"/>
      <c r="AM50" s="448"/>
      <c r="AN50" s="448"/>
      <c r="AO50" s="448"/>
      <c r="AP50" s="448"/>
      <c r="AQ50" s="448"/>
      <c r="AR50" s="448"/>
      <c r="AS50" s="448"/>
      <c r="AT50" s="448"/>
      <c r="AU50" s="448"/>
      <c r="AV50" s="448"/>
      <c r="AW50" s="448"/>
      <c r="AX50" s="448"/>
      <c r="AY50" s="448"/>
      <c r="AZ50" s="448"/>
      <c r="BA50" s="448"/>
      <c r="BB50" s="448"/>
    </row>
    <row r="51" spans="1:54" ht="12" customHeight="1" x14ac:dyDescent="0.2">
      <c r="A51" s="336" t="s">
        <v>35</v>
      </c>
      <c r="B51" s="336"/>
      <c r="C51" s="336"/>
      <c r="D51" s="336"/>
      <c r="E51" s="336"/>
      <c r="F51" s="336"/>
      <c r="G51" s="336"/>
      <c r="H51" s="336"/>
      <c r="I51" s="336"/>
      <c r="J51" s="336"/>
      <c r="K51" s="336"/>
      <c r="L51" s="336"/>
      <c r="M51" s="336"/>
      <c r="N51" s="336"/>
      <c r="O51" s="336"/>
      <c r="P51" s="336"/>
      <c r="Q51" s="336"/>
      <c r="R51" s="336"/>
      <c r="S51" s="336"/>
      <c r="T51" s="336"/>
      <c r="U51" s="336"/>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336"/>
      <c r="BB51" s="336"/>
    </row>
    <row r="52" spans="1:54" ht="12" customHeight="1" x14ac:dyDescent="0.2">
      <c r="A52" s="219"/>
      <c r="B52" s="219"/>
      <c r="C52" s="219"/>
      <c r="D52" s="219"/>
      <c r="E52" s="219"/>
      <c r="F52" s="219"/>
      <c r="G52" s="219"/>
      <c r="H52" s="219"/>
      <c r="I52" s="219"/>
      <c r="J52" s="219"/>
      <c r="K52" s="219"/>
      <c r="L52" s="219"/>
      <c r="M52" s="219"/>
      <c r="N52" s="219"/>
      <c r="O52" s="219"/>
      <c r="P52" s="219"/>
      <c r="Q52" s="219"/>
      <c r="R52" s="219"/>
      <c r="S52" s="219"/>
      <c r="T52" s="219"/>
      <c r="U52" s="219"/>
      <c r="V52" s="219"/>
      <c r="W52" s="219"/>
      <c r="X52" s="219"/>
      <c r="Y52" s="219"/>
      <c r="Z52" s="219"/>
      <c r="AA52" s="219"/>
      <c r="AB52" s="219"/>
      <c r="AC52" s="219"/>
      <c r="AD52" s="219"/>
      <c r="AE52" s="219"/>
      <c r="AF52" s="219"/>
      <c r="AG52" s="219"/>
      <c r="AH52" s="219"/>
      <c r="AI52" s="219"/>
      <c r="AJ52" s="219"/>
      <c r="AK52" s="219"/>
      <c r="AL52" s="219"/>
      <c r="AM52" s="219"/>
      <c r="AN52" s="219"/>
      <c r="AO52" s="219"/>
      <c r="AP52" s="219"/>
      <c r="AQ52" s="219"/>
      <c r="AR52" s="219"/>
      <c r="AS52" s="219"/>
      <c r="AT52" s="219"/>
      <c r="AU52" s="219"/>
      <c r="AV52" s="219"/>
      <c r="AW52" s="219"/>
      <c r="AX52" s="219"/>
      <c r="AY52" s="219"/>
      <c r="AZ52" s="219"/>
      <c r="BA52" s="219"/>
      <c r="BB52" s="219"/>
    </row>
    <row r="53" spans="1:54" ht="12" customHeight="1" x14ac:dyDescent="0.2">
      <c r="A53" s="219"/>
      <c r="B53" s="219"/>
      <c r="C53" s="219"/>
      <c r="D53" s="219"/>
      <c r="E53" s="219"/>
      <c r="F53" s="219"/>
      <c r="G53" s="219"/>
      <c r="H53" s="219"/>
      <c r="I53" s="219"/>
      <c r="J53" s="219"/>
      <c r="K53" s="219"/>
      <c r="L53" s="219"/>
      <c r="M53" s="219"/>
      <c r="N53" s="219"/>
      <c r="O53" s="219"/>
      <c r="P53" s="219"/>
      <c r="Q53" s="219"/>
      <c r="R53" s="219"/>
      <c r="S53" s="219"/>
      <c r="T53" s="219"/>
      <c r="U53" s="219"/>
      <c r="V53" s="219"/>
      <c r="W53" s="219"/>
      <c r="X53" s="219"/>
      <c r="Y53" s="219"/>
      <c r="Z53" s="219"/>
      <c r="AA53" s="219"/>
      <c r="AB53" s="219"/>
      <c r="AC53" s="219"/>
      <c r="AD53" s="219"/>
      <c r="AE53" s="219"/>
      <c r="AF53" s="219"/>
      <c r="AG53" s="219"/>
      <c r="AH53" s="219"/>
      <c r="AI53" s="219"/>
      <c r="AJ53" s="219"/>
      <c r="AK53" s="219"/>
      <c r="AL53" s="219"/>
      <c r="AM53" s="219"/>
      <c r="AN53" s="219"/>
      <c r="AO53" s="219"/>
      <c r="AP53" s="219"/>
      <c r="AQ53" s="219"/>
      <c r="AR53" s="219"/>
      <c r="AS53" s="219"/>
      <c r="AT53" s="219"/>
      <c r="AU53" s="219"/>
      <c r="AV53" s="219"/>
      <c r="AW53" s="219"/>
      <c r="AX53" s="219"/>
      <c r="AY53" s="219"/>
      <c r="AZ53" s="219"/>
      <c r="BA53" s="219"/>
      <c r="BB53" s="219"/>
    </row>
    <row r="54" spans="1:54" ht="12" customHeight="1" x14ac:dyDescent="0.2">
      <c r="A54" s="219"/>
      <c r="B54" s="219"/>
      <c r="C54" s="219"/>
      <c r="D54" s="219"/>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219"/>
      <c r="AL54" s="219"/>
      <c r="AM54" s="219"/>
      <c r="AN54" s="219"/>
      <c r="AO54" s="219"/>
      <c r="AP54" s="219"/>
      <c r="AQ54" s="219"/>
      <c r="AR54" s="219"/>
      <c r="AS54" s="219"/>
      <c r="AT54" s="219"/>
      <c r="AU54" s="219"/>
      <c r="AV54" s="219"/>
      <c r="AW54" s="219"/>
      <c r="AX54" s="219"/>
      <c r="AY54" s="219"/>
      <c r="AZ54" s="219"/>
      <c r="BA54" s="219"/>
      <c r="BB54" s="219"/>
    </row>
    <row r="55" spans="1:54" ht="12" customHeight="1" x14ac:dyDescent="0.2">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row>
    <row r="56" spans="1:54" ht="12" customHeight="1" x14ac:dyDescent="0.2">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19"/>
      <c r="AI56" s="219"/>
      <c r="AJ56" s="219"/>
      <c r="AK56" s="219"/>
      <c r="AL56" s="219"/>
      <c r="AM56" s="219"/>
      <c r="AN56" s="219"/>
      <c r="AO56" s="219"/>
      <c r="AP56" s="219"/>
      <c r="AQ56" s="219"/>
      <c r="AR56" s="219"/>
      <c r="AS56" s="219"/>
      <c r="AT56" s="219"/>
      <c r="AU56" s="219"/>
      <c r="AV56" s="219"/>
      <c r="AW56" s="219"/>
      <c r="AX56" s="219"/>
      <c r="AY56" s="219"/>
      <c r="AZ56" s="219"/>
      <c r="BA56" s="219"/>
      <c r="BB56" s="219"/>
    </row>
    <row r="57" spans="1:54" ht="12" customHeight="1" x14ac:dyDescent="0.2">
      <c r="A57" s="196"/>
      <c r="B57" s="196"/>
      <c r="C57" s="196"/>
      <c r="D57" s="196"/>
      <c r="E57" s="215" t="str">
        <f>IF('Data Entry'!N29="","",'Data Entry'!N29)&amp;IF(OR('Data Entry'!N29="",'Data Entry'!N30=""),""," / Licence No")&amp; IF('Data Entry'!N30="","",'Data Entry'!N30)</f>
        <v>MEHMET EROĞLU</v>
      </c>
      <c r="F57" s="215"/>
      <c r="G57" s="215"/>
      <c r="H57" s="215"/>
      <c r="I57" s="215"/>
      <c r="J57" s="215"/>
      <c r="K57" s="215"/>
      <c r="L57" s="215"/>
      <c r="M57" s="215"/>
      <c r="N57" s="215"/>
      <c r="O57" s="215"/>
      <c r="P57" s="215"/>
      <c r="Q57" s="215"/>
      <c r="R57" s="215"/>
      <c r="S57" s="215"/>
      <c r="T57" s="215"/>
      <c r="U57" s="215"/>
      <c r="V57" s="215"/>
      <c r="W57" s="215"/>
      <c r="X57" s="215"/>
      <c r="Y57" s="215"/>
      <c r="Z57" s="215"/>
      <c r="AA57" s="215"/>
      <c r="AB57" s="215"/>
      <c r="AC57" s="215"/>
      <c r="AD57" s="215"/>
      <c r="AE57" s="215"/>
      <c r="AF57" s="215"/>
      <c r="AG57" s="449"/>
      <c r="AH57" s="449"/>
      <c r="AI57" s="449"/>
      <c r="AJ57" s="449"/>
      <c r="AK57" s="215" t="str">
        <f>IF('Data Entry'!N13="","",'Data Entry'!N13)</f>
        <v/>
      </c>
      <c r="AL57" s="215"/>
      <c r="AM57" s="215"/>
      <c r="AN57" s="215"/>
      <c r="AO57" s="215"/>
      <c r="AP57" s="215"/>
      <c r="AQ57" s="215"/>
      <c r="AR57" s="215"/>
      <c r="AS57" s="449"/>
      <c r="AT57" s="215" t="str">
        <f>IF('Data Entry'!N9="","",'Data Entry'!N9)</f>
        <v/>
      </c>
      <c r="AU57" s="215"/>
      <c r="AV57" s="215"/>
      <c r="AW57" s="215"/>
      <c r="AX57" s="215"/>
      <c r="AY57" s="215"/>
      <c r="AZ57" s="215"/>
      <c r="BA57" s="215"/>
      <c r="BB57" s="196"/>
    </row>
    <row r="58" spans="1:54" ht="12" customHeight="1" x14ac:dyDescent="0.2">
      <c r="A58" s="196"/>
      <c r="B58" s="196"/>
      <c r="C58" s="196"/>
      <c r="D58" s="196"/>
      <c r="E58" s="215"/>
      <c r="F58" s="215"/>
      <c r="G58" s="215"/>
      <c r="H58" s="215"/>
      <c r="I58" s="215"/>
      <c r="J58" s="215"/>
      <c r="K58" s="215"/>
      <c r="L58" s="215"/>
      <c r="M58" s="215"/>
      <c r="N58" s="215"/>
      <c r="O58" s="215"/>
      <c r="P58" s="215"/>
      <c r="Q58" s="215"/>
      <c r="R58" s="215"/>
      <c r="S58" s="215"/>
      <c r="T58" s="215"/>
      <c r="U58" s="215"/>
      <c r="V58" s="215"/>
      <c r="W58" s="215"/>
      <c r="X58" s="215"/>
      <c r="Y58" s="215"/>
      <c r="Z58" s="215"/>
      <c r="AA58" s="215"/>
      <c r="AB58" s="215"/>
      <c r="AC58" s="215"/>
      <c r="AD58" s="215"/>
      <c r="AE58" s="215"/>
      <c r="AF58" s="215"/>
      <c r="AG58" s="449"/>
      <c r="AH58" s="449"/>
      <c r="AI58" s="449"/>
      <c r="AJ58" s="449"/>
      <c r="AK58" s="215"/>
      <c r="AL58" s="215"/>
      <c r="AM58" s="215"/>
      <c r="AN58" s="215"/>
      <c r="AO58" s="215"/>
      <c r="AP58" s="215"/>
      <c r="AQ58" s="215"/>
      <c r="AR58" s="215"/>
      <c r="AS58" s="449"/>
      <c r="AT58" s="215"/>
      <c r="AU58" s="215"/>
      <c r="AV58" s="215"/>
      <c r="AW58" s="215"/>
      <c r="AX58" s="215"/>
      <c r="AY58" s="215"/>
      <c r="AZ58" s="215"/>
      <c r="BA58" s="215"/>
      <c r="BB58" s="196"/>
    </row>
    <row r="59" spans="1:54" ht="12" customHeight="1" x14ac:dyDescent="0.2">
      <c r="A59" s="196"/>
      <c r="B59" s="196"/>
      <c r="C59" s="196"/>
      <c r="D59" s="196"/>
      <c r="E59" s="215"/>
      <c r="F59" s="215"/>
      <c r="G59" s="215"/>
      <c r="H59" s="215"/>
      <c r="I59" s="215"/>
      <c r="J59" s="215"/>
      <c r="K59" s="215"/>
      <c r="L59" s="215"/>
      <c r="M59" s="215"/>
      <c r="N59" s="215"/>
      <c r="O59" s="215"/>
      <c r="P59" s="215"/>
      <c r="Q59" s="215"/>
      <c r="R59" s="215"/>
      <c r="S59" s="215"/>
      <c r="T59" s="215"/>
      <c r="U59" s="215"/>
      <c r="V59" s="215"/>
      <c r="W59" s="215"/>
      <c r="X59" s="215"/>
      <c r="Y59" s="215"/>
      <c r="Z59" s="215"/>
      <c r="AA59" s="215"/>
      <c r="AB59" s="215"/>
      <c r="AC59" s="215"/>
      <c r="AD59" s="215"/>
      <c r="AE59" s="215"/>
      <c r="AF59" s="215"/>
      <c r="AG59" s="449"/>
      <c r="AH59" s="449"/>
      <c r="AI59" s="449"/>
      <c r="AJ59" s="449"/>
      <c r="AK59" s="215"/>
      <c r="AL59" s="215"/>
      <c r="AM59" s="215"/>
      <c r="AN59" s="215"/>
      <c r="AO59" s="215"/>
      <c r="AP59" s="215"/>
      <c r="AQ59" s="215"/>
      <c r="AR59" s="215"/>
      <c r="AS59" s="449"/>
      <c r="AT59" s="215"/>
      <c r="AU59" s="215"/>
      <c r="AV59" s="215"/>
      <c r="AW59" s="215"/>
      <c r="AX59" s="215"/>
      <c r="AY59" s="215"/>
      <c r="AZ59" s="215"/>
      <c r="BA59" s="215"/>
      <c r="BB59" s="196"/>
    </row>
    <row r="60" spans="1:54" ht="12" customHeight="1" x14ac:dyDescent="0.2">
      <c r="A60" s="196"/>
      <c r="B60" s="196"/>
      <c r="C60" s="196"/>
      <c r="D60" s="196"/>
      <c r="E60" s="211" t="s">
        <v>184</v>
      </c>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449"/>
      <c r="AH60" s="449"/>
      <c r="AI60" s="449"/>
      <c r="AJ60" s="449"/>
      <c r="AK60" s="211" t="s">
        <v>51</v>
      </c>
      <c r="AL60" s="211"/>
      <c r="AM60" s="211"/>
      <c r="AN60" s="211"/>
      <c r="AO60" s="211"/>
      <c r="AP60" s="211"/>
      <c r="AQ60" s="211"/>
      <c r="AR60" s="211"/>
      <c r="AS60" s="449"/>
      <c r="AT60" s="211" t="s">
        <v>17</v>
      </c>
      <c r="AU60" s="211"/>
      <c r="AV60" s="211"/>
      <c r="AW60" s="211"/>
      <c r="AX60" s="211"/>
      <c r="AY60" s="211"/>
      <c r="AZ60" s="211"/>
      <c r="BA60" s="211"/>
      <c r="BB60" s="196"/>
    </row>
    <row r="61" spans="1:54" ht="12" customHeight="1" x14ac:dyDescent="0.2">
      <c r="A61" s="148" t="s">
        <v>272</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9" t="str">
        <f>'Data Entry'!AK9</f>
        <v>LTS-CUS-F-01 rev 2.0</v>
      </c>
      <c r="AP61" s="149"/>
      <c r="AQ61" s="149"/>
      <c r="AR61" s="149"/>
      <c r="AS61" s="149"/>
      <c r="AT61" s="149"/>
      <c r="AU61" s="149"/>
      <c r="AV61" s="149"/>
      <c r="AW61" s="149"/>
      <c r="AX61" s="149"/>
      <c r="AY61" s="149"/>
      <c r="AZ61" s="149"/>
      <c r="BA61" s="149"/>
      <c r="BB61" s="149"/>
    </row>
  </sheetData>
  <sheetProtection selectLockedCells="1" sort="0"/>
  <sortState xmlns:xlrd2="http://schemas.microsoft.com/office/spreadsheetml/2017/richdata2" ref="A13:BB36">
    <sortCondition ref="A11"/>
    <sortCondition ref="S11"/>
  </sortState>
  <mergeCells count="159">
    <mergeCell ref="AO61:BB61"/>
    <mergeCell ref="A61:AN61"/>
    <mergeCell ref="A49:R49"/>
    <mergeCell ref="A50:R50"/>
    <mergeCell ref="A48:R48"/>
    <mergeCell ref="S49:AJ49"/>
    <mergeCell ref="S50:AJ50"/>
    <mergeCell ref="A27:R27"/>
    <mergeCell ref="A28:R28"/>
    <mergeCell ref="A29:R29"/>
    <mergeCell ref="A30:R30"/>
    <mergeCell ref="A31:R31"/>
    <mergeCell ref="A32:R32"/>
    <mergeCell ref="A33:R33"/>
    <mergeCell ref="S40:AJ40"/>
    <mergeCell ref="A51:BB51"/>
    <mergeCell ref="A52:BB52"/>
    <mergeCell ref="A53:BB53"/>
    <mergeCell ref="A54:BB54"/>
    <mergeCell ref="A55:BB55"/>
    <mergeCell ref="A56:BB56"/>
    <mergeCell ref="A57:D60"/>
    <mergeCell ref="AG57:AJ60"/>
    <mergeCell ref="E57:AF59"/>
    <mergeCell ref="AK57:AR59"/>
    <mergeCell ref="AS57:AS60"/>
    <mergeCell ref="AT57:BA59"/>
    <mergeCell ref="BB57:BB60"/>
    <mergeCell ref="E60:AF60"/>
    <mergeCell ref="AK60:AR60"/>
    <mergeCell ref="AT60:BA60"/>
    <mergeCell ref="AR6:AS6"/>
    <mergeCell ref="AU6:BB6"/>
    <mergeCell ref="AR7:AS7"/>
    <mergeCell ref="AU7:BB7"/>
    <mergeCell ref="A20:R20"/>
    <mergeCell ref="A21:R21"/>
    <mergeCell ref="A22:R22"/>
    <mergeCell ref="A23:R23"/>
    <mergeCell ref="A24:R24"/>
    <mergeCell ref="A25:R25"/>
    <mergeCell ref="A26:R26"/>
    <mergeCell ref="A7:L7"/>
    <mergeCell ref="M7:N7"/>
    <mergeCell ref="O7:AQ7"/>
    <mergeCell ref="A9:BB9"/>
    <mergeCell ref="A10:BB10"/>
    <mergeCell ref="S48:AJ48"/>
    <mergeCell ref="A1:AQ3"/>
    <mergeCell ref="A4:BB4"/>
    <mergeCell ref="A5:BB5"/>
    <mergeCell ref="AR3:BB3"/>
    <mergeCell ref="AR1:AS1"/>
    <mergeCell ref="AR2:AS2"/>
    <mergeCell ref="AU1:BB1"/>
    <mergeCell ref="AU2:BB2"/>
    <mergeCell ref="A6:L6"/>
    <mergeCell ref="M6:N6"/>
    <mergeCell ref="O6:AQ6"/>
    <mergeCell ref="AK50:BB50"/>
    <mergeCell ref="AK45:BB45"/>
    <mergeCell ref="AK46:BB46"/>
    <mergeCell ref="AK47:BB47"/>
    <mergeCell ref="AK48:BB48"/>
    <mergeCell ref="AK49:BB49"/>
    <mergeCell ref="A8:BB8"/>
    <mergeCell ref="A40:R40"/>
    <mergeCell ref="A41:R41"/>
    <mergeCell ref="A42:R42"/>
    <mergeCell ref="A43:R43"/>
    <mergeCell ref="A44:R44"/>
    <mergeCell ref="A45:R45"/>
    <mergeCell ref="A46:R46"/>
    <mergeCell ref="A47:R47"/>
    <mergeCell ref="A12:R12"/>
    <mergeCell ref="A13:R13"/>
    <mergeCell ref="A14:R14"/>
    <mergeCell ref="A15:R15"/>
    <mergeCell ref="A16:R16"/>
    <mergeCell ref="A17:R17"/>
    <mergeCell ref="A18:R18"/>
    <mergeCell ref="A19:R19"/>
    <mergeCell ref="S15:AJ15"/>
    <mergeCell ref="S18:AJ18"/>
    <mergeCell ref="S19:AJ19"/>
    <mergeCell ref="S20:AJ20"/>
    <mergeCell ref="S45:AJ45"/>
    <mergeCell ref="S46:AJ46"/>
    <mergeCell ref="S47:AJ47"/>
    <mergeCell ref="AK44:BB44"/>
    <mergeCell ref="AK32:BB32"/>
    <mergeCell ref="AK33:BB33"/>
    <mergeCell ref="AK34:BB34"/>
    <mergeCell ref="AK40:BB40"/>
    <mergeCell ref="S21:AJ21"/>
    <mergeCell ref="S22:AJ22"/>
    <mergeCell ref="S23:AJ23"/>
    <mergeCell ref="S24:AJ24"/>
    <mergeCell ref="S25:AJ25"/>
    <mergeCell ref="S26:AJ26"/>
    <mergeCell ref="S27:AJ27"/>
    <mergeCell ref="S28:AJ28"/>
    <mergeCell ref="S29:AJ29"/>
    <mergeCell ref="S41:AJ41"/>
    <mergeCell ref="S42:AJ42"/>
    <mergeCell ref="S44:AJ44"/>
    <mergeCell ref="AK29:BB29"/>
    <mergeCell ref="AK41:BB41"/>
    <mergeCell ref="AK39:BB39"/>
    <mergeCell ref="S39:AJ39"/>
    <mergeCell ref="AK42:BB42"/>
    <mergeCell ref="A39:R39"/>
    <mergeCell ref="AK43:BB43"/>
    <mergeCell ref="A35:R35"/>
    <mergeCell ref="A36:R36"/>
    <mergeCell ref="A37:R37"/>
    <mergeCell ref="A38:R38"/>
    <mergeCell ref="S43:AJ43"/>
    <mergeCell ref="AK21:BB21"/>
    <mergeCell ref="AK22:BB22"/>
    <mergeCell ref="AK23:BB23"/>
    <mergeCell ref="S31:AJ31"/>
    <mergeCell ref="S32:AJ32"/>
    <mergeCell ref="S33:AJ33"/>
    <mergeCell ref="S34:AJ34"/>
    <mergeCell ref="AK24:BB24"/>
    <mergeCell ref="AK38:BB38"/>
    <mergeCell ref="AK25:BB25"/>
    <mergeCell ref="AK26:BB26"/>
    <mergeCell ref="AK27:BB27"/>
    <mergeCell ref="AK28:BB28"/>
    <mergeCell ref="S38:AJ38"/>
    <mergeCell ref="AK30:BB30"/>
    <mergeCell ref="AK31:BB31"/>
    <mergeCell ref="S30:AJ30"/>
    <mergeCell ref="A11:R11"/>
    <mergeCell ref="S11:AJ11"/>
    <mergeCell ref="AK11:BB11"/>
    <mergeCell ref="AK12:BB12"/>
    <mergeCell ref="AK13:BB13"/>
    <mergeCell ref="A34:R34"/>
    <mergeCell ref="AK35:BB35"/>
    <mergeCell ref="AK36:BB36"/>
    <mergeCell ref="AK37:BB37"/>
    <mergeCell ref="AK14:BB14"/>
    <mergeCell ref="AK15:BB15"/>
    <mergeCell ref="AK16:BB16"/>
    <mergeCell ref="AK17:BB17"/>
    <mergeCell ref="AK18:BB18"/>
    <mergeCell ref="AK19:BB19"/>
    <mergeCell ref="AK20:BB20"/>
    <mergeCell ref="S35:AJ35"/>
    <mergeCell ref="S36:AJ36"/>
    <mergeCell ref="S37:AJ37"/>
    <mergeCell ref="S12:AJ12"/>
    <mergeCell ref="S13:AJ13"/>
    <mergeCell ref="S14:AJ14"/>
    <mergeCell ref="S16:AJ16"/>
    <mergeCell ref="S17:AJ17"/>
  </mergeCells>
  <phoneticPr fontId="2" type="noConversion"/>
  <conditionalFormatting sqref="A52:BB52 A12:AJ34">
    <cfRule type="containsBlanks" dxfId="97" priority="4">
      <formula>LEN(TRIM(A12))=0</formula>
    </cfRule>
  </conditionalFormatting>
  <conditionalFormatting sqref="AU1:BB2 O6:AQ7 AU6:BB7 E57:AF59 AK57:AR59 AT57:BA59">
    <cfRule type="containsBlanks" dxfId="96" priority="1">
      <formula>LEN(TRIM(E1))=0</formula>
    </cfRule>
  </conditionalFormatting>
  <dataValidations xWindow="777" yWindow="374" count="3">
    <dataValidation type="date" operator="greaterThan" allowBlank="1" showInputMessage="1" showErrorMessage="1" prompt="Enter the date that the event occured (format dd/mm/yyyy)_x000a_" sqref="A12:R34" xr:uid="{B2A8EF7B-A074-4876-B6E0-80BE386C7B7C}">
      <formula1>40179</formula1>
    </dataValidation>
    <dataValidation allowBlank="1" showInputMessage="1" showErrorMessage="1" prompt="Enter time the event occured (format HH:MM)" sqref="S12:AJ34" xr:uid="{CA820702-0148-466B-A352-51D272A8F91C}"/>
    <dataValidation allowBlank="1" showInputMessage="1" showErrorMessage="1" prompt="Please enter any relevant information here e.g. reason for delays" sqref="A52:BB52" xr:uid="{B688278D-C355-4E4E-867E-0F20FB38E5E1}"/>
  </dataValidations>
  <printOptions horizontalCentered="1"/>
  <pageMargins left="0" right="0" top="0.51181102362204722" bottom="0" header="0.51181102362204722" footer="0.23622047244094491"/>
  <pageSetup orientation="portrait" horizontalDpi="4294967293"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utton111_Click">
                <anchor moveWithCells="1" sizeWithCells="1">
                  <from>
                    <xdr:col>54</xdr:col>
                    <xdr:colOff>457200</xdr:colOff>
                    <xdr:row>2</xdr:row>
                    <xdr:rowOff>57150</xdr:rowOff>
                  </from>
                  <to>
                    <xdr:col>59</xdr:col>
                    <xdr:colOff>361950</xdr:colOff>
                    <xdr:row>6</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tabColor rgb="FF92D050"/>
    <pageSetUpPr fitToPage="1"/>
  </sheetPr>
  <dimension ref="A1:Q150"/>
  <sheetViews>
    <sheetView showGridLines="0" topLeftCell="A7" zoomScaleNormal="100" workbookViewId="0">
      <selection activeCell="S54" sqref="S54"/>
    </sheetView>
  </sheetViews>
  <sheetFormatPr defaultColWidth="11.42578125" defaultRowHeight="15" x14ac:dyDescent="0.25"/>
  <cols>
    <col min="1" max="1" width="5.85546875" style="57" customWidth="1"/>
    <col min="2" max="2" width="1.140625" style="57" customWidth="1"/>
    <col min="3" max="3" width="6.140625" style="57" customWidth="1"/>
    <col min="4" max="4" width="1.5703125" style="57" customWidth="1"/>
    <col min="5" max="5" width="10.7109375" style="57" customWidth="1"/>
    <col min="6" max="6" width="10.85546875" style="57" customWidth="1"/>
    <col min="7" max="7" width="10.7109375" style="57" customWidth="1"/>
    <col min="8" max="8" width="1.7109375" style="57" customWidth="1"/>
    <col min="9" max="9" width="6.85546875" style="57" customWidth="1"/>
    <col min="10" max="10" width="5.28515625" style="57" customWidth="1"/>
    <col min="11" max="11" width="1.5703125" style="57" customWidth="1"/>
    <col min="12" max="12" width="5.42578125" style="57" customWidth="1"/>
    <col min="13" max="13" width="10" style="57" customWidth="1"/>
    <col min="14" max="14" width="11.42578125" style="57" customWidth="1"/>
    <col min="15" max="15" width="0.85546875" style="57" customWidth="1"/>
    <col min="16" max="16" width="4.7109375" style="57" customWidth="1"/>
    <col min="17" max="17" width="3.140625" style="57" customWidth="1"/>
    <col min="18" max="16384" width="11.42578125" style="57"/>
  </cols>
  <sheetData>
    <row r="1" spans="1:17" ht="71.25" customHeight="1" x14ac:dyDescent="0.25">
      <c r="A1" s="492"/>
      <c r="B1" s="493"/>
      <c r="C1" s="493"/>
      <c r="N1" s="58"/>
    </row>
    <row r="2" spans="1:17" ht="21" x14ac:dyDescent="0.25">
      <c r="A2" s="494" t="s">
        <v>283</v>
      </c>
      <c r="B2" s="494"/>
      <c r="C2" s="494"/>
      <c r="D2" s="494"/>
      <c r="E2" s="494"/>
      <c r="F2" s="494"/>
      <c r="G2" s="494"/>
      <c r="H2" s="494"/>
      <c r="I2" s="494"/>
      <c r="J2" s="494"/>
      <c r="K2" s="494"/>
      <c r="L2" s="494"/>
      <c r="M2" s="494"/>
      <c r="N2" s="494"/>
      <c r="O2" s="494"/>
      <c r="P2" s="494"/>
      <c r="Q2" s="59"/>
    </row>
    <row r="3" spans="1:17" ht="6" customHeight="1" x14ac:dyDescent="0.25">
      <c r="A3" s="59"/>
      <c r="B3" s="59"/>
      <c r="C3" s="59"/>
      <c r="D3" s="59"/>
      <c r="E3" s="59"/>
      <c r="F3" s="59"/>
      <c r="G3" s="59"/>
      <c r="H3" s="59"/>
      <c r="I3" s="59"/>
      <c r="J3" s="59"/>
      <c r="K3" s="59"/>
      <c r="L3" s="59"/>
      <c r="M3" s="59"/>
      <c r="N3" s="59"/>
      <c r="O3" s="59"/>
      <c r="P3" s="59"/>
      <c r="Q3" s="59"/>
    </row>
    <row r="4" spans="1:17" ht="15" customHeight="1" x14ac:dyDescent="0.25">
      <c r="A4" s="476" t="s">
        <v>278</v>
      </c>
      <c r="B4" s="476"/>
      <c r="C4" s="476"/>
      <c r="D4" s="60" t="s">
        <v>0</v>
      </c>
      <c r="E4" s="495" t="str">
        <f>IF('Data Entry'!N6="","",'Data Entry'!N6)</f>
        <v/>
      </c>
      <c r="F4" s="495"/>
      <c r="G4" s="495"/>
      <c r="H4" s="61"/>
      <c r="I4" s="476" t="s">
        <v>268</v>
      </c>
      <c r="J4" s="476"/>
      <c r="K4" s="62" t="s">
        <v>0</v>
      </c>
      <c r="L4" s="496" t="str">
        <f>IF('Data Entry'!N10="","",'Data Entry'!N10)</f>
        <v/>
      </c>
      <c r="M4" s="496"/>
      <c r="N4" s="496"/>
      <c r="O4" s="496"/>
      <c r="P4" s="496"/>
      <c r="Q4" s="59"/>
    </row>
    <row r="5" spans="1:17" ht="15" customHeight="1" x14ac:dyDescent="0.25">
      <c r="A5" s="476" t="s">
        <v>317</v>
      </c>
      <c r="B5" s="476"/>
      <c r="C5" s="476"/>
      <c r="D5" s="60" t="s">
        <v>0</v>
      </c>
      <c r="E5" s="488" t="str">
        <f>IF('Data Entry'!N26="","",'Data Entry'!N26)&amp;IF(OR('Data Entry'!N26="",'Data Entry'!N27=""),"","/")&amp; IF('Data Entry'!N27="","",'Data Entry'!N27)</f>
        <v>ANCHORAGE AREA/İSTANBUL</v>
      </c>
      <c r="F5" s="488"/>
      <c r="G5" s="488"/>
      <c r="H5" s="61"/>
      <c r="I5" s="476" t="s">
        <v>318</v>
      </c>
      <c r="J5" s="476"/>
      <c r="K5" s="62" t="s">
        <v>0</v>
      </c>
      <c r="L5" s="497" t="str">
        <f>IF('Data Entry'!N28="","",'Data Entry'!N28)</f>
        <v/>
      </c>
      <c r="M5" s="497"/>
      <c r="N5" s="497"/>
      <c r="O5" s="497"/>
      <c r="P5" s="497"/>
      <c r="Q5" s="59"/>
    </row>
    <row r="6" spans="1:17" ht="15" customHeight="1" x14ac:dyDescent="0.25">
      <c r="A6" s="476" t="s">
        <v>319</v>
      </c>
      <c r="B6" s="476"/>
      <c r="C6" s="476"/>
      <c r="D6" s="60" t="s">
        <v>0</v>
      </c>
      <c r="E6" s="488" t="str">
        <f>IF('Data Entry'!N14="","",'Data Entry'!N14)</f>
        <v/>
      </c>
      <c r="F6" s="488"/>
      <c r="G6" s="488"/>
      <c r="H6" s="61"/>
      <c r="I6" s="63" t="s">
        <v>281</v>
      </c>
      <c r="J6" s="63"/>
      <c r="K6" s="62" t="s">
        <v>0</v>
      </c>
      <c r="L6" s="498" t="str">
        <f>IF('Data Entry'!N39="","",'Data Entry'!N39)</f>
        <v>SC17124</v>
      </c>
      <c r="M6" s="498"/>
      <c r="N6" s="498"/>
      <c r="O6" s="498"/>
      <c r="P6" s="498"/>
      <c r="Q6" s="59"/>
    </row>
    <row r="7" spans="1:17" ht="15" customHeight="1" x14ac:dyDescent="0.25">
      <c r="A7" s="476" t="s">
        <v>277</v>
      </c>
      <c r="B7" s="476"/>
      <c r="C7" s="476"/>
      <c r="D7" s="60" t="s">
        <v>0</v>
      </c>
      <c r="E7" s="488" t="str">
        <f>IF('Data Entry'!N12="","",'Data Entry'!N12)</f>
        <v/>
      </c>
      <c r="F7" s="488"/>
      <c r="G7" s="488"/>
      <c r="H7" s="61"/>
      <c r="I7" s="476"/>
      <c r="J7" s="476"/>
      <c r="K7" s="62"/>
      <c r="L7" s="477" t="str">
        <f>'Bunker Certificate 1'!Y4</f>
        <v/>
      </c>
      <c r="M7" s="477"/>
      <c r="N7" s="477"/>
      <c r="O7" s="477"/>
      <c r="P7" s="477"/>
      <c r="Q7" s="59"/>
    </row>
    <row r="8" spans="1:17" ht="6" customHeight="1" x14ac:dyDescent="0.25">
      <c r="A8" s="59"/>
      <c r="B8" s="59"/>
      <c r="C8" s="59"/>
      <c r="D8" s="59"/>
      <c r="E8" s="59"/>
      <c r="F8" s="59"/>
      <c r="G8" s="59"/>
      <c r="H8" s="59"/>
      <c r="I8" s="59"/>
      <c r="J8" s="59"/>
      <c r="K8" s="59"/>
      <c r="L8" s="59"/>
      <c r="M8" s="59"/>
      <c r="N8" s="59"/>
      <c r="O8" s="59"/>
      <c r="P8" s="59"/>
      <c r="Q8" s="59"/>
    </row>
    <row r="9" spans="1:17" ht="6" customHeight="1" x14ac:dyDescent="0.25">
      <c r="A9" s="59"/>
      <c r="B9" s="59"/>
      <c r="C9" s="59"/>
      <c r="D9" s="59"/>
      <c r="E9" s="59"/>
      <c r="F9" s="59"/>
      <c r="G9" s="59"/>
      <c r="H9" s="59"/>
      <c r="I9" s="59"/>
      <c r="J9" s="59"/>
      <c r="K9" s="59"/>
      <c r="L9" s="59"/>
      <c r="M9" s="59"/>
      <c r="N9" s="59"/>
      <c r="O9" s="59"/>
      <c r="P9" s="59"/>
      <c r="Q9" s="59"/>
    </row>
    <row r="10" spans="1:17" x14ac:dyDescent="0.25">
      <c r="A10" s="480" t="s">
        <v>284</v>
      </c>
      <c r="B10" s="481"/>
      <c r="C10" s="481"/>
      <c r="D10" s="481"/>
      <c r="E10" s="481"/>
      <c r="F10" s="481"/>
      <c r="G10" s="481"/>
      <c r="H10" s="481"/>
      <c r="I10" s="481"/>
      <c r="J10" s="481"/>
      <c r="K10" s="481"/>
      <c r="L10" s="481"/>
      <c r="M10" s="481"/>
      <c r="N10" s="481"/>
      <c r="O10" s="481"/>
      <c r="P10" s="481"/>
      <c r="Q10" s="482"/>
    </row>
    <row r="11" spans="1:17" ht="8.1" customHeight="1" x14ac:dyDescent="0.25">
      <c r="A11" s="64"/>
      <c r="B11" s="62"/>
      <c r="C11" s="65"/>
      <c r="D11" s="65"/>
      <c r="E11" s="65"/>
      <c r="F11" s="65"/>
      <c r="G11" s="65"/>
      <c r="H11" s="65"/>
      <c r="I11" s="65"/>
      <c r="J11" s="65"/>
      <c r="K11" s="65"/>
      <c r="L11" s="65"/>
      <c r="M11" s="65"/>
      <c r="N11" s="65"/>
      <c r="O11" s="65"/>
      <c r="P11" s="65"/>
      <c r="Q11" s="66"/>
    </row>
    <row r="12" spans="1:17" ht="15" customHeight="1" x14ac:dyDescent="0.25">
      <c r="A12" s="67">
        <v>1</v>
      </c>
      <c r="B12" s="61"/>
      <c r="C12" s="106" t="s">
        <v>354</v>
      </c>
      <c r="D12" s="106"/>
      <c r="E12" s="106"/>
      <c r="F12" s="106"/>
      <c r="G12" s="106"/>
      <c r="H12" s="106"/>
      <c r="I12" s="106"/>
      <c r="J12" s="106"/>
      <c r="K12" s="106"/>
      <c r="L12" s="106"/>
      <c r="M12" s="106"/>
      <c r="N12" s="105"/>
      <c r="O12" s="68"/>
      <c r="P12" s="69"/>
      <c r="Q12" s="70"/>
    </row>
    <row r="13" spans="1:17" ht="15" customHeight="1" x14ac:dyDescent="0.25">
      <c r="A13" s="67">
        <v>2</v>
      </c>
      <c r="B13" s="61"/>
      <c r="C13" s="106" t="s">
        <v>285</v>
      </c>
      <c r="D13" s="71"/>
      <c r="E13" s="71"/>
      <c r="F13" s="71"/>
      <c r="G13" s="71"/>
      <c r="H13" s="71"/>
      <c r="I13" s="71"/>
      <c r="J13" s="71"/>
      <c r="K13" s="71"/>
      <c r="L13" s="71"/>
      <c r="M13" s="71"/>
      <c r="N13" s="71"/>
      <c r="O13" s="68"/>
      <c r="P13" s="69"/>
      <c r="Q13" s="70"/>
    </row>
    <row r="14" spans="1:17" ht="15" customHeight="1" x14ac:dyDescent="0.25">
      <c r="A14" s="67">
        <v>3</v>
      </c>
      <c r="B14" s="61"/>
      <c r="C14" s="106" t="s">
        <v>355</v>
      </c>
      <c r="D14" s="106"/>
      <c r="E14" s="106"/>
      <c r="F14" s="106"/>
      <c r="G14" s="106"/>
      <c r="H14" s="106"/>
      <c r="I14" s="106"/>
      <c r="J14" s="106"/>
      <c r="K14" s="106"/>
      <c r="L14" s="106"/>
      <c r="M14" s="106"/>
      <c r="N14" s="105"/>
      <c r="O14" s="68"/>
      <c r="P14" s="69"/>
      <c r="Q14" s="70"/>
    </row>
    <row r="15" spans="1:17" ht="15" customHeight="1" x14ac:dyDescent="0.25">
      <c r="A15" s="67">
        <v>4</v>
      </c>
      <c r="B15" s="61"/>
      <c r="C15" s="106" t="s">
        <v>286</v>
      </c>
      <c r="D15" s="71"/>
      <c r="E15" s="71"/>
      <c r="F15" s="71"/>
      <c r="G15" s="71"/>
      <c r="H15" s="71"/>
      <c r="I15" s="71"/>
      <c r="J15" s="71"/>
      <c r="K15" s="71"/>
      <c r="L15" s="71"/>
      <c r="M15" s="71"/>
      <c r="N15" s="71"/>
      <c r="O15" s="68"/>
      <c r="P15" s="69"/>
      <c r="Q15" s="70"/>
    </row>
    <row r="16" spans="1:17" ht="15" customHeight="1" x14ac:dyDescent="0.25">
      <c r="A16" s="67">
        <v>5</v>
      </c>
      <c r="B16" s="61"/>
      <c r="C16" s="106" t="s">
        <v>287</v>
      </c>
      <c r="D16" s="106"/>
      <c r="E16" s="106"/>
      <c r="F16" s="106"/>
      <c r="G16" s="106"/>
      <c r="H16" s="106"/>
      <c r="I16" s="106"/>
      <c r="J16" s="106"/>
      <c r="K16" s="106"/>
      <c r="L16" s="106"/>
      <c r="M16" s="106"/>
      <c r="N16" s="106"/>
      <c r="O16" s="68"/>
      <c r="P16" s="69"/>
      <c r="Q16" s="70"/>
    </row>
    <row r="17" spans="1:17" ht="15" customHeight="1" x14ac:dyDescent="0.25">
      <c r="A17" s="72"/>
      <c r="B17" s="61"/>
      <c r="C17" s="106" t="s">
        <v>288</v>
      </c>
      <c r="D17" s="71"/>
      <c r="E17" s="71"/>
      <c r="F17" s="71"/>
      <c r="G17" s="105"/>
      <c r="H17" s="483" t="s">
        <v>521</v>
      </c>
      <c r="I17" s="483"/>
      <c r="J17" s="483"/>
      <c r="K17" s="483"/>
      <c r="L17" s="483"/>
      <c r="M17" s="483"/>
      <c r="N17" s="483"/>
      <c r="O17" s="68"/>
      <c r="P17" s="69"/>
      <c r="Q17" s="70"/>
    </row>
    <row r="18" spans="1:17" ht="15" customHeight="1" x14ac:dyDescent="0.25">
      <c r="A18" s="67">
        <v>6</v>
      </c>
      <c r="B18" s="61"/>
      <c r="C18" s="106" t="s">
        <v>310</v>
      </c>
      <c r="D18" s="71"/>
      <c r="E18" s="71"/>
      <c r="F18" s="71"/>
      <c r="G18" s="105"/>
      <c r="H18" s="127"/>
      <c r="I18" s="127"/>
      <c r="J18" s="127"/>
      <c r="K18" s="127"/>
      <c r="L18" s="127"/>
      <c r="M18" s="127"/>
      <c r="N18" s="127"/>
      <c r="O18" s="68"/>
      <c r="P18" s="69"/>
      <c r="Q18" s="70"/>
    </row>
    <row r="19" spans="1:17" ht="15" customHeight="1" x14ac:dyDescent="0.25">
      <c r="A19" s="67"/>
      <c r="B19" s="61"/>
      <c r="C19" s="106"/>
      <c r="D19" s="71"/>
      <c r="E19" s="466" t="s">
        <v>311</v>
      </c>
      <c r="F19" s="466"/>
      <c r="G19" s="467" t="s">
        <v>312</v>
      </c>
      <c r="H19" s="467"/>
      <c r="I19" s="467"/>
      <c r="J19" s="467"/>
      <c r="K19" s="470" t="s">
        <v>313</v>
      </c>
      <c r="L19" s="470"/>
      <c r="M19" s="470"/>
      <c r="N19" s="470"/>
      <c r="O19" s="68"/>
      <c r="P19" s="69"/>
      <c r="Q19" s="70"/>
    </row>
    <row r="20" spans="1:17" ht="15" customHeight="1" x14ac:dyDescent="0.25">
      <c r="A20" s="458" t="s">
        <v>278</v>
      </c>
      <c r="B20" s="459"/>
      <c r="C20" s="459"/>
      <c r="D20" s="73" t="s">
        <v>0</v>
      </c>
      <c r="E20" s="460" t="str">
        <f>IF('Data Entry'!N7="","",'Data Entry'!N7)</f>
        <v/>
      </c>
      <c r="F20" s="461"/>
      <c r="G20" s="463">
        <f>'Vessel Survey 1'!BB5</f>
        <v>37587</v>
      </c>
      <c r="H20" s="464"/>
      <c r="I20" s="464"/>
      <c r="J20" s="465"/>
      <c r="K20" s="471" t="str">
        <f>'Vessel Survey 1'!BB4</f>
        <v>C.F.PETERS - BARGTEHEIDE</v>
      </c>
      <c r="L20" s="472"/>
      <c r="M20" s="472"/>
      <c r="N20" s="472"/>
      <c r="O20" s="61"/>
      <c r="P20" s="61"/>
      <c r="Q20" s="70"/>
    </row>
    <row r="21" spans="1:17" ht="15" customHeight="1" x14ac:dyDescent="0.25">
      <c r="A21" s="458" t="s">
        <v>277</v>
      </c>
      <c r="B21" s="459"/>
      <c r="C21" s="459"/>
      <c r="D21" s="73" t="s">
        <v>0</v>
      </c>
      <c r="E21" s="462" t="s">
        <v>578</v>
      </c>
      <c r="F21" s="462"/>
      <c r="G21" s="468">
        <f>'Barge Survey 1'!BB5</f>
        <v>38090</v>
      </c>
      <c r="H21" s="469"/>
      <c r="I21" s="469"/>
      <c r="J21" s="469"/>
      <c r="K21" s="473" t="str">
        <f>'Barge Survey 1'!BB4</f>
        <v>GEMİ MÜHENDİSLERİ ODASI</v>
      </c>
      <c r="L21" s="474"/>
      <c r="M21" s="474"/>
      <c r="N21" s="474"/>
      <c r="O21" s="61"/>
      <c r="P21" s="61"/>
      <c r="Q21" s="70"/>
    </row>
    <row r="22" spans="1:17" ht="15" customHeight="1" x14ac:dyDescent="0.25">
      <c r="A22" s="67">
        <v>7</v>
      </c>
      <c r="B22" s="61"/>
      <c r="C22" s="105" t="s">
        <v>289</v>
      </c>
      <c r="D22" s="71"/>
      <c r="E22" s="71"/>
      <c r="F22" s="71"/>
      <c r="G22" s="71"/>
      <c r="H22" s="71"/>
      <c r="I22" s="71"/>
      <c r="J22" s="71"/>
      <c r="K22" s="71"/>
      <c r="L22" s="71"/>
      <c r="M22" s="71"/>
      <c r="N22" s="71"/>
      <c r="O22" s="68"/>
      <c r="P22" s="69"/>
      <c r="Q22" s="70"/>
    </row>
    <row r="23" spans="1:17" ht="15" customHeight="1" x14ac:dyDescent="0.25">
      <c r="A23" s="67">
        <v>8</v>
      </c>
      <c r="B23" s="61"/>
      <c r="C23" s="106" t="s">
        <v>290</v>
      </c>
      <c r="D23" s="106"/>
      <c r="E23" s="106"/>
      <c r="F23" s="106"/>
      <c r="G23" s="106"/>
      <c r="H23" s="106"/>
      <c r="I23" s="106"/>
      <c r="J23" s="106"/>
      <c r="K23" s="106"/>
      <c r="L23" s="106"/>
      <c r="M23" s="106"/>
      <c r="N23" s="106"/>
      <c r="O23" s="68"/>
      <c r="P23" s="69"/>
      <c r="Q23" s="70"/>
    </row>
    <row r="24" spans="1:17" ht="15" customHeight="1" x14ac:dyDescent="0.25">
      <c r="A24" s="72"/>
      <c r="B24" s="61"/>
      <c r="C24" s="106" t="s">
        <v>291</v>
      </c>
      <c r="D24" s="71"/>
      <c r="E24" s="71"/>
      <c r="F24" s="71"/>
      <c r="G24" s="478" t="str">
        <f>"C/E " &amp; 'Data Entry'!N9</f>
        <v xml:space="preserve">C/E </v>
      </c>
      <c r="H24" s="478"/>
      <c r="I24" s="478"/>
      <c r="J24" s="478"/>
      <c r="K24" s="478"/>
      <c r="L24" s="478"/>
      <c r="M24" s="478"/>
      <c r="N24" s="478"/>
      <c r="O24" s="68"/>
      <c r="P24" s="69"/>
      <c r="Q24" s="70"/>
    </row>
    <row r="25" spans="1:17" ht="3" customHeight="1" x14ac:dyDescent="0.25">
      <c r="A25" s="72"/>
      <c r="B25" s="61"/>
      <c r="C25" s="106"/>
      <c r="D25" s="71"/>
      <c r="E25" s="71"/>
      <c r="F25" s="71"/>
      <c r="G25" s="128"/>
      <c r="H25" s="128"/>
      <c r="I25" s="128"/>
      <c r="J25" s="128"/>
      <c r="K25" s="128"/>
      <c r="L25" s="128"/>
      <c r="M25" s="128"/>
      <c r="N25" s="128"/>
      <c r="O25" s="68"/>
      <c r="P25" s="69"/>
      <c r="Q25" s="70"/>
    </row>
    <row r="26" spans="1:17" ht="15" customHeight="1" x14ac:dyDescent="0.25">
      <c r="A26" s="67">
        <v>9</v>
      </c>
      <c r="B26" s="61"/>
      <c r="C26" s="106" t="s">
        <v>292</v>
      </c>
      <c r="D26" s="71"/>
      <c r="E26" s="71"/>
      <c r="F26" s="71"/>
      <c r="G26" s="71"/>
      <c r="H26" s="71"/>
      <c r="I26" s="71"/>
      <c r="J26" s="71"/>
      <c r="K26" s="71"/>
      <c r="L26" s="71"/>
      <c r="M26" s="71"/>
      <c r="N26" s="71"/>
      <c r="O26" s="68"/>
      <c r="P26" s="69"/>
      <c r="Q26" s="70"/>
    </row>
    <row r="27" spans="1:17" ht="15" customHeight="1" x14ac:dyDescent="0.25">
      <c r="A27" s="67">
        <v>10</v>
      </c>
      <c r="B27" s="61"/>
      <c r="C27" s="106" t="s">
        <v>293</v>
      </c>
      <c r="D27" s="71"/>
      <c r="E27" s="71"/>
      <c r="F27" s="71"/>
      <c r="G27" s="71"/>
      <c r="H27" s="71"/>
      <c r="I27" s="71"/>
      <c r="J27" s="71"/>
      <c r="K27" s="71"/>
      <c r="L27" s="71"/>
      <c r="M27" s="71"/>
      <c r="N27" s="71"/>
      <c r="O27" s="68"/>
      <c r="P27" s="69"/>
      <c r="Q27" s="70"/>
    </row>
    <row r="28" spans="1:17" ht="15" customHeight="1" x14ac:dyDescent="0.25">
      <c r="A28" s="67">
        <v>11</v>
      </c>
      <c r="B28" s="61"/>
      <c r="C28" s="106" t="s">
        <v>294</v>
      </c>
      <c r="D28" s="71"/>
      <c r="E28" s="71"/>
      <c r="F28" s="71"/>
      <c r="G28" s="71"/>
      <c r="H28" s="71"/>
      <c r="I28" s="71"/>
      <c r="J28" s="71"/>
      <c r="K28" s="71"/>
      <c r="L28" s="71"/>
      <c r="M28" s="71"/>
      <c r="N28" s="71"/>
      <c r="O28" s="68"/>
      <c r="P28" s="69"/>
      <c r="Q28" s="70"/>
    </row>
    <row r="29" spans="1:17" ht="15" customHeight="1" x14ac:dyDescent="0.25">
      <c r="A29" s="67">
        <v>12</v>
      </c>
      <c r="B29" s="61"/>
      <c r="C29" s="106" t="s">
        <v>295</v>
      </c>
      <c r="D29" s="71"/>
      <c r="E29" s="71"/>
      <c r="F29" s="71"/>
      <c r="G29" s="71"/>
      <c r="H29" s="71"/>
      <c r="I29" s="71"/>
      <c r="J29" s="71"/>
      <c r="K29" s="71"/>
      <c r="L29" s="71"/>
      <c r="M29" s="71"/>
      <c r="N29" s="71"/>
      <c r="O29" s="68"/>
      <c r="P29" s="69"/>
      <c r="Q29" s="70"/>
    </row>
    <row r="30" spans="1:17" ht="6" customHeight="1" x14ac:dyDescent="0.25">
      <c r="A30" s="72"/>
      <c r="B30" s="61"/>
      <c r="C30" s="106"/>
      <c r="D30" s="71"/>
      <c r="E30" s="71"/>
      <c r="F30" s="71"/>
      <c r="G30" s="71"/>
      <c r="H30" s="71"/>
      <c r="I30" s="71"/>
      <c r="J30" s="71"/>
      <c r="K30" s="71"/>
      <c r="L30" s="71"/>
      <c r="M30" s="71"/>
      <c r="N30" s="71"/>
      <c r="O30" s="68"/>
      <c r="P30" s="69"/>
      <c r="Q30" s="70"/>
    </row>
    <row r="31" spans="1:17" ht="15" customHeight="1" x14ac:dyDescent="0.25">
      <c r="A31" s="484" t="s">
        <v>296</v>
      </c>
      <c r="B31" s="485"/>
      <c r="C31" s="485"/>
      <c r="D31" s="485"/>
      <c r="E31" s="485"/>
      <c r="F31" s="485"/>
      <c r="G31" s="485"/>
      <c r="H31" s="485"/>
      <c r="I31" s="485"/>
      <c r="J31" s="485"/>
      <c r="K31" s="485"/>
      <c r="L31" s="485"/>
      <c r="M31" s="485"/>
      <c r="N31" s="485"/>
      <c r="O31" s="485"/>
      <c r="P31" s="485"/>
      <c r="Q31" s="486"/>
    </row>
    <row r="32" spans="1:17" ht="8.25" customHeight="1" x14ac:dyDescent="0.25">
      <c r="A32" s="72"/>
      <c r="B32" s="61"/>
      <c r="C32" s="106"/>
      <c r="D32" s="71"/>
      <c r="E32" s="71"/>
      <c r="F32" s="71"/>
      <c r="G32" s="71"/>
      <c r="H32" s="71"/>
      <c r="I32" s="71"/>
      <c r="J32" s="71"/>
      <c r="K32" s="71"/>
      <c r="L32" s="71"/>
      <c r="M32" s="71"/>
      <c r="N32" s="71"/>
      <c r="O32" s="68"/>
      <c r="P32" s="69"/>
      <c r="Q32" s="70"/>
    </row>
    <row r="33" spans="1:17" ht="15" customHeight="1" x14ac:dyDescent="0.25">
      <c r="A33" s="67">
        <v>13</v>
      </c>
      <c r="B33" s="61"/>
      <c r="C33" s="106" t="s">
        <v>297</v>
      </c>
      <c r="D33" s="71"/>
      <c r="E33" s="71"/>
      <c r="F33" s="71"/>
      <c r="G33" s="71"/>
      <c r="H33" s="71"/>
      <c r="I33" s="71"/>
      <c r="J33" s="71"/>
      <c r="K33" s="71"/>
      <c r="L33" s="71"/>
      <c r="M33" s="71"/>
      <c r="N33" s="71"/>
      <c r="O33" s="68"/>
      <c r="P33" s="69"/>
      <c r="Q33" s="70"/>
    </row>
    <row r="34" spans="1:17" ht="15" customHeight="1" x14ac:dyDescent="0.25">
      <c r="A34" s="67">
        <v>14</v>
      </c>
      <c r="B34" s="61"/>
      <c r="C34" s="106" t="s">
        <v>298</v>
      </c>
      <c r="D34" s="71"/>
      <c r="E34" s="71"/>
      <c r="F34" s="71"/>
      <c r="G34" s="71"/>
      <c r="H34" s="71"/>
      <c r="I34" s="71"/>
      <c r="J34" s="71"/>
      <c r="K34" s="71"/>
      <c r="L34" s="71"/>
      <c r="M34" s="71"/>
      <c r="N34" s="71"/>
      <c r="O34" s="68"/>
      <c r="P34" s="69"/>
      <c r="Q34" s="70"/>
    </row>
    <row r="35" spans="1:17" ht="6" customHeight="1" x14ac:dyDescent="0.25">
      <c r="A35" s="72"/>
      <c r="B35" s="61"/>
      <c r="C35" s="106"/>
      <c r="D35" s="71"/>
      <c r="E35" s="71"/>
      <c r="F35" s="71"/>
      <c r="G35" s="71"/>
      <c r="H35" s="71"/>
      <c r="I35" s="71"/>
      <c r="J35" s="71"/>
      <c r="K35" s="71"/>
      <c r="L35" s="71"/>
      <c r="M35" s="71"/>
      <c r="N35" s="71"/>
      <c r="O35" s="68"/>
      <c r="P35" s="69"/>
      <c r="Q35" s="70"/>
    </row>
    <row r="36" spans="1:17" ht="15" customHeight="1" x14ac:dyDescent="0.25">
      <c r="A36" s="480" t="s">
        <v>299</v>
      </c>
      <c r="B36" s="481"/>
      <c r="C36" s="481"/>
      <c r="D36" s="481"/>
      <c r="E36" s="481"/>
      <c r="F36" s="481"/>
      <c r="G36" s="481"/>
      <c r="H36" s="481"/>
      <c r="I36" s="481"/>
      <c r="J36" s="481"/>
      <c r="K36" s="481"/>
      <c r="L36" s="481"/>
      <c r="M36" s="481"/>
      <c r="N36" s="481"/>
      <c r="O36" s="481"/>
      <c r="P36" s="481"/>
      <c r="Q36" s="482"/>
    </row>
    <row r="37" spans="1:17" ht="6" customHeight="1" x14ac:dyDescent="0.25">
      <c r="A37" s="72"/>
      <c r="B37" s="61"/>
      <c r="C37" s="71"/>
      <c r="D37" s="71"/>
      <c r="E37" s="71"/>
      <c r="F37" s="71"/>
      <c r="G37" s="71"/>
      <c r="H37" s="71"/>
      <c r="I37" s="71"/>
      <c r="J37" s="71"/>
      <c r="K37" s="71"/>
      <c r="L37" s="71"/>
      <c r="M37" s="71"/>
      <c r="N37" s="71"/>
      <c r="O37" s="68"/>
      <c r="P37" s="69"/>
      <c r="Q37" s="70"/>
    </row>
    <row r="38" spans="1:17" ht="15" customHeight="1" x14ac:dyDescent="0.25">
      <c r="A38" s="67">
        <v>15</v>
      </c>
      <c r="B38" s="61"/>
      <c r="C38" s="106" t="s">
        <v>354</v>
      </c>
      <c r="D38" s="106"/>
      <c r="E38" s="106"/>
      <c r="F38" s="106"/>
      <c r="G38" s="106"/>
      <c r="H38" s="106"/>
      <c r="I38" s="106"/>
      <c r="J38" s="106"/>
      <c r="K38" s="106"/>
      <c r="L38" s="106"/>
      <c r="M38" s="106"/>
      <c r="N38" s="105"/>
      <c r="O38" s="68"/>
      <c r="P38" s="69"/>
      <c r="Q38" s="70"/>
    </row>
    <row r="39" spans="1:17" ht="15" customHeight="1" x14ac:dyDescent="0.25">
      <c r="A39" s="67">
        <v>16</v>
      </c>
      <c r="B39" s="61"/>
      <c r="C39" s="106" t="s">
        <v>285</v>
      </c>
      <c r="D39" s="71"/>
      <c r="E39" s="71"/>
      <c r="F39" s="71"/>
      <c r="G39" s="71"/>
      <c r="H39" s="71"/>
      <c r="I39" s="71"/>
      <c r="J39" s="106"/>
      <c r="K39" s="106"/>
      <c r="L39" s="106"/>
      <c r="M39" s="106"/>
      <c r="N39" s="105"/>
      <c r="O39" s="68"/>
      <c r="P39" s="69"/>
      <c r="Q39" s="70"/>
    </row>
    <row r="40" spans="1:17" ht="15" customHeight="1" x14ac:dyDescent="0.25">
      <c r="A40" s="67">
        <v>17</v>
      </c>
      <c r="B40" s="61"/>
      <c r="C40" s="106" t="s">
        <v>355</v>
      </c>
      <c r="D40" s="106"/>
      <c r="E40" s="106"/>
      <c r="F40" s="106"/>
      <c r="G40" s="106"/>
      <c r="H40" s="106"/>
      <c r="I40" s="106"/>
      <c r="J40" s="106"/>
      <c r="K40" s="106"/>
      <c r="L40" s="106"/>
      <c r="M40" s="106"/>
      <c r="N40" s="105"/>
      <c r="O40" s="68"/>
      <c r="P40" s="69"/>
      <c r="Q40" s="70"/>
    </row>
    <row r="41" spans="1:17" ht="15" customHeight="1" x14ac:dyDescent="0.25">
      <c r="A41" s="67">
        <v>18</v>
      </c>
      <c r="B41" s="61"/>
      <c r="C41" s="106" t="s">
        <v>300</v>
      </c>
      <c r="D41" s="71"/>
      <c r="E41" s="71"/>
      <c r="F41" s="71"/>
      <c r="G41" s="71"/>
      <c r="H41" s="71"/>
      <c r="I41" s="71"/>
      <c r="J41" s="71"/>
      <c r="K41" s="71"/>
      <c r="L41" s="71"/>
      <c r="M41" s="71"/>
      <c r="N41" s="71"/>
      <c r="O41" s="68"/>
      <c r="P41" s="69"/>
      <c r="Q41" s="70"/>
    </row>
    <row r="42" spans="1:17" ht="15" customHeight="1" x14ac:dyDescent="0.25">
      <c r="A42" s="67">
        <v>19</v>
      </c>
      <c r="B42" s="61"/>
      <c r="C42" s="106" t="s">
        <v>301</v>
      </c>
      <c r="D42" s="71"/>
      <c r="E42" s="71"/>
      <c r="F42" s="71"/>
      <c r="G42" s="71"/>
      <c r="H42" s="71"/>
      <c r="I42" s="71"/>
      <c r="J42" s="106"/>
      <c r="K42" s="106"/>
      <c r="L42" s="106"/>
      <c r="M42" s="106"/>
      <c r="N42" s="105"/>
      <c r="O42" s="68"/>
      <c r="P42" s="69"/>
      <c r="Q42" s="70"/>
    </row>
    <row r="43" spans="1:17" ht="15" customHeight="1" x14ac:dyDescent="0.25">
      <c r="A43" s="67">
        <v>20</v>
      </c>
      <c r="B43" s="61"/>
      <c r="C43" s="106" t="s">
        <v>287</v>
      </c>
      <c r="D43" s="106"/>
      <c r="E43" s="106"/>
      <c r="F43" s="106"/>
      <c r="G43" s="106"/>
      <c r="H43" s="106"/>
      <c r="I43" s="106"/>
      <c r="J43" s="106"/>
      <c r="K43" s="106"/>
      <c r="L43" s="106"/>
      <c r="M43" s="106"/>
      <c r="N43" s="106"/>
      <c r="O43" s="68"/>
      <c r="P43" s="69"/>
      <c r="Q43" s="70"/>
    </row>
    <row r="44" spans="1:17" ht="15" customHeight="1" x14ac:dyDescent="0.25">
      <c r="A44" s="72"/>
      <c r="B44" s="61"/>
      <c r="C44" s="106" t="s">
        <v>288</v>
      </c>
      <c r="D44" s="71"/>
      <c r="E44" s="71"/>
      <c r="F44" s="71"/>
      <c r="G44" s="105"/>
      <c r="H44" s="487" t="s">
        <v>521</v>
      </c>
      <c r="I44" s="487"/>
      <c r="J44" s="487"/>
      <c r="K44" s="487"/>
      <c r="L44" s="487"/>
      <c r="M44" s="487"/>
      <c r="N44" s="487"/>
      <c r="O44" s="68"/>
      <c r="P44" s="69"/>
      <c r="Q44" s="70"/>
    </row>
    <row r="45" spans="1:17" ht="3.95" customHeight="1" x14ac:dyDescent="0.25">
      <c r="A45" s="72"/>
      <c r="B45" s="61"/>
      <c r="C45" s="106"/>
      <c r="D45" s="71"/>
      <c r="E45" s="71"/>
      <c r="F45" s="71"/>
      <c r="G45" s="105"/>
      <c r="H45" s="127"/>
      <c r="I45" s="127"/>
      <c r="J45" s="127"/>
      <c r="K45" s="127"/>
      <c r="L45" s="127"/>
      <c r="M45" s="127"/>
      <c r="N45" s="127"/>
      <c r="O45" s="68"/>
      <c r="P45" s="69"/>
      <c r="Q45" s="70"/>
    </row>
    <row r="46" spans="1:17" ht="15" customHeight="1" x14ac:dyDescent="0.25">
      <c r="A46" s="67">
        <v>21</v>
      </c>
      <c r="B46" s="61"/>
      <c r="C46" s="105" t="s">
        <v>289</v>
      </c>
      <c r="D46" s="71"/>
      <c r="E46" s="71"/>
      <c r="F46" s="71"/>
      <c r="G46" s="71"/>
      <c r="H46" s="71"/>
      <c r="I46" s="71"/>
      <c r="J46" s="71"/>
      <c r="K46" s="71"/>
      <c r="L46" s="71"/>
      <c r="M46" s="71"/>
      <c r="N46" s="71"/>
      <c r="O46" s="68"/>
      <c r="P46" s="69"/>
      <c r="Q46" s="70"/>
    </row>
    <row r="47" spans="1:17" ht="15" customHeight="1" x14ac:dyDescent="0.25">
      <c r="A47" s="67">
        <v>22</v>
      </c>
      <c r="B47" s="61"/>
      <c r="C47" s="106" t="s">
        <v>290</v>
      </c>
      <c r="D47" s="106"/>
      <c r="E47" s="106"/>
      <c r="F47" s="106"/>
      <c r="G47" s="106"/>
      <c r="H47" s="106"/>
      <c r="I47" s="106"/>
      <c r="J47" s="106"/>
      <c r="K47" s="106"/>
      <c r="L47" s="106"/>
      <c r="M47" s="106"/>
      <c r="N47" s="106"/>
      <c r="O47" s="68"/>
      <c r="P47" s="69"/>
      <c r="Q47" s="70"/>
    </row>
    <row r="48" spans="1:17" ht="15" customHeight="1" x14ac:dyDescent="0.25">
      <c r="A48" s="72"/>
      <c r="B48" s="61"/>
      <c r="C48" s="106" t="s">
        <v>291</v>
      </c>
      <c r="D48" s="71"/>
      <c r="E48" s="71"/>
      <c r="F48" s="71"/>
      <c r="G48" s="478" t="str">
        <f>G24</f>
        <v xml:space="preserve">C/E </v>
      </c>
      <c r="H48" s="478"/>
      <c r="I48" s="478"/>
      <c r="J48" s="478"/>
      <c r="K48" s="478"/>
      <c r="L48" s="478"/>
      <c r="M48" s="478"/>
      <c r="N48" s="478"/>
      <c r="O48" s="68"/>
      <c r="P48" s="69"/>
      <c r="Q48" s="70"/>
    </row>
    <row r="49" spans="1:17" ht="3.95" customHeight="1" x14ac:dyDescent="0.25">
      <c r="A49" s="72"/>
      <c r="B49" s="61"/>
      <c r="C49" s="106"/>
      <c r="D49" s="71"/>
      <c r="E49" s="71"/>
      <c r="F49" s="71"/>
      <c r="G49" s="479"/>
      <c r="H49" s="479"/>
      <c r="I49" s="479"/>
      <c r="J49" s="479"/>
      <c r="K49" s="479"/>
      <c r="L49" s="479"/>
      <c r="M49" s="479"/>
      <c r="N49" s="479"/>
      <c r="O49" s="68"/>
      <c r="P49" s="69"/>
      <c r="Q49" s="70"/>
    </row>
    <row r="50" spans="1:17" ht="15" customHeight="1" x14ac:dyDescent="0.25">
      <c r="A50" s="67">
        <v>23</v>
      </c>
      <c r="B50" s="61"/>
      <c r="C50" s="106" t="s">
        <v>292</v>
      </c>
      <c r="D50" s="71"/>
      <c r="E50" s="71"/>
      <c r="F50" s="71"/>
      <c r="G50" s="71"/>
      <c r="H50" s="71"/>
      <c r="I50" s="71"/>
      <c r="J50" s="71"/>
      <c r="K50" s="71"/>
      <c r="L50" s="71"/>
      <c r="M50" s="71"/>
      <c r="N50" s="71"/>
      <c r="O50" s="68"/>
      <c r="P50" s="69"/>
      <c r="Q50" s="70"/>
    </row>
    <row r="51" spans="1:17" ht="15" customHeight="1" x14ac:dyDescent="0.25">
      <c r="A51" s="67">
        <v>24</v>
      </c>
      <c r="B51" s="61"/>
      <c r="C51" s="106" t="s">
        <v>293</v>
      </c>
      <c r="D51" s="71"/>
      <c r="E51" s="71"/>
      <c r="F51" s="71"/>
      <c r="G51" s="71"/>
      <c r="H51" s="71"/>
      <c r="I51" s="71"/>
      <c r="J51" s="71"/>
      <c r="K51" s="71"/>
      <c r="L51" s="71"/>
      <c r="M51" s="71"/>
      <c r="N51" s="71"/>
      <c r="O51" s="68"/>
      <c r="P51" s="69"/>
      <c r="Q51" s="70"/>
    </row>
    <row r="52" spans="1:17" ht="15" customHeight="1" x14ac:dyDescent="0.25">
      <c r="A52" s="67">
        <v>25</v>
      </c>
      <c r="B52" s="61"/>
      <c r="C52" s="74" t="s">
        <v>302</v>
      </c>
      <c r="D52" s="71"/>
      <c r="E52" s="71"/>
      <c r="F52" s="71"/>
      <c r="G52" s="71"/>
      <c r="H52" s="71"/>
      <c r="I52" s="71"/>
      <c r="J52" s="71"/>
      <c r="K52" s="74" t="s">
        <v>303</v>
      </c>
      <c r="L52" s="71"/>
      <c r="M52" s="71"/>
      <c r="N52" s="71"/>
      <c r="Q52" s="70"/>
    </row>
    <row r="53" spans="1:17" ht="15" customHeight="1" x14ac:dyDescent="0.25">
      <c r="A53" s="67">
        <v>26</v>
      </c>
      <c r="B53" s="61"/>
      <c r="C53" s="106" t="s">
        <v>304</v>
      </c>
      <c r="D53" s="106"/>
      <c r="E53" s="106"/>
      <c r="F53" s="106"/>
      <c r="G53" s="106"/>
      <c r="H53" s="106"/>
      <c r="I53" s="106"/>
      <c r="J53" s="106"/>
      <c r="K53" s="106"/>
      <c r="L53" s="106"/>
      <c r="M53" s="106"/>
      <c r="N53" s="106"/>
      <c r="O53" s="68"/>
      <c r="P53" s="69"/>
      <c r="Q53" s="70"/>
    </row>
    <row r="54" spans="1:17" ht="15" customHeight="1" x14ac:dyDescent="0.25">
      <c r="A54" s="67">
        <v>27</v>
      </c>
      <c r="B54" s="61"/>
      <c r="C54" s="106" t="s">
        <v>305</v>
      </c>
      <c r="D54" s="106"/>
      <c r="E54" s="106"/>
      <c r="F54" s="106"/>
      <c r="G54" s="106"/>
      <c r="H54" s="106"/>
      <c r="I54" s="106"/>
      <c r="J54" s="106"/>
      <c r="K54" s="106"/>
      <c r="L54" s="106"/>
      <c r="M54" s="106"/>
      <c r="N54" s="106"/>
      <c r="O54" s="68"/>
      <c r="P54" s="69"/>
      <c r="Q54" s="70"/>
    </row>
    <row r="55" spans="1:17" ht="15" customHeight="1" x14ac:dyDescent="0.25">
      <c r="A55" s="67">
        <v>28</v>
      </c>
      <c r="B55" s="61"/>
      <c r="C55" s="106" t="s">
        <v>306</v>
      </c>
      <c r="D55" s="106"/>
      <c r="E55" s="106"/>
      <c r="F55" s="106"/>
      <c r="G55" s="106"/>
      <c r="H55" s="106"/>
      <c r="I55" s="106"/>
      <c r="J55" s="106"/>
      <c r="K55" s="106"/>
      <c r="L55" s="106"/>
      <c r="M55" s="106"/>
      <c r="N55" s="106"/>
      <c r="O55" s="68"/>
      <c r="P55" s="69"/>
      <c r="Q55" s="70"/>
    </row>
    <row r="56" spans="1:17" ht="15" customHeight="1" x14ac:dyDescent="0.25">
      <c r="A56" s="72"/>
      <c r="B56" s="61"/>
      <c r="C56" s="106" t="s">
        <v>307</v>
      </c>
      <c r="D56" s="106"/>
      <c r="E56" s="106"/>
      <c r="F56" s="106"/>
      <c r="G56" s="106"/>
      <c r="H56" s="106"/>
      <c r="I56" s="106"/>
      <c r="J56" s="106"/>
      <c r="K56" s="106"/>
      <c r="L56" s="106"/>
      <c r="M56" s="106"/>
      <c r="N56" s="106"/>
      <c r="O56" s="68"/>
      <c r="P56" s="69"/>
      <c r="Q56" s="70"/>
    </row>
    <row r="57" spans="1:17" ht="15" customHeight="1" x14ac:dyDescent="0.25">
      <c r="A57" s="67">
        <v>29</v>
      </c>
      <c r="B57" s="61"/>
      <c r="C57" s="106" t="s">
        <v>308</v>
      </c>
      <c r="D57" s="106"/>
      <c r="E57" s="106"/>
      <c r="F57" s="106"/>
      <c r="G57" s="106"/>
      <c r="H57" s="106"/>
      <c r="I57" s="106"/>
      <c r="J57" s="106"/>
      <c r="K57" s="106"/>
      <c r="L57" s="106"/>
      <c r="M57" s="106"/>
      <c r="N57" s="106"/>
      <c r="O57" s="68"/>
      <c r="P57" s="69"/>
      <c r="Q57" s="70"/>
    </row>
    <row r="58" spans="1:17" ht="15" customHeight="1" x14ac:dyDescent="0.25">
      <c r="A58" s="67">
        <v>30</v>
      </c>
      <c r="B58" s="61"/>
      <c r="C58" s="490" t="s">
        <v>321</v>
      </c>
      <c r="D58" s="490"/>
      <c r="E58" s="490"/>
      <c r="F58" s="489" t="s">
        <v>563</v>
      </c>
      <c r="G58" s="489"/>
      <c r="H58" s="106"/>
      <c r="I58" s="491" t="s">
        <v>322</v>
      </c>
      <c r="J58" s="491"/>
      <c r="K58" s="491"/>
      <c r="L58" s="491"/>
      <c r="M58" s="489" t="str">
        <f>'Vessel Survey 1'!BR11&amp;" MTON(AIR)"</f>
        <v>400,105 MTON(AIR)</v>
      </c>
      <c r="N58" s="489"/>
      <c r="O58" s="68"/>
      <c r="P58" s="69"/>
      <c r="Q58" s="70"/>
    </row>
    <row r="59" spans="1:17" ht="3.95" customHeight="1" x14ac:dyDescent="0.25">
      <c r="A59" s="75"/>
      <c r="B59" s="76"/>
      <c r="C59" s="77"/>
      <c r="D59" s="78"/>
      <c r="E59" s="78"/>
      <c r="F59" s="78"/>
      <c r="G59" s="104"/>
      <c r="H59" s="129"/>
      <c r="I59" s="129"/>
      <c r="J59" s="129"/>
      <c r="K59" s="129"/>
      <c r="L59" s="129"/>
      <c r="M59" s="129"/>
      <c r="N59" s="129"/>
      <c r="O59" s="79"/>
      <c r="P59" s="80"/>
      <c r="Q59" s="81"/>
    </row>
    <row r="60" spans="1:17" ht="12" customHeight="1" x14ac:dyDescent="0.25">
      <c r="A60" s="82" t="s">
        <v>309</v>
      </c>
      <c r="B60" s="61"/>
      <c r="C60" s="83"/>
      <c r="D60" s="61"/>
      <c r="E60" s="61"/>
      <c r="F60" s="61"/>
      <c r="G60" s="61"/>
      <c r="H60" s="61"/>
      <c r="I60" s="61"/>
      <c r="J60" s="61"/>
      <c r="K60" s="61"/>
      <c r="L60" s="61"/>
      <c r="M60" s="61"/>
      <c r="N60" s="84"/>
      <c r="O60" s="61"/>
      <c r="P60" s="85"/>
      <c r="Q60" s="85"/>
    </row>
    <row r="61" spans="1:17" ht="12.95" customHeight="1" x14ac:dyDescent="0.25">
      <c r="A61" s="82"/>
      <c r="B61" s="475"/>
      <c r="C61" s="475"/>
      <c r="D61" s="475"/>
      <c r="E61" s="475"/>
      <c r="F61" s="475"/>
      <c r="G61" s="475"/>
      <c r="H61" s="475"/>
      <c r="I61" s="475"/>
      <c r="J61" s="475"/>
      <c r="K61" s="475"/>
      <c r="L61" s="475"/>
      <c r="M61" s="475"/>
      <c r="N61" s="475"/>
      <c r="O61" s="475"/>
      <c r="P61" s="85"/>
      <c r="Q61" s="85"/>
    </row>
    <row r="62" spans="1:17" ht="12.95" customHeight="1" x14ac:dyDescent="0.25">
      <c r="A62" s="82"/>
      <c r="B62" s="475"/>
      <c r="C62" s="475"/>
      <c r="D62" s="475"/>
      <c r="E62" s="475"/>
      <c r="F62" s="475"/>
      <c r="G62" s="475"/>
      <c r="H62" s="475"/>
      <c r="I62" s="475"/>
      <c r="J62" s="475"/>
      <c r="K62" s="475"/>
      <c r="L62" s="475"/>
      <c r="M62" s="475"/>
      <c r="N62" s="475"/>
      <c r="O62" s="475"/>
      <c r="P62" s="85"/>
      <c r="Q62" s="85"/>
    </row>
    <row r="63" spans="1:17" ht="12.95" customHeight="1" x14ac:dyDescent="0.25">
      <c r="A63" s="82"/>
      <c r="B63" s="475"/>
      <c r="C63" s="475"/>
      <c r="D63" s="475"/>
      <c r="E63" s="475"/>
      <c r="F63" s="475"/>
      <c r="G63" s="475"/>
      <c r="H63" s="475"/>
      <c r="I63" s="475"/>
      <c r="J63" s="475"/>
      <c r="K63" s="475"/>
      <c r="L63" s="475"/>
      <c r="M63" s="475"/>
      <c r="N63" s="475"/>
      <c r="O63" s="475"/>
      <c r="P63" s="85"/>
      <c r="Q63" s="85"/>
    </row>
    <row r="64" spans="1:17" ht="12.95" customHeight="1" x14ac:dyDescent="0.25">
      <c r="A64" s="82"/>
      <c r="B64" s="84"/>
      <c r="C64" s="84"/>
      <c r="D64" s="84"/>
      <c r="E64" s="84"/>
      <c r="F64" s="84"/>
      <c r="G64" s="84"/>
      <c r="H64" s="84"/>
      <c r="I64" s="84"/>
      <c r="J64" s="84"/>
      <c r="K64" s="84"/>
      <c r="L64" s="84"/>
      <c r="M64" s="84"/>
      <c r="N64" s="84"/>
      <c r="O64" s="84"/>
      <c r="P64" s="85"/>
      <c r="Q64" s="85"/>
    </row>
    <row r="65" spans="1:17" ht="12" customHeight="1" x14ac:dyDescent="0.25">
      <c r="A65" s="82"/>
      <c r="B65" s="61"/>
      <c r="C65" s="452" t="str">
        <f>IF('Data Entry'!N29="","",'Data Entry'!N29)&amp;IF(OR('Data Entry'!N29="",'Data Entry'!N30=""),""," / Licence No")&amp; IF('Data Entry'!N30="","",'Data Entry'!N30)</f>
        <v>MEHMET EROĞLU</v>
      </c>
      <c r="D65" s="452"/>
      <c r="E65" s="452"/>
      <c r="F65" s="130"/>
      <c r="G65" s="452" t="str">
        <f>IF('Data Entry'!N13="","",'Data Entry'!N13)</f>
        <v/>
      </c>
      <c r="H65" s="452"/>
      <c r="I65" s="452"/>
      <c r="J65" s="130"/>
      <c r="K65" s="130"/>
      <c r="L65" s="130"/>
      <c r="M65" s="452" t="str">
        <f>IF('Data Entry'!N9="","",'Data Entry'!N9)</f>
        <v/>
      </c>
      <c r="N65" s="452"/>
      <c r="O65" s="61"/>
      <c r="P65" s="85"/>
      <c r="Q65" s="85"/>
    </row>
    <row r="66" spans="1:17" ht="12" customHeight="1" x14ac:dyDescent="0.25">
      <c r="A66" s="82"/>
      <c r="B66" s="61"/>
      <c r="C66" s="452"/>
      <c r="D66" s="452"/>
      <c r="E66" s="452"/>
      <c r="F66" s="130"/>
      <c r="G66" s="452"/>
      <c r="H66" s="452"/>
      <c r="I66" s="452"/>
      <c r="J66" s="130"/>
      <c r="K66" s="130"/>
      <c r="L66" s="130"/>
      <c r="M66" s="452"/>
      <c r="N66" s="452"/>
      <c r="O66" s="61"/>
      <c r="P66" s="85"/>
      <c r="Q66" s="85"/>
    </row>
    <row r="67" spans="1:17" ht="12" customHeight="1" x14ac:dyDescent="0.25">
      <c r="A67" s="82"/>
      <c r="B67" s="61"/>
      <c r="C67" s="453"/>
      <c r="D67" s="453"/>
      <c r="E67" s="453"/>
      <c r="F67" s="130"/>
      <c r="G67" s="453"/>
      <c r="H67" s="453"/>
      <c r="I67" s="453"/>
      <c r="J67" s="130"/>
      <c r="K67" s="130"/>
      <c r="L67" s="130"/>
      <c r="M67" s="453"/>
      <c r="N67" s="453"/>
      <c r="O67" s="61"/>
      <c r="P67" s="85"/>
      <c r="Q67" s="85"/>
    </row>
    <row r="68" spans="1:17" ht="12" customHeight="1" x14ac:dyDescent="0.25">
      <c r="A68" s="82"/>
      <c r="B68" s="61"/>
      <c r="C68" s="457" t="s">
        <v>184</v>
      </c>
      <c r="D68" s="457"/>
      <c r="E68" s="457"/>
      <c r="F68" s="86"/>
      <c r="G68" s="457" t="s">
        <v>51</v>
      </c>
      <c r="H68" s="457"/>
      <c r="I68" s="457"/>
      <c r="J68" s="86"/>
      <c r="K68" s="86"/>
      <c r="L68" s="86"/>
      <c r="M68" s="457" t="s">
        <v>17</v>
      </c>
      <c r="N68" s="457"/>
      <c r="O68" s="61"/>
      <c r="P68" s="85"/>
      <c r="Q68" s="85"/>
    </row>
    <row r="69" spans="1:17" ht="12" customHeight="1" x14ac:dyDescent="0.25">
      <c r="A69" s="454" t="s">
        <v>314</v>
      </c>
      <c r="B69" s="455"/>
      <c r="C69" s="455"/>
      <c r="D69" s="455"/>
      <c r="E69" s="455"/>
      <c r="F69" s="455"/>
      <c r="G69" s="455"/>
      <c r="H69" s="455"/>
      <c r="I69" s="456" t="str">
        <f>'Data Entry'!AK9</f>
        <v>LTS-CUS-F-01 rev 2.0</v>
      </c>
      <c r="J69" s="456"/>
      <c r="K69" s="456"/>
      <c r="L69" s="456"/>
      <c r="M69" s="456"/>
      <c r="N69" s="456"/>
      <c r="O69" s="456"/>
      <c r="P69" s="456"/>
      <c r="Q69" s="456"/>
    </row>
    <row r="70" spans="1:17" x14ac:dyDescent="0.25">
      <c r="A70" s="61"/>
      <c r="B70" s="61"/>
      <c r="C70" s="61"/>
      <c r="D70" s="61"/>
      <c r="E70" s="61"/>
      <c r="F70" s="61"/>
      <c r="G70" s="61"/>
      <c r="H70" s="61"/>
      <c r="I70" s="61"/>
      <c r="J70" s="61"/>
      <c r="K70" s="61"/>
      <c r="L70" s="61"/>
      <c r="M70" s="61"/>
      <c r="N70" s="61"/>
      <c r="O70" s="61"/>
      <c r="P70" s="61"/>
      <c r="Q70" s="59"/>
    </row>
    <row r="71" spans="1:17" x14ac:dyDescent="0.25">
      <c r="A71" s="61"/>
      <c r="B71" s="61"/>
      <c r="C71" s="61"/>
      <c r="D71" s="61"/>
      <c r="E71" s="61"/>
      <c r="F71" s="61"/>
      <c r="G71" s="61"/>
      <c r="H71" s="61"/>
      <c r="I71" s="61"/>
      <c r="J71" s="61"/>
      <c r="K71" s="61"/>
      <c r="L71" s="61"/>
      <c r="M71" s="61"/>
      <c r="N71" s="61"/>
      <c r="O71" s="61"/>
      <c r="P71" s="61"/>
      <c r="Q71" s="59"/>
    </row>
    <row r="72" spans="1:17" x14ac:dyDescent="0.25">
      <c r="A72" s="61"/>
      <c r="B72" s="61"/>
      <c r="C72" s="61"/>
      <c r="D72" s="61"/>
      <c r="E72" s="61"/>
      <c r="F72" s="61"/>
      <c r="G72" s="61"/>
      <c r="H72" s="61"/>
      <c r="I72" s="61"/>
      <c r="J72" s="61"/>
      <c r="K72" s="61"/>
      <c r="L72" s="61"/>
      <c r="M72" s="61"/>
      <c r="N72" s="61"/>
      <c r="O72" s="61"/>
      <c r="P72" s="61"/>
      <c r="Q72" s="59"/>
    </row>
    <row r="73" spans="1:17" x14ac:dyDescent="0.25">
      <c r="A73" s="61"/>
      <c r="B73" s="61"/>
      <c r="C73" s="61"/>
      <c r="D73" s="61"/>
      <c r="E73" s="61"/>
      <c r="F73" s="61"/>
      <c r="G73" s="61"/>
      <c r="H73" s="61"/>
      <c r="I73" s="61"/>
      <c r="J73" s="61"/>
      <c r="K73" s="61"/>
      <c r="L73" s="61"/>
      <c r="M73" s="61"/>
      <c r="N73" s="61"/>
      <c r="O73" s="61"/>
      <c r="P73" s="61"/>
      <c r="Q73" s="59"/>
    </row>
    <row r="74" spans="1:17" x14ac:dyDescent="0.25">
      <c r="A74" s="61"/>
      <c r="B74" s="61"/>
      <c r="C74" s="61"/>
      <c r="D74" s="61"/>
      <c r="E74" s="61"/>
      <c r="F74" s="61"/>
      <c r="G74" s="61"/>
      <c r="H74" s="61"/>
      <c r="I74" s="61"/>
      <c r="J74" s="61"/>
      <c r="K74" s="61"/>
      <c r="L74" s="61"/>
      <c r="M74" s="61"/>
      <c r="N74" s="61"/>
      <c r="O74" s="61"/>
      <c r="P74" s="61"/>
      <c r="Q74" s="59"/>
    </row>
    <row r="75" spans="1:17" x14ac:dyDescent="0.25">
      <c r="A75" s="61"/>
      <c r="B75" s="61"/>
      <c r="C75" s="61"/>
      <c r="D75" s="61"/>
      <c r="E75" s="61"/>
      <c r="F75" s="61"/>
      <c r="G75" s="61"/>
      <c r="H75" s="61"/>
      <c r="I75" s="61"/>
      <c r="J75" s="61"/>
      <c r="K75" s="61"/>
      <c r="L75" s="61"/>
      <c r="M75" s="61"/>
      <c r="N75" s="61"/>
      <c r="O75" s="61"/>
      <c r="P75" s="61"/>
      <c r="Q75" s="59"/>
    </row>
    <row r="76" spans="1:17" x14ac:dyDescent="0.25">
      <c r="A76" s="61"/>
      <c r="B76" s="61"/>
      <c r="C76" s="61"/>
      <c r="D76" s="61"/>
      <c r="E76" s="61"/>
      <c r="F76" s="61"/>
      <c r="G76" s="61"/>
      <c r="H76" s="61"/>
      <c r="I76" s="61"/>
      <c r="J76" s="61"/>
      <c r="K76" s="61"/>
      <c r="L76" s="61"/>
      <c r="M76" s="61"/>
      <c r="N76" s="61"/>
      <c r="O76" s="61"/>
      <c r="P76" s="61"/>
      <c r="Q76" s="59"/>
    </row>
    <row r="77" spans="1:17" x14ac:dyDescent="0.25">
      <c r="A77" s="61"/>
      <c r="B77" s="61"/>
      <c r="C77" s="61"/>
      <c r="D77" s="61"/>
      <c r="E77" s="61"/>
      <c r="F77" s="61"/>
      <c r="G77" s="61"/>
      <c r="H77" s="61"/>
      <c r="I77" s="61"/>
      <c r="J77" s="61"/>
      <c r="K77" s="61"/>
      <c r="L77" s="61"/>
      <c r="M77" s="61"/>
      <c r="N77" s="61"/>
      <c r="O77" s="61"/>
      <c r="P77" s="61"/>
      <c r="Q77" s="59"/>
    </row>
    <row r="78" spans="1:17" x14ac:dyDescent="0.25">
      <c r="A78" s="61"/>
      <c r="B78" s="61"/>
      <c r="C78" s="61"/>
      <c r="D78" s="61"/>
      <c r="E78" s="61"/>
      <c r="F78" s="61"/>
      <c r="G78" s="61"/>
      <c r="H78" s="61"/>
      <c r="I78" s="61"/>
      <c r="J78" s="61"/>
      <c r="K78" s="61"/>
      <c r="L78" s="61"/>
      <c r="M78" s="61"/>
      <c r="N78" s="61"/>
      <c r="O78" s="61"/>
      <c r="P78" s="61"/>
      <c r="Q78" s="59"/>
    </row>
    <row r="79" spans="1:17" x14ac:dyDescent="0.25">
      <c r="A79" s="61"/>
      <c r="B79" s="61"/>
      <c r="C79" s="61"/>
      <c r="D79" s="61"/>
      <c r="E79" s="61"/>
      <c r="F79" s="61"/>
      <c r="G79" s="61"/>
      <c r="H79" s="61"/>
      <c r="I79" s="61"/>
      <c r="J79" s="61"/>
      <c r="K79" s="61"/>
      <c r="L79" s="61"/>
      <c r="M79" s="61"/>
      <c r="N79" s="61"/>
      <c r="O79" s="61"/>
      <c r="P79" s="61"/>
      <c r="Q79" s="59"/>
    </row>
    <row r="80" spans="1:17" x14ac:dyDescent="0.25">
      <c r="A80" s="61"/>
      <c r="B80" s="61"/>
      <c r="C80" s="61"/>
      <c r="D80" s="61"/>
      <c r="E80" s="61"/>
      <c r="F80" s="61"/>
      <c r="G80" s="61"/>
      <c r="H80" s="61"/>
      <c r="I80" s="61"/>
      <c r="J80" s="61"/>
      <c r="K80" s="61"/>
      <c r="L80" s="61"/>
      <c r="M80" s="61"/>
      <c r="N80" s="61"/>
      <c r="O80" s="61"/>
      <c r="P80" s="61"/>
      <c r="Q80" s="59"/>
    </row>
    <row r="81" spans="1:17" x14ac:dyDescent="0.25">
      <c r="A81" s="61"/>
      <c r="B81" s="61"/>
      <c r="C81" s="61"/>
      <c r="D81" s="61"/>
      <c r="E81" s="61"/>
      <c r="F81" s="61"/>
      <c r="G81" s="61"/>
      <c r="H81" s="61"/>
      <c r="I81" s="61"/>
      <c r="J81" s="61"/>
      <c r="K81" s="61"/>
      <c r="L81" s="61"/>
      <c r="M81" s="61"/>
      <c r="N81" s="61"/>
      <c r="O81" s="61"/>
      <c r="P81" s="61"/>
      <c r="Q81" s="59"/>
    </row>
    <row r="82" spans="1:17" x14ac:dyDescent="0.25">
      <c r="A82" s="61"/>
      <c r="B82" s="61"/>
      <c r="C82" s="61"/>
      <c r="D82" s="61"/>
      <c r="E82" s="61"/>
      <c r="F82" s="61"/>
      <c r="G82" s="61"/>
      <c r="H82" s="61"/>
      <c r="I82" s="61"/>
      <c r="J82" s="61"/>
      <c r="K82" s="61"/>
      <c r="L82" s="61"/>
      <c r="M82" s="61"/>
      <c r="N82" s="61"/>
      <c r="O82" s="61"/>
      <c r="P82" s="61"/>
      <c r="Q82" s="59"/>
    </row>
    <row r="83" spans="1:17" x14ac:dyDescent="0.25">
      <c r="A83" s="61"/>
      <c r="B83" s="61"/>
      <c r="C83" s="61"/>
      <c r="D83" s="61"/>
      <c r="E83" s="61"/>
      <c r="F83" s="61"/>
      <c r="G83" s="61"/>
      <c r="H83" s="61"/>
      <c r="I83" s="61"/>
      <c r="J83" s="61"/>
      <c r="K83" s="61"/>
      <c r="L83" s="61"/>
      <c r="M83" s="61"/>
      <c r="N83" s="61"/>
      <c r="O83" s="61"/>
      <c r="P83" s="61"/>
      <c r="Q83" s="59"/>
    </row>
    <row r="84" spans="1:17" x14ac:dyDescent="0.25">
      <c r="A84" s="61"/>
      <c r="B84" s="61"/>
      <c r="C84" s="61"/>
      <c r="D84" s="61"/>
      <c r="E84" s="61"/>
      <c r="F84" s="61"/>
      <c r="G84" s="61"/>
      <c r="H84" s="61"/>
      <c r="I84" s="61"/>
      <c r="J84" s="61"/>
      <c r="K84" s="61"/>
      <c r="L84" s="61"/>
      <c r="M84" s="61"/>
      <c r="N84" s="61"/>
      <c r="O84" s="61"/>
      <c r="P84" s="61"/>
      <c r="Q84" s="59"/>
    </row>
    <row r="85" spans="1:17" x14ac:dyDescent="0.25">
      <c r="A85" s="74"/>
      <c r="B85" s="74"/>
      <c r="C85" s="74"/>
      <c r="D85" s="74"/>
      <c r="E85" s="74"/>
      <c r="F85" s="74"/>
      <c r="G85" s="74"/>
      <c r="H85" s="74"/>
      <c r="I85" s="74"/>
      <c r="J85" s="74"/>
      <c r="K85" s="74"/>
      <c r="L85" s="74"/>
      <c r="M85" s="74"/>
      <c r="N85" s="74"/>
      <c r="O85" s="74"/>
      <c r="P85" s="74"/>
    </row>
    <row r="86" spans="1:17" x14ac:dyDescent="0.25">
      <c r="A86" s="74"/>
      <c r="B86" s="74"/>
      <c r="C86" s="74"/>
      <c r="D86" s="74"/>
      <c r="E86" s="74"/>
      <c r="F86" s="74"/>
      <c r="G86" s="74"/>
      <c r="H86" s="74"/>
      <c r="I86" s="74"/>
      <c r="J86" s="74"/>
      <c r="K86" s="74"/>
      <c r="L86" s="74"/>
      <c r="M86" s="74"/>
      <c r="N86" s="74"/>
      <c r="O86" s="74"/>
      <c r="P86" s="74"/>
    </row>
    <row r="87" spans="1:17" x14ac:dyDescent="0.25">
      <c r="A87" s="74"/>
      <c r="B87" s="74"/>
      <c r="C87" s="74"/>
      <c r="D87" s="74"/>
      <c r="E87" s="74"/>
      <c r="F87" s="74"/>
      <c r="G87" s="74"/>
      <c r="H87" s="74"/>
      <c r="I87" s="74"/>
      <c r="J87" s="74"/>
      <c r="K87" s="74"/>
      <c r="L87" s="74"/>
      <c r="M87" s="74"/>
      <c r="N87" s="74"/>
      <c r="O87" s="74"/>
      <c r="P87" s="74"/>
    </row>
    <row r="88" spans="1:17" x14ac:dyDescent="0.25">
      <c r="A88" s="74"/>
      <c r="B88" s="74"/>
      <c r="C88" s="74"/>
      <c r="D88" s="74"/>
      <c r="E88" s="74"/>
      <c r="F88" s="74"/>
      <c r="G88" s="74"/>
      <c r="H88" s="74"/>
      <c r="I88" s="74"/>
      <c r="J88" s="74"/>
      <c r="K88" s="74"/>
      <c r="L88" s="74"/>
      <c r="M88" s="74"/>
      <c r="N88" s="74"/>
      <c r="O88" s="74"/>
      <c r="P88" s="74"/>
    </row>
    <row r="89" spans="1:17" x14ac:dyDescent="0.25">
      <c r="A89" s="74"/>
      <c r="B89" s="74"/>
      <c r="C89" s="74"/>
      <c r="D89" s="74"/>
      <c r="E89" s="74"/>
      <c r="F89" s="74"/>
      <c r="G89" s="74"/>
      <c r="H89" s="74"/>
      <c r="I89" s="74"/>
      <c r="J89" s="74"/>
      <c r="K89" s="74"/>
      <c r="L89" s="74"/>
      <c r="M89" s="74"/>
      <c r="N89" s="74"/>
      <c r="O89" s="74"/>
      <c r="P89" s="74"/>
    </row>
    <row r="90" spans="1:17" x14ac:dyDescent="0.25">
      <c r="A90" s="74"/>
      <c r="B90" s="74"/>
      <c r="C90" s="74"/>
      <c r="D90" s="74"/>
      <c r="E90" s="74"/>
      <c r="F90" s="74"/>
      <c r="G90" s="74"/>
      <c r="H90" s="74"/>
      <c r="I90" s="74"/>
      <c r="J90" s="74"/>
      <c r="K90" s="74"/>
      <c r="L90" s="74"/>
      <c r="M90" s="74"/>
      <c r="N90" s="74"/>
      <c r="O90" s="74"/>
      <c r="P90" s="74"/>
    </row>
    <row r="91" spans="1:17" x14ac:dyDescent="0.25">
      <c r="A91" s="74"/>
      <c r="B91" s="74"/>
      <c r="C91" s="74"/>
      <c r="D91" s="74"/>
      <c r="E91" s="74"/>
      <c r="F91" s="74"/>
      <c r="G91" s="74"/>
      <c r="H91" s="74"/>
      <c r="I91" s="74"/>
      <c r="J91" s="74"/>
      <c r="K91" s="74"/>
      <c r="L91" s="74"/>
      <c r="M91" s="74"/>
      <c r="N91" s="74"/>
      <c r="O91" s="74"/>
      <c r="P91" s="74"/>
    </row>
    <row r="92" spans="1:17" x14ac:dyDescent="0.25">
      <c r="A92" s="74"/>
      <c r="B92" s="74"/>
      <c r="C92" s="74"/>
      <c r="D92" s="74"/>
      <c r="E92" s="74"/>
      <c r="F92" s="74"/>
      <c r="G92" s="74"/>
      <c r="H92" s="74"/>
      <c r="I92" s="74"/>
      <c r="J92" s="74"/>
      <c r="K92" s="74"/>
      <c r="L92" s="74"/>
      <c r="M92" s="74"/>
      <c r="N92" s="74"/>
      <c r="O92" s="74"/>
      <c r="P92" s="74"/>
    </row>
    <row r="93" spans="1:17" x14ac:dyDescent="0.25">
      <c r="A93" s="74"/>
      <c r="B93" s="74"/>
      <c r="C93" s="74"/>
      <c r="D93" s="74"/>
      <c r="E93" s="74"/>
      <c r="F93" s="74"/>
      <c r="G93" s="74"/>
      <c r="H93" s="74"/>
      <c r="I93" s="74"/>
      <c r="J93" s="74"/>
      <c r="K93" s="74"/>
      <c r="L93" s="74"/>
      <c r="M93" s="74"/>
      <c r="N93" s="74"/>
      <c r="O93" s="74"/>
      <c r="P93" s="74"/>
    </row>
    <row r="94" spans="1:17" x14ac:dyDescent="0.25">
      <c r="A94" s="74"/>
      <c r="B94" s="74"/>
      <c r="C94" s="74"/>
      <c r="D94" s="74"/>
      <c r="E94" s="74"/>
      <c r="F94" s="74"/>
      <c r="G94" s="74"/>
      <c r="H94" s="74"/>
      <c r="I94" s="74"/>
      <c r="J94" s="74"/>
      <c r="K94" s="74"/>
      <c r="L94" s="74"/>
      <c r="M94" s="74"/>
      <c r="N94" s="74"/>
      <c r="O94" s="74"/>
      <c r="P94" s="74"/>
    </row>
    <row r="95" spans="1:17" x14ac:dyDescent="0.25">
      <c r="A95" s="74"/>
      <c r="B95" s="74"/>
      <c r="C95" s="74"/>
      <c r="D95" s="74"/>
      <c r="E95" s="74"/>
      <c r="F95" s="74"/>
      <c r="G95" s="74"/>
      <c r="H95" s="74"/>
      <c r="I95" s="74"/>
      <c r="J95" s="74"/>
      <c r="K95" s="74"/>
      <c r="L95" s="74"/>
      <c r="M95" s="74"/>
      <c r="N95" s="74"/>
      <c r="O95" s="74"/>
      <c r="P95" s="74"/>
    </row>
    <row r="96" spans="1:17" x14ac:dyDescent="0.25">
      <c r="A96" s="74"/>
      <c r="B96" s="74"/>
      <c r="C96" s="74"/>
      <c r="D96" s="74"/>
      <c r="E96" s="74"/>
      <c r="F96" s="74"/>
      <c r="G96" s="74"/>
      <c r="H96" s="74"/>
      <c r="I96" s="74"/>
      <c r="J96" s="74"/>
      <c r="K96" s="74"/>
      <c r="L96" s="74"/>
      <c r="M96" s="74"/>
      <c r="N96" s="74"/>
      <c r="O96" s="74"/>
      <c r="P96" s="74"/>
    </row>
    <row r="97" spans="1:16" x14ac:dyDescent="0.25">
      <c r="A97" s="74"/>
      <c r="B97" s="74"/>
      <c r="C97" s="74"/>
      <c r="D97" s="74"/>
      <c r="E97" s="74"/>
      <c r="F97" s="74"/>
      <c r="G97" s="74"/>
      <c r="H97" s="74"/>
      <c r="I97" s="74"/>
      <c r="J97" s="74"/>
      <c r="K97" s="74"/>
      <c r="L97" s="74"/>
      <c r="M97" s="74"/>
      <c r="N97" s="74"/>
      <c r="O97" s="74"/>
      <c r="P97" s="74"/>
    </row>
    <row r="98" spans="1:16" x14ac:dyDescent="0.25">
      <c r="A98" s="74"/>
      <c r="B98" s="74"/>
      <c r="C98" s="74"/>
      <c r="D98" s="74"/>
      <c r="E98" s="74"/>
      <c r="F98" s="74"/>
      <c r="G98" s="74"/>
      <c r="H98" s="74"/>
      <c r="I98" s="74"/>
      <c r="J98" s="74"/>
      <c r="K98" s="74"/>
      <c r="L98" s="74"/>
      <c r="M98" s="74"/>
      <c r="N98" s="74"/>
      <c r="O98" s="74"/>
      <c r="P98" s="74"/>
    </row>
    <row r="99" spans="1:16" x14ac:dyDescent="0.25">
      <c r="A99" s="74"/>
      <c r="B99" s="74"/>
      <c r="C99" s="74"/>
      <c r="D99" s="74"/>
      <c r="E99" s="74"/>
      <c r="F99" s="74"/>
      <c r="G99" s="74"/>
      <c r="H99" s="74"/>
      <c r="I99" s="74"/>
      <c r="J99" s="74"/>
      <c r="K99" s="74"/>
      <c r="L99" s="74"/>
      <c r="M99" s="74"/>
      <c r="N99" s="74"/>
      <c r="O99" s="74"/>
      <c r="P99" s="74"/>
    </row>
    <row r="100" spans="1:16" x14ac:dyDescent="0.25">
      <c r="A100" s="74"/>
      <c r="B100" s="74"/>
      <c r="C100" s="74"/>
      <c r="D100" s="74"/>
      <c r="E100" s="74"/>
      <c r="F100" s="74"/>
      <c r="G100" s="74"/>
      <c r="H100" s="74"/>
      <c r="I100" s="74"/>
      <c r="J100" s="74"/>
      <c r="K100" s="74"/>
      <c r="L100" s="74"/>
      <c r="M100" s="74"/>
      <c r="N100" s="74"/>
      <c r="O100" s="74"/>
      <c r="P100" s="74"/>
    </row>
    <row r="101" spans="1:16" x14ac:dyDescent="0.25">
      <c r="A101" s="74"/>
      <c r="B101" s="74"/>
      <c r="C101" s="74"/>
      <c r="D101" s="74"/>
      <c r="E101" s="74"/>
      <c r="F101" s="74"/>
      <c r="G101" s="74"/>
      <c r="H101" s="74"/>
      <c r="I101" s="74"/>
      <c r="J101" s="74"/>
      <c r="K101" s="74"/>
      <c r="L101" s="74"/>
      <c r="M101" s="74"/>
      <c r="N101" s="74"/>
      <c r="O101" s="74"/>
      <c r="P101" s="74"/>
    </row>
    <row r="102" spans="1:16" x14ac:dyDescent="0.25">
      <c r="A102" s="74"/>
      <c r="B102" s="74"/>
      <c r="C102" s="74"/>
      <c r="D102" s="74"/>
      <c r="E102" s="74"/>
      <c r="F102" s="74"/>
      <c r="G102" s="74"/>
      <c r="H102" s="74"/>
      <c r="I102" s="74"/>
      <c r="J102" s="74"/>
      <c r="K102" s="74"/>
      <c r="L102" s="74"/>
      <c r="M102" s="74"/>
      <c r="N102" s="74"/>
      <c r="O102" s="74"/>
      <c r="P102" s="74"/>
    </row>
    <row r="103" spans="1:16" x14ac:dyDescent="0.25">
      <c r="A103" s="74"/>
      <c r="B103" s="74"/>
      <c r="C103" s="74"/>
      <c r="D103" s="74"/>
      <c r="E103" s="74"/>
      <c r="F103" s="74"/>
      <c r="G103" s="74"/>
      <c r="H103" s="74"/>
      <c r="I103" s="74"/>
      <c r="J103" s="74"/>
      <c r="K103" s="74"/>
      <c r="L103" s="74"/>
      <c r="M103" s="74"/>
      <c r="N103" s="74"/>
      <c r="O103" s="74"/>
      <c r="P103" s="74"/>
    </row>
    <row r="104" spans="1:16" x14ac:dyDescent="0.25">
      <c r="A104" s="74"/>
      <c r="B104" s="74"/>
      <c r="C104" s="74"/>
      <c r="D104" s="74"/>
      <c r="E104" s="74"/>
      <c r="F104" s="74"/>
      <c r="G104" s="74"/>
      <c r="H104" s="74"/>
      <c r="I104" s="74"/>
      <c r="J104" s="74"/>
      <c r="K104" s="74"/>
      <c r="L104" s="74"/>
      <c r="M104" s="74"/>
      <c r="N104" s="74"/>
      <c r="O104" s="74"/>
      <c r="P104" s="74"/>
    </row>
    <row r="105" spans="1:16" x14ac:dyDescent="0.25">
      <c r="A105" s="74"/>
      <c r="B105" s="74"/>
      <c r="C105" s="74"/>
      <c r="D105" s="74"/>
      <c r="E105" s="74"/>
      <c r="F105" s="74"/>
      <c r="G105" s="74"/>
      <c r="H105" s="74"/>
      <c r="I105" s="74"/>
      <c r="J105" s="74"/>
      <c r="K105" s="74"/>
      <c r="L105" s="74"/>
      <c r="M105" s="74"/>
      <c r="N105" s="74"/>
      <c r="O105" s="74"/>
      <c r="P105" s="74"/>
    </row>
    <row r="106" spans="1:16" x14ac:dyDescent="0.25">
      <c r="A106" s="74"/>
      <c r="B106" s="74"/>
      <c r="C106" s="74"/>
      <c r="D106" s="74"/>
      <c r="E106" s="74"/>
      <c r="F106" s="74"/>
      <c r="G106" s="74"/>
      <c r="H106" s="74"/>
      <c r="I106" s="74"/>
      <c r="J106" s="74"/>
      <c r="K106" s="74"/>
      <c r="L106" s="74"/>
      <c r="M106" s="74"/>
      <c r="N106" s="74"/>
      <c r="O106" s="74"/>
      <c r="P106" s="74"/>
    </row>
    <row r="107" spans="1:16" x14ac:dyDescent="0.25">
      <c r="A107" s="74"/>
      <c r="B107" s="74"/>
      <c r="C107" s="74"/>
      <c r="D107" s="74"/>
      <c r="E107" s="74"/>
      <c r="F107" s="74"/>
      <c r="G107" s="74"/>
      <c r="H107" s="74"/>
      <c r="I107" s="74"/>
      <c r="J107" s="74"/>
      <c r="K107" s="74"/>
      <c r="L107" s="74"/>
      <c r="M107" s="74"/>
      <c r="N107" s="74"/>
      <c r="O107" s="74"/>
      <c r="P107" s="74"/>
    </row>
    <row r="108" spans="1:16" x14ac:dyDescent="0.25">
      <c r="A108" s="74"/>
      <c r="B108" s="74"/>
      <c r="C108" s="74"/>
      <c r="D108" s="74"/>
      <c r="E108" s="74"/>
      <c r="F108" s="74"/>
      <c r="G108" s="74"/>
      <c r="H108" s="74"/>
      <c r="I108" s="74"/>
      <c r="J108" s="74"/>
      <c r="K108" s="74"/>
      <c r="L108" s="74"/>
      <c r="M108" s="74"/>
      <c r="N108" s="74"/>
      <c r="O108" s="74"/>
      <c r="P108" s="74"/>
    </row>
    <row r="109" spans="1:16" x14ac:dyDescent="0.25">
      <c r="A109" s="74"/>
      <c r="B109" s="74"/>
      <c r="C109" s="74"/>
      <c r="D109" s="74"/>
      <c r="E109" s="74"/>
      <c r="F109" s="74"/>
      <c r="G109" s="74"/>
      <c r="H109" s="74"/>
      <c r="I109" s="74"/>
      <c r="J109" s="74"/>
      <c r="K109" s="74"/>
      <c r="L109" s="74"/>
      <c r="M109" s="74"/>
      <c r="N109" s="74"/>
      <c r="O109" s="74"/>
      <c r="P109" s="74"/>
    </row>
    <row r="110" spans="1:16" x14ac:dyDescent="0.25">
      <c r="A110" s="74"/>
      <c r="B110" s="74"/>
      <c r="C110" s="74"/>
      <c r="D110" s="74"/>
      <c r="E110" s="74"/>
      <c r="F110" s="74"/>
      <c r="G110" s="74"/>
      <c r="H110" s="74"/>
      <c r="I110" s="74"/>
      <c r="J110" s="74"/>
      <c r="K110" s="74"/>
      <c r="L110" s="74"/>
      <c r="M110" s="74"/>
      <c r="N110" s="74"/>
      <c r="O110" s="74"/>
      <c r="P110" s="74"/>
    </row>
    <row r="111" spans="1:16" x14ac:dyDescent="0.25">
      <c r="A111" s="74"/>
      <c r="B111" s="74"/>
      <c r="C111" s="74"/>
      <c r="D111" s="74"/>
      <c r="E111" s="74"/>
      <c r="F111" s="74"/>
      <c r="G111" s="74"/>
      <c r="H111" s="74"/>
      <c r="I111" s="74"/>
      <c r="J111" s="74"/>
      <c r="K111" s="74"/>
      <c r="L111" s="74"/>
      <c r="M111" s="74"/>
      <c r="N111" s="74"/>
      <c r="O111" s="74"/>
      <c r="P111" s="74"/>
    </row>
    <row r="112" spans="1:16" x14ac:dyDescent="0.25">
      <c r="A112" s="74"/>
      <c r="B112" s="74"/>
      <c r="C112" s="74"/>
      <c r="D112" s="74"/>
      <c r="E112" s="74"/>
      <c r="F112" s="74"/>
      <c r="G112" s="74"/>
      <c r="H112" s="74"/>
      <c r="I112" s="74"/>
      <c r="J112" s="74"/>
      <c r="K112" s="74"/>
      <c r="L112" s="74"/>
      <c r="M112" s="74"/>
      <c r="N112" s="74"/>
      <c r="O112" s="74"/>
      <c r="P112" s="74"/>
    </row>
    <row r="113" spans="1:16" x14ac:dyDescent="0.25">
      <c r="A113" s="74"/>
      <c r="B113" s="74"/>
      <c r="C113" s="74"/>
      <c r="D113" s="74"/>
      <c r="E113" s="74"/>
      <c r="F113" s="74"/>
      <c r="G113" s="74"/>
      <c r="H113" s="74"/>
      <c r="I113" s="74"/>
      <c r="J113" s="74"/>
      <c r="K113" s="74"/>
      <c r="L113" s="74"/>
      <c r="M113" s="74"/>
      <c r="N113" s="74"/>
      <c r="O113" s="74"/>
      <c r="P113" s="74"/>
    </row>
    <row r="114" spans="1:16" x14ac:dyDescent="0.25">
      <c r="A114" s="74"/>
      <c r="B114" s="74"/>
      <c r="C114" s="74"/>
      <c r="D114" s="74"/>
      <c r="E114" s="74"/>
      <c r="F114" s="74"/>
      <c r="G114" s="74"/>
      <c r="H114" s="74"/>
      <c r="I114" s="74"/>
      <c r="J114" s="74"/>
      <c r="K114" s="74"/>
      <c r="L114" s="74"/>
      <c r="M114" s="74"/>
      <c r="N114" s="74"/>
      <c r="O114" s="74"/>
      <c r="P114" s="74"/>
    </row>
    <row r="115" spans="1:16" x14ac:dyDescent="0.25">
      <c r="A115" s="74"/>
      <c r="B115" s="74"/>
      <c r="C115" s="74"/>
      <c r="D115" s="74"/>
      <c r="E115" s="74"/>
      <c r="F115" s="74"/>
      <c r="G115" s="74"/>
      <c r="H115" s="74"/>
      <c r="I115" s="74"/>
      <c r="J115" s="74"/>
      <c r="K115" s="74"/>
      <c r="L115" s="74"/>
      <c r="M115" s="74"/>
      <c r="N115" s="74"/>
      <c r="O115" s="74"/>
      <c r="P115" s="74"/>
    </row>
    <row r="116" spans="1:16" x14ac:dyDescent="0.25">
      <c r="A116" s="74"/>
      <c r="B116" s="74"/>
      <c r="C116" s="74"/>
      <c r="D116" s="74"/>
      <c r="E116" s="74"/>
      <c r="F116" s="74"/>
      <c r="G116" s="74"/>
      <c r="H116" s="74"/>
      <c r="I116" s="74"/>
      <c r="J116" s="74"/>
      <c r="K116" s="74"/>
      <c r="L116" s="74"/>
      <c r="M116" s="74"/>
      <c r="N116" s="74"/>
      <c r="O116" s="74"/>
      <c r="P116" s="74"/>
    </row>
    <row r="117" spans="1:16" x14ac:dyDescent="0.25">
      <c r="A117" s="74"/>
      <c r="B117" s="74"/>
      <c r="C117" s="74"/>
      <c r="D117" s="74"/>
      <c r="E117" s="74"/>
      <c r="F117" s="74"/>
      <c r="G117" s="74"/>
      <c r="H117" s="74"/>
      <c r="I117" s="74"/>
      <c r="J117" s="74"/>
      <c r="K117" s="74"/>
      <c r="L117" s="74"/>
      <c r="M117" s="74"/>
      <c r="N117" s="74"/>
      <c r="O117" s="74"/>
      <c r="P117" s="74"/>
    </row>
    <row r="118" spans="1:16" x14ac:dyDescent="0.25">
      <c r="A118" s="74"/>
      <c r="B118" s="74"/>
      <c r="C118" s="74"/>
      <c r="D118" s="74"/>
      <c r="E118" s="74"/>
      <c r="F118" s="74"/>
      <c r="G118" s="74"/>
      <c r="H118" s="74"/>
      <c r="I118" s="74"/>
      <c r="J118" s="74"/>
      <c r="K118" s="74"/>
      <c r="L118" s="74"/>
      <c r="M118" s="74"/>
      <c r="N118" s="74"/>
      <c r="O118" s="74"/>
      <c r="P118" s="74"/>
    </row>
    <row r="119" spans="1:16" x14ac:dyDescent="0.25">
      <c r="A119" s="74"/>
      <c r="B119" s="74"/>
      <c r="C119" s="74"/>
      <c r="D119" s="74"/>
      <c r="E119" s="74"/>
      <c r="F119" s="74"/>
      <c r="G119" s="74"/>
      <c r="H119" s="74"/>
      <c r="I119" s="74"/>
      <c r="J119" s="74"/>
      <c r="K119" s="74"/>
      <c r="L119" s="74"/>
      <c r="M119" s="74"/>
      <c r="N119" s="74"/>
      <c r="O119" s="74"/>
      <c r="P119" s="74"/>
    </row>
    <row r="120" spans="1:16" x14ac:dyDescent="0.25">
      <c r="A120" s="74"/>
      <c r="B120" s="74"/>
      <c r="C120" s="74"/>
      <c r="D120" s="74"/>
      <c r="E120" s="74"/>
      <c r="F120" s="74"/>
      <c r="G120" s="74"/>
      <c r="H120" s="74"/>
      <c r="I120" s="74"/>
      <c r="J120" s="74"/>
      <c r="K120" s="74"/>
      <c r="L120" s="74"/>
      <c r="M120" s="74"/>
      <c r="N120" s="74"/>
      <c r="O120" s="74"/>
      <c r="P120" s="74"/>
    </row>
    <row r="121" spans="1:16" x14ac:dyDescent="0.25">
      <c r="A121" s="74"/>
      <c r="B121" s="74"/>
      <c r="C121" s="74"/>
      <c r="D121" s="74"/>
      <c r="E121" s="74"/>
      <c r="F121" s="74"/>
      <c r="G121" s="74"/>
      <c r="H121" s="74"/>
      <c r="I121" s="74"/>
      <c r="J121" s="74"/>
      <c r="K121" s="74"/>
      <c r="L121" s="74"/>
      <c r="M121" s="74"/>
      <c r="N121" s="74"/>
      <c r="O121" s="74"/>
      <c r="P121" s="74"/>
    </row>
    <row r="122" spans="1:16" x14ac:dyDescent="0.25">
      <c r="A122" s="74"/>
      <c r="B122" s="74"/>
      <c r="C122" s="74"/>
      <c r="D122" s="74"/>
      <c r="E122" s="74"/>
      <c r="F122" s="74"/>
      <c r="G122" s="74"/>
      <c r="H122" s="74"/>
      <c r="I122" s="74"/>
      <c r="J122" s="74"/>
      <c r="K122" s="74"/>
      <c r="L122" s="74"/>
      <c r="M122" s="74"/>
      <c r="N122" s="74"/>
      <c r="O122" s="74"/>
      <c r="P122" s="74"/>
    </row>
    <row r="123" spans="1:16" x14ac:dyDescent="0.25">
      <c r="A123" s="74"/>
      <c r="B123" s="74"/>
      <c r="C123" s="74"/>
      <c r="D123" s="74"/>
      <c r="E123" s="74"/>
      <c r="F123" s="74"/>
      <c r="G123" s="74"/>
      <c r="H123" s="74"/>
      <c r="I123" s="74"/>
      <c r="J123" s="74"/>
      <c r="K123" s="74"/>
      <c r="L123" s="74"/>
      <c r="M123" s="74"/>
      <c r="N123" s="74"/>
      <c r="O123" s="74"/>
      <c r="P123" s="74"/>
    </row>
    <row r="124" spans="1:16" x14ac:dyDescent="0.25">
      <c r="A124" s="74"/>
      <c r="B124" s="74"/>
      <c r="C124" s="74"/>
      <c r="D124" s="74"/>
      <c r="E124" s="74"/>
      <c r="F124" s="74"/>
      <c r="G124" s="74"/>
      <c r="H124" s="74"/>
      <c r="I124" s="74"/>
      <c r="J124" s="74"/>
      <c r="K124" s="74"/>
      <c r="L124" s="74"/>
      <c r="M124" s="74"/>
      <c r="N124" s="74"/>
      <c r="O124" s="74"/>
      <c r="P124" s="74"/>
    </row>
    <row r="125" spans="1:16" x14ac:dyDescent="0.25">
      <c r="A125" s="74"/>
      <c r="B125" s="74"/>
      <c r="C125" s="74"/>
      <c r="D125" s="74"/>
      <c r="E125" s="74"/>
      <c r="F125" s="74"/>
      <c r="G125" s="74"/>
      <c r="H125" s="74"/>
      <c r="I125" s="74"/>
      <c r="J125" s="74"/>
      <c r="K125" s="74"/>
      <c r="L125" s="74"/>
      <c r="M125" s="74"/>
      <c r="N125" s="74"/>
      <c r="O125" s="74"/>
      <c r="P125" s="74"/>
    </row>
    <row r="126" spans="1:16" x14ac:dyDescent="0.25">
      <c r="A126" s="74"/>
      <c r="B126" s="74"/>
      <c r="C126" s="74"/>
      <c r="D126" s="74"/>
      <c r="E126" s="74"/>
      <c r="F126" s="74"/>
      <c r="G126" s="74"/>
      <c r="H126" s="74"/>
      <c r="I126" s="74"/>
      <c r="J126" s="74"/>
      <c r="K126" s="74"/>
      <c r="L126" s="74"/>
      <c r="M126" s="74"/>
      <c r="N126" s="74"/>
      <c r="O126" s="74"/>
      <c r="P126" s="74"/>
    </row>
    <row r="127" spans="1:16" x14ac:dyDescent="0.25">
      <c r="A127" s="74"/>
      <c r="B127" s="74"/>
      <c r="C127" s="74"/>
      <c r="D127" s="74"/>
      <c r="E127" s="74"/>
      <c r="F127" s="74"/>
      <c r="G127" s="74"/>
      <c r="H127" s="74"/>
      <c r="I127" s="74"/>
      <c r="J127" s="74"/>
      <c r="K127" s="74"/>
      <c r="L127" s="74"/>
      <c r="M127" s="74"/>
      <c r="N127" s="74"/>
      <c r="O127" s="74"/>
      <c r="P127" s="74"/>
    </row>
    <row r="128" spans="1:16" x14ac:dyDescent="0.25">
      <c r="A128" s="74"/>
      <c r="B128" s="74"/>
      <c r="C128" s="74"/>
      <c r="D128" s="74"/>
      <c r="E128" s="74"/>
      <c r="F128" s="74"/>
      <c r="G128" s="74"/>
      <c r="H128" s="74"/>
      <c r="I128" s="74"/>
      <c r="J128" s="74"/>
      <c r="K128" s="74"/>
      <c r="L128" s="74"/>
      <c r="M128" s="74"/>
      <c r="N128" s="74"/>
      <c r="O128" s="74"/>
      <c r="P128" s="74"/>
    </row>
    <row r="129" spans="1:16" x14ac:dyDescent="0.25">
      <c r="A129" s="74"/>
      <c r="B129" s="74"/>
      <c r="C129" s="74"/>
      <c r="D129" s="74"/>
      <c r="E129" s="74"/>
      <c r="F129" s="74"/>
      <c r="G129" s="74"/>
      <c r="H129" s="74"/>
      <c r="I129" s="74"/>
      <c r="J129" s="74"/>
      <c r="K129" s="74"/>
      <c r="L129" s="74"/>
      <c r="M129" s="74"/>
      <c r="N129" s="74"/>
      <c r="O129" s="74"/>
      <c r="P129" s="74"/>
    </row>
    <row r="130" spans="1:16" x14ac:dyDescent="0.25">
      <c r="A130" s="74"/>
      <c r="B130" s="74"/>
      <c r="C130" s="74"/>
      <c r="D130" s="74"/>
      <c r="E130" s="74"/>
      <c r="F130" s="74"/>
      <c r="G130" s="74"/>
      <c r="H130" s="74"/>
      <c r="I130" s="74"/>
      <c r="J130" s="74"/>
      <c r="K130" s="74"/>
      <c r="L130" s="74"/>
      <c r="M130" s="74"/>
      <c r="N130" s="74"/>
      <c r="O130" s="74"/>
      <c r="P130" s="74"/>
    </row>
    <row r="131" spans="1:16" x14ac:dyDescent="0.25">
      <c r="A131" s="74"/>
      <c r="B131" s="74"/>
      <c r="C131" s="74"/>
      <c r="D131" s="74"/>
      <c r="E131" s="74"/>
      <c r="F131" s="74"/>
      <c r="G131" s="74"/>
      <c r="H131" s="74"/>
      <c r="I131" s="74"/>
      <c r="J131" s="74"/>
      <c r="K131" s="74"/>
      <c r="L131" s="74"/>
      <c r="M131" s="74"/>
      <c r="N131" s="74"/>
      <c r="O131" s="74"/>
      <c r="P131" s="74"/>
    </row>
    <row r="132" spans="1:16" x14ac:dyDescent="0.25">
      <c r="A132" s="74"/>
      <c r="B132" s="74"/>
      <c r="C132" s="74"/>
      <c r="D132" s="74"/>
      <c r="E132" s="74"/>
      <c r="F132" s="74"/>
      <c r="G132" s="74"/>
      <c r="H132" s="74"/>
      <c r="I132" s="74"/>
      <c r="J132" s="74"/>
      <c r="K132" s="74"/>
      <c r="L132" s="74"/>
      <c r="M132" s="74"/>
      <c r="N132" s="74"/>
      <c r="O132" s="74"/>
      <c r="P132" s="74"/>
    </row>
    <row r="133" spans="1:16" x14ac:dyDescent="0.25">
      <c r="A133" s="74"/>
      <c r="B133" s="74"/>
      <c r="C133" s="74"/>
      <c r="D133" s="74"/>
      <c r="E133" s="74"/>
      <c r="F133" s="74"/>
      <c r="G133" s="74"/>
      <c r="H133" s="74"/>
      <c r="I133" s="74"/>
      <c r="J133" s="74"/>
      <c r="K133" s="74"/>
      <c r="L133" s="74"/>
      <c r="M133" s="74"/>
      <c r="N133" s="74"/>
      <c r="O133" s="74"/>
      <c r="P133" s="74"/>
    </row>
    <row r="134" spans="1:16" x14ac:dyDescent="0.25">
      <c r="A134" s="74"/>
      <c r="B134" s="74"/>
      <c r="C134" s="74"/>
      <c r="D134" s="74"/>
      <c r="E134" s="74"/>
      <c r="F134" s="74"/>
      <c r="G134" s="74"/>
      <c r="H134" s="74"/>
      <c r="I134" s="74"/>
      <c r="J134" s="74"/>
      <c r="K134" s="74"/>
      <c r="L134" s="74"/>
      <c r="M134" s="74"/>
      <c r="N134" s="74"/>
      <c r="O134" s="74"/>
      <c r="P134" s="74"/>
    </row>
    <row r="135" spans="1:16" x14ac:dyDescent="0.25">
      <c r="A135" s="74"/>
      <c r="B135" s="74"/>
      <c r="C135" s="74"/>
      <c r="D135" s="74"/>
      <c r="E135" s="74"/>
      <c r="F135" s="74"/>
      <c r="G135" s="74"/>
      <c r="H135" s="74"/>
      <c r="I135" s="74"/>
      <c r="J135" s="74"/>
      <c r="K135" s="74"/>
      <c r="L135" s="74"/>
      <c r="M135" s="74"/>
      <c r="N135" s="74"/>
      <c r="O135" s="74"/>
      <c r="P135" s="74"/>
    </row>
    <row r="136" spans="1:16" x14ac:dyDescent="0.25">
      <c r="A136" s="74"/>
      <c r="B136" s="74"/>
      <c r="C136" s="74"/>
      <c r="D136" s="74"/>
      <c r="E136" s="74"/>
      <c r="F136" s="74"/>
      <c r="G136" s="74"/>
      <c r="H136" s="74"/>
      <c r="I136" s="74"/>
      <c r="J136" s="74"/>
      <c r="K136" s="74"/>
      <c r="L136" s="74"/>
      <c r="M136" s="74"/>
      <c r="N136" s="74"/>
      <c r="O136" s="74"/>
      <c r="P136" s="74"/>
    </row>
    <row r="137" spans="1:16" x14ac:dyDescent="0.25">
      <c r="A137" s="74"/>
      <c r="B137" s="74"/>
      <c r="C137" s="74"/>
      <c r="D137" s="74"/>
      <c r="E137" s="74"/>
      <c r="F137" s="74"/>
      <c r="G137" s="74"/>
      <c r="H137" s="74"/>
      <c r="I137" s="74"/>
      <c r="J137" s="74"/>
      <c r="K137" s="74"/>
      <c r="L137" s="74"/>
      <c r="M137" s="74"/>
      <c r="N137" s="74"/>
      <c r="O137" s="74"/>
      <c r="P137" s="74"/>
    </row>
    <row r="138" spans="1:16" x14ac:dyDescent="0.25">
      <c r="A138" s="74"/>
      <c r="B138" s="74"/>
      <c r="C138" s="74"/>
      <c r="D138" s="74"/>
      <c r="E138" s="74"/>
      <c r="F138" s="74"/>
      <c r="G138" s="74"/>
      <c r="H138" s="74"/>
      <c r="I138" s="74"/>
      <c r="J138" s="74"/>
      <c r="K138" s="74"/>
      <c r="L138" s="74"/>
      <c r="M138" s="74"/>
      <c r="N138" s="74"/>
      <c r="O138" s="74"/>
      <c r="P138" s="74"/>
    </row>
    <row r="139" spans="1:16" x14ac:dyDescent="0.25">
      <c r="A139" s="74"/>
      <c r="B139" s="74"/>
      <c r="C139" s="74"/>
      <c r="D139" s="74"/>
      <c r="E139" s="74"/>
      <c r="F139" s="74"/>
      <c r="G139" s="74"/>
      <c r="H139" s="74"/>
      <c r="I139" s="74"/>
      <c r="J139" s="74"/>
      <c r="K139" s="74"/>
      <c r="L139" s="74"/>
      <c r="M139" s="74"/>
      <c r="N139" s="74"/>
      <c r="O139" s="74"/>
      <c r="P139" s="74"/>
    </row>
    <row r="140" spans="1:16" x14ac:dyDescent="0.25">
      <c r="A140" s="74"/>
      <c r="B140" s="74"/>
      <c r="C140" s="74"/>
      <c r="D140" s="74"/>
      <c r="E140" s="74"/>
      <c r="F140" s="74"/>
      <c r="G140" s="74"/>
      <c r="H140" s="74"/>
      <c r="I140" s="74"/>
      <c r="J140" s="74"/>
      <c r="K140" s="74"/>
      <c r="L140" s="74"/>
      <c r="M140" s="74"/>
      <c r="N140" s="74"/>
      <c r="O140" s="74"/>
      <c r="P140" s="74"/>
    </row>
    <row r="141" spans="1:16" x14ac:dyDescent="0.25">
      <c r="A141" s="74"/>
      <c r="B141" s="74"/>
      <c r="C141" s="74"/>
      <c r="D141" s="74"/>
      <c r="E141" s="74"/>
      <c r="F141" s="74"/>
      <c r="G141" s="74"/>
      <c r="H141" s="74"/>
      <c r="I141" s="74"/>
      <c r="J141" s="74"/>
      <c r="K141" s="74"/>
      <c r="L141" s="74"/>
      <c r="M141" s="74"/>
      <c r="N141" s="74"/>
      <c r="O141" s="74"/>
      <c r="P141" s="74"/>
    </row>
    <row r="142" spans="1:16" x14ac:dyDescent="0.25">
      <c r="A142" s="74"/>
      <c r="B142" s="74"/>
      <c r="C142" s="74"/>
      <c r="D142" s="74"/>
      <c r="E142" s="74"/>
      <c r="F142" s="74"/>
      <c r="G142" s="74"/>
      <c r="H142" s="74"/>
      <c r="I142" s="74"/>
      <c r="J142" s="74"/>
      <c r="K142" s="74"/>
      <c r="L142" s="74"/>
      <c r="M142" s="74"/>
      <c r="N142" s="74"/>
      <c r="O142" s="74"/>
      <c r="P142" s="74"/>
    </row>
    <row r="143" spans="1:16" x14ac:dyDescent="0.25">
      <c r="A143" s="74"/>
      <c r="B143" s="74"/>
      <c r="C143" s="74"/>
      <c r="D143" s="74"/>
      <c r="E143" s="74"/>
      <c r="F143" s="74"/>
      <c r="G143" s="74"/>
      <c r="H143" s="74"/>
      <c r="I143" s="74"/>
      <c r="J143" s="74"/>
      <c r="K143" s="74"/>
      <c r="L143" s="74"/>
      <c r="M143" s="74"/>
      <c r="N143" s="74"/>
      <c r="O143" s="74"/>
      <c r="P143" s="74"/>
    </row>
    <row r="144" spans="1:16" x14ac:dyDescent="0.25">
      <c r="A144" s="74"/>
      <c r="B144" s="74"/>
      <c r="C144" s="74"/>
      <c r="D144" s="74"/>
      <c r="E144" s="74"/>
      <c r="F144" s="74"/>
      <c r="G144" s="74"/>
      <c r="H144" s="74"/>
      <c r="I144" s="74"/>
      <c r="J144" s="74"/>
      <c r="K144" s="74"/>
      <c r="L144" s="74"/>
      <c r="M144" s="74"/>
      <c r="N144" s="74"/>
      <c r="O144" s="74"/>
      <c r="P144" s="74"/>
    </row>
    <row r="145" spans="1:16" x14ac:dyDescent="0.25">
      <c r="A145" s="74"/>
      <c r="B145" s="74"/>
      <c r="C145" s="74"/>
      <c r="D145" s="74"/>
      <c r="E145" s="74"/>
      <c r="F145" s="74"/>
      <c r="G145" s="74"/>
      <c r="H145" s="74"/>
      <c r="I145" s="74"/>
      <c r="J145" s="74"/>
      <c r="K145" s="74"/>
      <c r="L145" s="74"/>
      <c r="M145" s="74"/>
      <c r="N145" s="74"/>
      <c r="O145" s="74"/>
      <c r="P145" s="74"/>
    </row>
    <row r="146" spans="1:16" x14ac:dyDescent="0.25">
      <c r="A146" s="74"/>
      <c r="B146" s="74"/>
      <c r="C146" s="74"/>
      <c r="D146" s="74"/>
      <c r="E146" s="74"/>
      <c r="F146" s="74"/>
      <c r="G146" s="74"/>
      <c r="H146" s="74"/>
      <c r="I146" s="74"/>
      <c r="J146" s="74"/>
      <c r="K146" s="74"/>
      <c r="L146" s="74"/>
      <c r="M146" s="74"/>
      <c r="N146" s="74"/>
      <c r="O146" s="74"/>
      <c r="P146" s="74"/>
    </row>
    <row r="147" spans="1:16" x14ac:dyDescent="0.25">
      <c r="A147" s="74"/>
      <c r="B147" s="74"/>
      <c r="C147" s="74"/>
      <c r="D147" s="74"/>
      <c r="E147" s="74"/>
      <c r="F147" s="74"/>
      <c r="G147" s="74"/>
      <c r="H147" s="74"/>
      <c r="I147" s="74"/>
      <c r="J147" s="74"/>
      <c r="K147" s="74"/>
      <c r="L147" s="74"/>
      <c r="M147" s="74"/>
      <c r="N147" s="74"/>
      <c r="O147" s="74"/>
      <c r="P147" s="74"/>
    </row>
    <row r="148" spans="1:16" x14ac:dyDescent="0.25">
      <c r="A148" s="74"/>
      <c r="B148" s="74"/>
      <c r="C148" s="74"/>
      <c r="D148" s="74"/>
      <c r="E148" s="74"/>
      <c r="F148" s="74"/>
      <c r="G148" s="74"/>
      <c r="H148" s="74"/>
      <c r="I148" s="74"/>
      <c r="J148" s="74"/>
      <c r="K148" s="74"/>
      <c r="L148" s="74"/>
      <c r="M148" s="74"/>
      <c r="N148" s="74"/>
      <c r="O148" s="74"/>
      <c r="P148" s="74"/>
    </row>
    <row r="149" spans="1:16" x14ac:dyDescent="0.25">
      <c r="A149" s="74"/>
      <c r="B149" s="74"/>
      <c r="C149" s="74"/>
      <c r="D149" s="74"/>
      <c r="E149" s="74"/>
      <c r="F149" s="74"/>
      <c r="G149" s="74"/>
      <c r="H149" s="74"/>
      <c r="I149" s="74"/>
      <c r="J149" s="74"/>
      <c r="K149" s="74"/>
      <c r="L149" s="74"/>
      <c r="M149" s="74"/>
      <c r="N149" s="74"/>
      <c r="O149" s="74"/>
      <c r="P149" s="74"/>
    </row>
    <row r="150" spans="1:16" x14ac:dyDescent="0.25">
      <c r="A150" s="74"/>
      <c r="B150" s="74"/>
      <c r="C150" s="74"/>
      <c r="D150" s="74"/>
      <c r="E150" s="74"/>
      <c r="F150" s="74"/>
      <c r="G150" s="74"/>
      <c r="H150" s="74"/>
      <c r="I150" s="74"/>
      <c r="J150" s="74"/>
      <c r="K150" s="74"/>
      <c r="L150" s="74"/>
      <c r="M150" s="74"/>
      <c r="N150" s="74"/>
      <c r="O150" s="74"/>
      <c r="P150" s="74"/>
    </row>
  </sheetData>
  <mergeCells count="51">
    <mergeCell ref="C58:E58"/>
    <mergeCell ref="I58:L58"/>
    <mergeCell ref="M58:N58"/>
    <mergeCell ref="A1:C1"/>
    <mergeCell ref="A2:P2"/>
    <mergeCell ref="A4:C4"/>
    <mergeCell ref="E4:G4"/>
    <mergeCell ref="I4:J4"/>
    <mergeCell ref="L4:P4"/>
    <mergeCell ref="I5:J5"/>
    <mergeCell ref="L5:P5"/>
    <mergeCell ref="A5:C5"/>
    <mergeCell ref="E5:G5"/>
    <mergeCell ref="L6:P6"/>
    <mergeCell ref="A6:C6"/>
    <mergeCell ref="E6:G6"/>
    <mergeCell ref="B61:O61"/>
    <mergeCell ref="B62:O62"/>
    <mergeCell ref="B63:O63"/>
    <mergeCell ref="I7:J7"/>
    <mergeCell ref="L7:P7"/>
    <mergeCell ref="G48:N48"/>
    <mergeCell ref="G49:N49"/>
    <mergeCell ref="A10:Q10"/>
    <mergeCell ref="H17:N17"/>
    <mergeCell ref="G24:N24"/>
    <mergeCell ref="A31:Q31"/>
    <mergeCell ref="H44:N44"/>
    <mergeCell ref="A36:Q36"/>
    <mergeCell ref="A7:C7"/>
    <mergeCell ref="E7:G7"/>
    <mergeCell ref="F58:G58"/>
    <mergeCell ref="E19:F19"/>
    <mergeCell ref="G19:J19"/>
    <mergeCell ref="G21:J21"/>
    <mergeCell ref="K19:N19"/>
    <mergeCell ref="K20:N20"/>
    <mergeCell ref="K21:N21"/>
    <mergeCell ref="A20:C20"/>
    <mergeCell ref="A21:C21"/>
    <mergeCell ref="E20:F20"/>
    <mergeCell ref="E21:F21"/>
    <mergeCell ref="G20:J20"/>
    <mergeCell ref="C65:E67"/>
    <mergeCell ref="G65:I67"/>
    <mergeCell ref="M65:N67"/>
    <mergeCell ref="A69:H69"/>
    <mergeCell ref="I69:Q69"/>
    <mergeCell ref="C68:E68"/>
    <mergeCell ref="G68:I68"/>
    <mergeCell ref="M68:N68"/>
  </mergeCells>
  <conditionalFormatting sqref="E4:E7 L5:L6 E20">
    <cfRule type="containsBlanks" dxfId="95" priority="3" stopIfTrue="1">
      <formula>LEN(TRIM(E4))=0</formula>
    </cfRule>
  </conditionalFormatting>
  <conditionalFormatting sqref="H17 G20 K20 K21 G21 E21 G24 H44 G48 F58 M58">
    <cfRule type="cellIs" dxfId="94" priority="2" stopIfTrue="1" operator="equal">
      <formula>""</formula>
    </cfRule>
  </conditionalFormatting>
  <conditionalFormatting sqref="L4 C65 G65 M65">
    <cfRule type="containsBlanks" dxfId="93" priority="1" stopIfTrue="1">
      <formula>LEN(TRIM(C4))=0</formula>
    </cfRule>
  </conditionalFormatting>
  <dataValidations xWindow="367" yWindow="630" count="4">
    <dataValidation operator="greaterThan" allowBlank="1" showInputMessage="1" showErrorMessage="1" sqref="L4:P4" xr:uid="{00000000-0002-0000-0A00-000000000000}"/>
    <dataValidation type="date" operator="greaterThan" allowBlank="1" showInputMessage="1" showErrorMessage="1" errorTitle="Invalid date entered" error="Please enter the date in format dd/mm/yyyy" promptTitle="#1 Delivery Date" prompt="Date of delivery of the 1st grade, please enter the date in format dd/mm/yyyy" sqref="O20:AC20" xr:uid="{00000000-0002-0000-0A00-000001000000}">
      <formula1>40179</formula1>
    </dataValidation>
    <dataValidation type="date" operator="greaterThan" allowBlank="1" showInputMessage="1" showErrorMessage="1" errorTitle="Invalid date entered" error="Please enter the date in format dd/mm/yyyy" promptTitle="Vessel's date of calibration" prompt="Date stated on the vessel's calibration table, please enter the date in format dd/mm/yyyy" sqref="G20:J20" xr:uid="{00000000-0002-0000-0A00-000002000000}">
      <formula1>1</formula1>
    </dataValidation>
    <dataValidation type="date" operator="greaterThan" allowBlank="1" showInputMessage="1" showErrorMessage="1" errorTitle="Invalid date entered" error="Please enter the date in format dd/mm/yyyy" promptTitle="Barge's date of calibration" prompt="Date stated on the barge's calibration table, please enter the date in format dd/mm/yyyy" sqref="G21:J21" xr:uid="{00000000-0002-0000-0A00-000003000000}">
      <formula1>1</formula1>
    </dataValidation>
  </dataValidations>
  <printOptions horizontalCentered="1"/>
  <pageMargins left="0.51181102362204722" right="0.23622047244094491" top="0.51181102362204722" bottom="0.74803149606299213" header="0" footer="0.23622047244094491"/>
  <pageSetup paperSize="9" scale="73" orientation="portrait" horizontalDpi="4294967293"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from>
                    <xdr:col>12</xdr:col>
                    <xdr:colOff>619125</xdr:colOff>
                    <xdr:row>10</xdr:row>
                    <xdr:rowOff>38100</xdr:rowOff>
                  </from>
                  <to>
                    <xdr:col>13</xdr:col>
                    <xdr:colOff>381000</xdr:colOff>
                    <xdr:row>12</xdr:row>
                    <xdr:rowOff>47625</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from>
                    <xdr:col>13</xdr:col>
                    <xdr:colOff>400050</xdr:colOff>
                    <xdr:row>10</xdr:row>
                    <xdr:rowOff>47625</xdr:rowOff>
                  </from>
                  <to>
                    <xdr:col>15</xdr:col>
                    <xdr:colOff>19050</xdr:colOff>
                    <xdr:row>12</xdr:row>
                    <xdr:rowOff>57150</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from>
                    <xdr:col>6</xdr:col>
                    <xdr:colOff>219075</xdr:colOff>
                    <xdr:row>11</xdr:row>
                    <xdr:rowOff>104775</xdr:rowOff>
                  </from>
                  <to>
                    <xdr:col>6</xdr:col>
                    <xdr:colOff>647700</xdr:colOff>
                    <xdr:row>13</xdr:row>
                    <xdr:rowOff>19050</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from>
                    <xdr:col>6</xdr:col>
                    <xdr:colOff>666750</xdr:colOff>
                    <xdr:row>11</xdr:row>
                    <xdr:rowOff>104775</xdr:rowOff>
                  </from>
                  <to>
                    <xdr:col>8</xdr:col>
                    <xdr:colOff>276225</xdr:colOff>
                    <xdr:row>13</xdr:row>
                    <xdr:rowOff>19050</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from>
                    <xdr:col>9</xdr:col>
                    <xdr:colOff>9525</xdr:colOff>
                    <xdr:row>14</xdr:row>
                    <xdr:rowOff>133350</xdr:rowOff>
                  </from>
                  <to>
                    <xdr:col>10</xdr:col>
                    <xdr:colOff>85725</xdr:colOff>
                    <xdr:row>16</xdr:row>
                    <xdr:rowOff>47625</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from>
                    <xdr:col>10</xdr:col>
                    <xdr:colOff>76200</xdr:colOff>
                    <xdr:row>14</xdr:row>
                    <xdr:rowOff>133350</xdr:rowOff>
                  </from>
                  <to>
                    <xdr:col>12</xdr:col>
                    <xdr:colOff>47625</xdr:colOff>
                    <xdr:row>16</xdr:row>
                    <xdr:rowOff>47625</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from>
                    <xdr:col>13</xdr:col>
                    <xdr:colOff>390525</xdr:colOff>
                    <xdr:row>20</xdr:row>
                    <xdr:rowOff>152400</xdr:rowOff>
                  </from>
                  <to>
                    <xdr:col>15</xdr:col>
                    <xdr:colOff>0</xdr:colOff>
                    <xdr:row>22</xdr:row>
                    <xdr:rowOff>0</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from>
                    <xdr:col>15</xdr:col>
                    <xdr:colOff>0</xdr:colOff>
                    <xdr:row>20</xdr:row>
                    <xdr:rowOff>161925</xdr:rowOff>
                  </from>
                  <to>
                    <xdr:col>16</xdr:col>
                    <xdr:colOff>19050</xdr:colOff>
                    <xdr:row>22</xdr:row>
                    <xdr:rowOff>0</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from>
                    <xdr:col>7</xdr:col>
                    <xdr:colOff>38100</xdr:colOff>
                    <xdr:row>21</xdr:row>
                    <xdr:rowOff>133350</xdr:rowOff>
                  </from>
                  <to>
                    <xdr:col>8</xdr:col>
                    <xdr:colOff>352425</xdr:colOff>
                    <xdr:row>23</xdr:row>
                    <xdr:rowOff>47625</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from>
                    <xdr:col>8</xdr:col>
                    <xdr:colOff>381000</xdr:colOff>
                    <xdr:row>21</xdr:row>
                    <xdr:rowOff>133350</xdr:rowOff>
                  </from>
                  <to>
                    <xdr:col>10</xdr:col>
                    <xdr:colOff>9525</xdr:colOff>
                    <xdr:row>23</xdr:row>
                    <xdr:rowOff>47625</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from>
                    <xdr:col>9</xdr:col>
                    <xdr:colOff>276225</xdr:colOff>
                    <xdr:row>24</xdr:row>
                    <xdr:rowOff>9525</xdr:rowOff>
                  </from>
                  <to>
                    <xdr:col>11</xdr:col>
                    <xdr:colOff>247650</xdr:colOff>
                    <xdr:row>26</xdr:row>
                    <xdr:rowOff>0</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from>
                    <xdr:col>11</xdr:col>
                    <xdr:colOff>238125</xdr:colOff>
                    <xdr:row>24</xdr:row>
                    <xdr:rowOff>9525</xdr:rowOff>
                  </from>
                  <to>
                    <xdr:col>12</xdr:col>
                    <xdr:colOff>314325</xdr:colOff>
                    <xdr:row>26</xdr:row>
                    <xdr:rowOff>0</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from>
                    <xdr:col>13</xdr:col>
                    <xdr:colOff>228600</xdr:colOff>
                    <xdr:row>25</xdr:row>
                    <xdr:rowOff>104775</xdr:rowOff>
                  </from>
                  <to>
                    <xdr:col>13</xdr:col>
                    <xdr:colOff>666750</xdr:colOff>
                    <xdr:row>27</xdr:row>
                    <xdr:rowOff>19050</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from>
                    <xdr:col>12</xdr:col>
                    <xdr:colOff>476250</xdr:colOff>
                    <xdr:row>25</xdr:row>
                    <xdr:rowOff>104775</xdr:rowOff>
                  </from>
                  <to>
                    <xdr:col>13</xdr:col>
                    <xdr:colOff>238125</xdr:colOff>
                    <xdr:row>27</xdr:row>
                    <xdr:rowOff>19050</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from>
                    <xdr:col>6</xdr:col>
                    <xdr:colOff>542925</xdr:colOff>
                    <xdr:row>31</xdr:row>
                    <xdr:rowOff>47625</xdr:rowOff>
                  </from>
                  <to>
                    <xdr:col>9</xdr:col>
                    <xdr:colOff>228600</xdr:colOff>
                    <xdr:row>33</xdr:row>
                    <xdr:rowOff>47625</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from>
                    <xdr:col>9</xdr:col>
                    <xdr:colOff>219075</xdr:colOff>
                    <xdr:row>31</xdr:row>
                    <xdr:rowOff>47625</xdr:rowOff>
                  </from>
                  <to>
                    <xdr:col>12</xdr:col>
                    <xdr:colOff>371475</xdr:colOff>
                    <xdr:row>33</xdr:row>
                    <xdr:rowOff>47625</xdr:rowOff>
                  </to>
                </anchor>
              </controlPr>
            </control>
          </mc:Choice>
        </mc:AlternateContent>
        <mc:AlternateContent xmlns:mc="http://schemas.openxmlformats.org/markup-compatibility/2006">
          <mc:Choice Requires="x14">
            <control shapeId="26641" r:id="rId20" name="Check Box 17">
              <controlPr defaultSize="0" autoFill="0" autoLine="0" autoPict="0">
                <anchor moveWithCells="1">
                  <from>
                    <xdr:col>6</xdr:col>
                    <xdr:colOff>114300</xdr:colOff>
                    <xdr:row>32</xdr:row>
                    <xdr:rowOff>133350</xdr:rowOff>
                  </from>
                  <to>
                    <xdr:col>9</xdr:col>
                    <xdr:colOff>257175</xdr:colOff>
                    <xdr:row>34</xdr:row>
                    <xdr:rowOff>47625</xdr:rowOff>
                  </to>
                </anchor>
              </controlPr>
            </control>
          </mc:Choice>
        </mc:AlternateContent>
        <mc:AlternateContent xmlns:mc="http://schemas.openxmlformats.org/markup-compatibility/2006">
          <mc:Choice Requires="x14">
            <control shapeId="26642" r:id="rId21" name="Check Box 18">
              <controlPr defaultSize="0" autoFill="0" autoLine="0" autoPict="0">
                <anchor moveWithCells="1">
                  <from>
                    <xdr:col>9</xdr:col>
                    <xdr:colOff>171450</xdr:colOff>
                    <xdr:row>32</xdr:row>
                    <xdr:rowOff>142875</xdr:rowOff>
                  </from>
                  <to>
                    <xdr:col>13</xdr:col>
                    <xdr:colOff>114300</xdr:colOff>
                    <xdr:row>34</xdr:row>
                    <xdr:rowOff>57150</xdr:rowOff>
                  </to>
                </anchor>
              </controlPr>
            </control>
          </mc:Choice>
        </mc:AlternateContent>
        <mc:AlternateContent xmlns:mc="http://schemas.openxmlformats.org/markup-compatibility/2006">
          <mc:Choice Requires="x14">
            <control shapeId="26643" r:id="rId22" name="Check Box 19">
              <controlPr defaultSize="0" autoFill="0" autoLine="0" autoPict="0">
                <anchor moveWithCells="1">
                  <from>
                    <xdr:col>6</xdr:col>
                    <xdr:colOff>342900</xdr:colOff>
                    <xdr:row>27</xdr:row>
                    <xdr:rowOff>123825</xdr:rowOff>
                  </from>
                  <to>
                    <xdr:col>7</xdr:col>
                    <xdr:colOff>57150</xdr:colOff>
                    <xdr:row>29</xdr:row>
                    <xdr:rowOff>38100</xdr:rowOff>
                  </to>
                </anchor>
              </controlPr>
            </control>
          </mc:Choice>
        </mc:AlternateContent>
        <mc:AlternateContent xmlns:mc="http://schemas.openxmlformats.org/markup-compatibility/2006">
          <mc:Choice Requires="x14">
            <control shapeId="26644" r:id="rId23" name="Check Box 20">
              <controlPr defaultSize="0" autoFill="0" autoLine="0" autoPict="0">
                <anchor moveWithCells="1">
                  <from>
                    <xdr:col>6</xdr:col>
                    <xdr:colOff>342900</xdr:colOff>
                    <xdr:row>26</xdr:row>
                    <xdr:rowOff>123825</xdr:rowOff>
                  </from>
                  <to>
                    <xdr:col>7</xdr:col>
                    <xdr:colOff>57150</xdr:colOff>
                    <xdr:row>28</xdr:row>
                    <xdr:rowOff>38100</xdr:rowOff>
                  </to>
                </anchor>
              </controlPr>
            </control>
          </mc:Choice>
        </mc:AlternateContent>
        <mc:AlternateContent xmlns:mc="http://schemas.openxmlformats.org/markup-compatibility/2006">
          <mc:Choice Requires="x14">
            <control shapeId="26645" r:id="rId24" name="Check Box 21">
              <controlPr defaultSize="0" autoFill="0" autoLine="0" autoPict="0">
                <anchor moveWithCells="1">
                  <from>
                    <xdr:col>7</xdr:col>
                    <xdr:colOff>57150</xdr:colOff>
                    <xdr:row>26</xdr:row>
                    <xdr:rowOff>133350</xdr:rowOff>
                  </from>
                  <to>
                    <xdr:col>8</xdr:col>
                    <xdr:colOff>381000</xdr:colOff>
                    <xdr:row>28</xdr:row>
                    <xdr:rowOff>47625</xdr:rowOff>
                  </to>
                </anchor>
              </controlPr>
            </control>
          </mc:Choice>
        </mc:AlternateContent>
        <mc:AlternateContent xmlns:mc="http://schemas.openxmlformats.org/markup-compatibility/2006">
          <mc:Choice Requires="x14">
            <control shapeId="26646" r:id="rId25" name="Check Box 22">
              <controlPr defaultSize="0" autoFill="0" autoLine="0" autoPict="0">
                <anchor moveWithCells="1">
                  <from>
                    <xdr:col>7</xdr:col>
                    <xdr:colOff>57150</xdr:colOff>
                    <xdr:row>27</xdr:row>
                    <xdr:rowOff>142875</xdr:rowOff>
                  </from>
                  <to>
                    <xdr:col>8</xdr:col>
                    <xdr:colOff>381000</xdr:colOff>
                    <xdr:row>29</xdr:row>
                    <xdr:rowOff>57150</xdr:rowOff>
                  </to>
                </anchor>
              </controlPr>
            </control>
          </mc:Choice>
        </mc:AlternateContent>
        <mc:AlternateContent xmlns:mc="http://schemas.openxmlformats.org/markup-compatibility/2006">
          <mc:Choice Requires="x14">
            <control shapeId="26647" r:id="rId26" name="Check Box 23">
              <controlPr defaultSize="0" autoFill="0" autoLine="0" autoPict="0">
                <anchor moveWithCells="1">
                  <from>
                    <xdr:col>12</xdr:col>
                    <xdr:colOff>619125</xdr:colOff>
                    <xdr:row>36</xdr:row>
                    <xdr:rowOff>38100</xdr:rowOff>
                  </from>
                  <to>
                    <xdr:col>13</xdr:col>
                    <xdr:colOff>381000</xdr:colOff>
                    <xdr:row>38</xdr:row>
                    <xdr:rowOff>66675</xdr:rowOff>
                  </to>
                </anchor>
              </controlPr>
            </control>
          </mc:Choice>
        </mc:AlternateContent>
        <mc:AlternateContent xmlns:mc="http://schemas.openxmlformats.org/markup-compatibility/2006">
          <mc:Choice Requires="x14">
            <control shapeId="26648" r:id="rId27" name="Check Box 24">
              <controlPr defaultSize="0" autoFill="0" autoLine="0" autoPict="0">
                <anchor moveWithCells="1">
                  <from>
                    <xdr:col>6</xdr:col>
                    <xdr:colOff>276225</xdr:colOff>
                    <xdr:row>37</xdr:row>
                    <xdr:rowOff>142875</xdr:rowOff>
                  </from>
                  <to>
                    <xdr:col>6</xdr:col>
                    <xdr:colOff>704850</xdr:colOff>
                    <xdr:row>39</xdr:row>
                    <xdr:rowOff>57150</xdr:rowOff>
                  </to>
                </anchor>
              </controlPr>
            </control>
          </mc:Choice>
        </mc:AlternateContent>
        <mc:AlternateContent xmlns:mc="http://schemas.openxmlformats.org/markup-compatibility/2006">
          <mc:Choice Requires="x14">
            <control shapeId="26649" r:id="rId28" name="Check Box 25">
              <controlPr defaultSize="0" autoFill="0" autoLine="0" autoPict="0">
                <anchor moveWithCells="1">
                  <from>
                    <xdr:col>6</xdr:col>
                    <xdr:colOff>695325</xdr:colOff>
                    <xdr:row>37</xdr:row>
                    <xdr:rowOff>142875</xdr:rowOff>
                  </from>
                  <to>
                    <xdr:col>8</xdr:col>
                    <xdr:colOff>304800</xdr:colOff>
                    <xdr:row>39</xdr:row>
                    <xdr:rowOff>57150</xdr:rowOff>
                  </to>
                </anchor>
              </controlPr>
            </control>
          </mc:Choice>
        </mc:AlternateContent>
        <mc:AlternateContent xmlns:mc="http://schemas.openxmlformats.org/markup-compatibility/2006">
          <mc:Choice Requires="x14">
            <control shapeId="26650" r:id="rId29" name="Check Box 26">
              <controlPr defaultSize="0" autoFill="0" autoLine="0" autoPict="0">
                <anchor moveWithCells="1">
                  <from>
                    <xdr:col>9</xdr:col>
                    <xdr:colOff>19050</xdr:colOff>
                    <xdr:row>41</xdr:row>
                    <xdr:rowOff>133350</xdr:rowOff>
                  </from>
                  <to>
                    <xdr:col>10</xdr:col>
                    <xdr:colOff>95250</xdr:colOff>
                    <xdr:row>43</xdr:row>
                    <xdr:rowOff>47625</xdr:rowOff>
                  </to>
                </anchor>
              </controlPr>
            </control>
          </mc:Choice>
        </mc:AlternateContent>
        <mc:AlternateContent xmlns:mc="http://schemas.openxmlformats.org/markup-compatibility/2006">
          <mc:Choice Requires="x14">
            <control shapeId="26651" r:id="rId30" name="Check Box 27">
              <controlPr defaultSize="0" autoFill="0" autoLine="0" autoPict="0">
                <anchor moveWithCells="1">
                  <from>
                    <xdr:col>10</xdr:col>
                    <xdr:colOff>95250</xdr:colOff>
                    <xdr:row>41</xdr:row>
                    <xdr:rowOff>123825</xdr:rowOff>
                  </from>
                  <to>
                    <xdr:col>12</xdr:col>
                    <xdr:colOff>66675</xdr:colOff>
                    <xdr:row>43</xdr:row>
                    <xdr:rowOff>38100</xdr:rowOff>
                  </to>
                </anchor>
              </controlPr>
            </control>
          </mc:Choice>
        </mc:AlternateContent>
        <mc:AlternateContent xmlns:mc="http://schemas.openxmlformats.org/markup-compatibility/2006">
          <mc:Choice Requires="x14">
            <control shapeId="26652" r:id="rId31" name="Check Box 28">
              <controlPr defaultSize="0" autoFill="0" autoLine="0" autoPict="0">
                <anchor moveWithCells="1">
                  <from>
                    <xdr:col>13</xdr:col>
                    <xdr:colOff>381000</xdr:colOff>
                    <xdr:row>44</xdr:row>
                    <xdr:rowOff>38100</xdr:rowOff>
                  </from>
                  <to>
                    <xdr:col>13</xdr:col>
                    <xdr:colOff>752475</xdr:colOff>
                    <xdr:row>46</xdr:row>
                    <xdr:rowOff>28575</xdr:rowOff>
                  </to>
                </anchor>
              </controlPr>
            </control>
          </mc:Choice>
        </mc:AlternateContent>
        <mc:AlternateContent xmlns:mc="http://schemas.openxmlformats.org/markup-compatibility/2006">
          <mc:Choice Requires="x14">
            <control shapeId="26653" r:id="rId32" name="Check Box 29">
              <controlPr defaultSize="0" autoFill="0" autoLine="0" autoPict="0">
                <anchor moveWithCells="1">
                  <from>
                    <xdr:col>14</xdr:col>
                    <xdr:colOff>38100</xdr:colOff>
                    <xdr:row>44</xdr:row>
                    <xdr:rowOff>0</xdr:rowOff>
                  </from>
                  <to>
                    <xdr:col>16</xdr:col>
                    <xdr:colOff>28575</xdr:colOff>
                    <xdr:row>46</xdr:row>
                    <xdr:rowOff>57150</xdr:rowOff>
                  </to>
                </anchor>
              </controlPr>
            </control>
          </mc:Choice>
        </mc:AlternateContent>
        <mc:AlternateContent xmlns:mc="http://schemas.openxmlformats.org/markup-compatibility/2006">
          <mc:Choice Requires="x14">
            <control shapeId="26654" r:id="rId33" name="Check Box 30">
              <controlPr defaultSize="0" autoFill="0" autoLine="0" autoPict="0">
                <anchor moveWithCells="1">
                  <from>
                    <xdr:col>9</xdr:col>
                    <xdr:colOff>276225</xdr:colOff>
                    <xdr:row>48</xdr:row>
                    <xdr:rowOff>0</xdr:rowOff>
                  </from>
                  <to>
                    <xdr:col>11</xdr:col>
                    <xdr:colOff>200025</xdr:colOff>
                    <xdr:row>49</xdr:row>
                    <xdr:rowOff>171450</xdr:rowOff>
                  </to>
                </anchor>
              </controlPr>
            </control>
          </mc:Choice>
        </mc:AlternateContent>
        <mc:AlternateContent xmlns:mc="http://schemas.openxmlformats.org/markup-compatibility/2006">
          <mc:Choice Requires="x14">
            <control shapeId="26655" r:id="rId34" name="Check Box 31">
              <controlPr defaultSize="0" autoFill="0" autoLine="0" autoPict="0">
                <anchor moveWithCells="1">
                  <from>
                    <xdr:col>11</xdr:col>
                    <xdr:colOff>247650</xdr:colOff>
                    <xdr:row>48</xdr:row>
                    <xdr:rowOff>0</xdr:rowOff>
                  </from>
                  <to>
                    <xdr:col>12</xdr:col>
                    <xdr:colOff>323850</xdr:colOff>
                    <xdr:row>49</xdr:row>
                    <xdr:rowOff>171450</xdr:rowOff>
                  </to>
                </anchor>
              </controlPr>
            </control>
          </mc:Choice>
        </mc:AlternateContent>
        <mc:AlternateContent xmlns:mc="http://schemas.openxmlformats.org/markup-compatibility/2006">
          <mc:Choice Requires="x14">
            <control shapeId="26656" r:id="rId35" name="Check Box 32">
              <controlPr defaultSize="0" autoFill="0" autoLine="0" autoPict="0">
                <anchor moveWithCells="1">
                  <from>
                    <xdr:col>13</xdr:col>
                    <xdr:colOff>228600</xdr:colOff>
                    <xdr:row>49</xdr:row>
                    <xdr:rowOff>104775</xdr:rowOff>
                  </from>
                  <to>
                    <xdr:col>13</xdr:col>
                    <xdr:colOff>666750</xdr:colOff>
                    <xdr:row>51</xdr:row>
                    <xdr:rowOff>19050</xdr:rowOff>
                  </to>
                </anchor>
              </controlPr>
            </control>
          </mc:Choice>
        </mc:AlternateContent>
        <mc:AlternateContent xmlns:mc="http://schemas.openxmlformats.org/markup-compatibility/2006">
          <mc:Choice Requires="x14">
            <control shapeId="26657" r:id="rId36" name="Check Box 33">
              <controlPr defaultSize="0" autoFill="0" autoLine="0" autoPict="0">
                <anchor moveWithCells="1">
                  <from>
                    <xdr:col>12</xdr:col>
                    <xdr:colOff>476250</xdr:colOff>
                    <xdr:row>49</xdr:row>
                    <xdr:rowOff>104775</xdr:rowOff>
                  </from>
                  <to>
                    <xdr:col>13</xdr:col>
                    <xdr:colOff>238125</xdr:colOff>
                    <xdr:row>51</xdr:row>
                    <xdr:rowOff>19050</xdr:rowOff>
                  </to>
                </anchor>
              </controlPr>
            </control>
          </mc:Choice>
        </mc:AlternateContent>
        <mc:AlternateContent xmlns:mc="http://schemas.openxmlformats.org/markup-compatibility/2006">
          <mc:Choice Requires="x14">
            <control shapeId="26658" r:id="rId37" name="Check Box 34">
              <controlPr defaultSize="0" autoFill="0" autoLine="0" autoPict="0">
                <anchor moveWithCells="1">
                  <from>
                    <xdr:col>8</xdr:col>
                    <xdr:colOff>400050</xdr:colOff>
                    <xdr:row>51</xdr:row>
                    <xdr:rowOff>133350</xdr:rowOff>
                  </from>
                  <to>
                    <xdr:col>10</xdr:col>
                    <xdr:colOff>19050</xdr:colOff>
                    <xdr:row>53</xdr:row>
                    <xdr:rowOff>47625</xdr:rowOff>
                  </to>
                </anchor>
              </controlPr>
            </control>
          </mc:Choice>
        </mc:AlternateContent>
        <mc:AlternateContent xmlns:mc="http://schemas.openxmlformats.org/markup-compatibility/2006">
          <mc:Choice Requires="x14">
            <control shapeId="26659" r:id="rId38" name="Check Box 35">
              <controlPr defaultSize="0" autoFill="0" autoLine="0" autoPict="0">
                <anchor moveWithCells="1">
                  <from>
                    <xdr:col>10</xdr:col>
                    <xdr:colOff>9525</xdr:colOff>
                    <xdr:row>51</xdr:row>
                    <xdr:rowOff>133350</xdr:rowOff>
                  </from>
                  <to>
                    <xdr:col>11</xdr:col>
                    <xdr:colOff>342900</xdr:colOff>
                    <xdr:row>53</xdr:row>
                    <xdr:rowOff>47625</xdr:rowOff>
                  </to>
                </anchor>
              </controlPr>
            </control>
          </mc:Choice>
        </mc:AlternateContent>
        <mc:AlternateContent xmlns:mc="http://schemas.openxmlformats.org/markup-compatibility/2006">
          <mc:Choice Requires="x14">
            <control shapeId="26660" r:id="rId39" name="Check Box 36">
              <controlPr defaultSize="0" autoFill="0" autoLine="0" autoPict="0">
                <anchor moveWithCells="1">
                  <from>
                    <xdr:col>6</xdr:col>
                    <xdr:colOff>76200</xdr:colOff>
                    <xdr:row>52</xdr:row>
                    <xdr:rowOff>133350</xdr:rowOff>
                  </from>
                  <to>
                    <xdr:col>6</xdr:col>
                    <xdr:colOff>504825</xdr:colOff>
                    <xdr:row>54</xdr:row>
                    <xdr:rowOff>47625</xdr:rowOff>
                  </to>
                </anchor>
              </controlPr>
            </control>
          </mc:Choice>
        </mc:AlternateContent>
        <mc:AlternateContent xmlns:mc="http://schemas.openxmlformats.org/markup-compatibility/2006">
          <mc:Choice Requires="x14">
            <control shapeId="26661" r:id="rId40" name="Check Box 37">
              <controlPr defaultSize="0" autoFill="0" autoLine="0" autoPict="0">
                <anchor moveWithCells="1">
                  <from>
                    <xdr:col>6</xdr:col>
                    <xdr:colOff>504825</xdr:colOff>
                    <xdr:row>52</xdr:row>
                    <xdr:rowOff>133350</xdr:rowOff>
                  </from>
                  <to>
                    <xdr:col>8</xdr:col>
                    <xdr:colOff>114300</xdr:colOff>
                    <xdr:row>54</xdr:row>
                    <xdr:rowOff>47625</xdr:rowOff>
                  </to>
                </anchor>
              </controlPr>
            </control>
          </mc:Choice>
        </mc:AlternateContent>
        <mc:AlternateContent xmlns:mc="http://schemas.openxmlformats.org/markup-compatibility/2006">
          <mc:Choice Requires="x14">
            <control shapeId="26662" r:id="rId41" name="Check Box 38">
              <controlPr defaultSize="0" autoFill="0" autoLine="0" autoPict="0">
                <anchor moveWithCells="1">
                  <from>
                    <xdr:col>8</xdr:col>
                    <xdr:colOff>304800</xdr:colOff>
                    <xdr:row>50</xdr:row>
                    <xdr:rowOff>152400</xdr:rowOff>
                  </from>
                  <to>
                    <xdr:col>9</xdr:col>
                    <xdr:colOff>285750</xdr:colOff>
                    <xdr:row>52</xdr:row>
                    <xdr:rowOff>66675</xdr:rowOff>
                  </to>
                </anchor>
              </controlPr>
            </control>
          </mc:Choice>
        </mc:AlternateContent>
        <mc:AlternateContent xmlns:mc="http://schemas.openxmlformats.org/markup-compatibility/2006">
          <mc:Choice Requires="x14">
            <control shapeId="26663" r:id="rId42" name="Check Box 39">
              <controlPr defaultSize="0" autoFill="0" autoLine="0" autoPict="0">
                <anchor moveWithCells="1">
                  <from>
                    <xdr:col>6</xdr:col>
                    <xdr:colOff>704850</xdr:colOff>
                    <xdr:row>50</xdr:row>
                    <xdr:rowOff>142875</xdr:rowOff>
                  </from>
                  <to>
                    <xdr:col>8</xdr:col>
                    <xdr:colOff>304800</xdr:colOff>
                    <xdr:row>52</xdr:row>
                    <xdr:rowOff>57150</xdr:rowOff>
                  </to>
                </anchor>
              </controlPr>
            </control>
          </mc:Choice>
        </mc:AlternateContent>
        <mc:AlternateContent xmlns:mc="http://schemas.openxmlformats.org/markup-compatibility/2006">
          <mc:Choice Requires="x14">
            <control shapeId="26664" r:id="rId43" name="Check Box 40">
              <controlPr defaultSize="0" autoFill="0" autoLine="0" autoPict="0">
                <anchor moveWithCells="1">
                  <from>
                    <xdr:col>13</xdr:col>
                    <xdr:colOff>381000</xdr:colOff>
                    <xdr:row>36</xdr:row>
                    <xdr:rowOff>38100</xdr:rowOff>
                  </from>
                  <to>
                    <xdr:col>15</xdr:col>
                    <xdr:colOff>0</xdr:colOff>
                    <xdr:row>38</xdr:row>
                    <xdr:rowOff>66675</xdr:rowOff>
                  </to>
                </anchor>
              </controlPr>
            </control>
          </mc:Choice>
        </mc:AlternateContent>
        <mc:AlternateContent xmlns:mc="http://schemas.openxmlformats.org/markup-compatibility/2006">
          <mc:Choice Requires="x14">
            <control shapeId="26665" r:id="rId44" name="Check Box 41">
              <controlPr defaultSize="0" autoFill="0" autoLine="0" autoPict="0">
                <anchor moveWithCells="1">
                  <from>
                    <xdr:col>8</xdr:col>
                    <xdr:colOff>371475</xdr:colOff>
                    <xdr:row>40</xdr:row>
                    <xdr:rowOff>133350</xdr:rowOff>
                  </from>
                  <to>
                    <xdr:col>9</xdr:col>
                    <xdr:colOff>342900</xdr:colOff>
                    <xdr:row>42</xdr:row>
                    <xdr:rowOff>47625</xdr:rowOff>
                  </to>
                </anchor>
              </controlPr>
            </control>
          </mc:Choice>
        </mc:AlternateContent>
        <mc:AlternateContent xmlns:mc="http://schemas.openxmlformats.org/markup-compatibility/2006">
          <mc:Choice Requires="x14">
            <control shapeId="26666" r:id="rId45" name="Check Box 42">
              <controlPr defaultSize="0" autoFill="0" autoLine="0" autoPict="0">
                <anchor moveWithCells="1">
                  <from>
                    <xdr:col>9</xdr:col>
                    <xdr:colOff>333375</xdr:colOff>
                    <xdr:row>40</xdr:row>
                    <xdr:rowOff>171450</xdr:rowOff>
                  </from>
                  <to>
                    <xdr:col>11</xdr:col>
                    <xdr:colOff>314325</xdr:colOff>
                    <xdr:row>42</xdr:row>
                    <xdr:rowOff>9525</xdr:rowOff>
                  </to>
                </anchor>
              </controlPr>
            </control>
          </mc:Choice>
        </mc:AlternateContent>
        <mc:AlternateContent xmlns:mc="http://schemas.openxmlformats.org/markup-compatibility/2006">
          <mc:Choice Requires="x14">
            <control shapeId="26667" r:id="rId46" name="Check Box 43">
              <controlPr defaultSize="0" autoFill="0" autoLine="0" autoPict="0">
                <anchor moveWithCells="1">
                  <from>
                    <xdr:col>12</xdr:col>
                    <xdr:colOff>333375</xdr:colOff>
                    <xdr:row>53</xdr:row>
                    <xdr:rowOff>133350</xdr:rowOff>
                  </from>
                  <to>
                    <xdr:col>13</xdr:col>
                    <xdr:colOff>104775</xdr:colOff>
                    <xdr:row>55</xdr:row>
                    <xdr:rowOff>47625</xdr:rowOff>
                  </to>
                </anchor>
              </controlPr>
            </control>
          </mc:Choice>
        </mc:AlternateContent>
        <mc:AlternateContent xmlns:mc="http://schemas.openxmlformats.org/markup-compatibility/2006">
          <mc:Choice Requires="x14">
            <control shapeId="26668" r:id="rId47" name="Check Box 44">
              <controlPr defaultSize="0" autoFill="0" autoLine="0" autoPict="0">
                <anchor moveWithCells="1">
                  <from>
                    <xdr:col>11</xdr:col>
                    <xdr:colOff>266700</xdr:colOff>
                    <xdr:row>53</xdr:row>
                    <xdr:rowOff>123825</xdr:rowOff>
                  </from>
                  <to>
                    <xdr:col>12</xdr:col>
                    <xdr:colOff>333375</xdr:colOff>
                    <xdr:row>55</xdr:row>
                    <xdr:rowOff>38100</xdr:rowOff>
                  </to>
                </anchor>
              </controlPr>
            </control>
          </mc:Choice>
        </mc:AlternateContent>
        <mc:AlternateContent xmlns:mc="http://schemas.openxmlformats.org/markup-compatibility/2006">
          <mc:Choice Requires="x14">
            <control shapeId="26669" r:id="rId48" name="Check Box 45">
              <controlPr defaultSize="0" autoFill="0" autoLine="0" autoPict="0">
                <anchor moveWithCells="1">
                  <from>
                    <xdr:col>13</xdr:col>
                    <xdr:colOff>123825</xdr:colOff>
                    <xdr:row>12</xdr:row>
                    <xdr:rowOff>123825</xdr:rowOff>
                  </from>
                  <to>
                    <xdr:col>13</xdr:col>
                    <xdr:colOff>504825</xdr:colOff>
                    <xdr:row>14</xdr:row>
                    <xdr:rowOff>38100</xdr:rowOff>
                  </to>
                </anchor>
              </controlPr>
            </control>
          </mc:Choice>
        </mc:AlternateContent>
        <mc:AlternateContent xmlns:mc="http://schemas.openxmlformats.org/markup-compatibility/2006">
          <mc:Choice Requires="x14">
            <control shapeId="26670" r:id="rId49" name="Check Box 46">
              <controlPr defaultSize="0" autoFill="0" autoLine="0" autoPict="0">
                <anchor moveWithCells="1">
                  <from>
                    <xdr:col>13</xdr:col>
                    <xdr:colOff>552450</xdr:colOff>
                    <xdr:row>12</xdr:row>
                    <xdr:rowOff>123825</xdr:rowOff>
                  </from>
                  <to>
                    <xdr:col>15</xdr:col>
                    <xdr:colOff>171450</xdr:colOff>
                    <xdr:row>14</xdr:row>
                    <xdr:rowOff>38100</xdr:rowOff>
                  </to>
                </anchor>
              </controlPr>
            </control>
          </mc:Choice>
        </mc:AlternateContent>
        <mc:AlternateContent xmlns:mc="http://schemas.openxmlformats.org/markup-compatibility/2006">
          <mc:Choice Requires="x14">
            <control shapeId="26671" r:id="rId50" name="Check Box 47">
              <controlPr defaultSize="0" autoFill="0" autoLine="0" autoPict="0">
                <anchor moveWithCells="1">
                  <from>
                    <xdr:col>6</xdr:col>
                    <xdr:colOff>219075</xdr:colOff>
                    <xdr:row>13</xdr:row>
                    <xdr:rowOff>104775</xdr:rowOff>
                  </from>
                  <to>
                    <xdr:col>6</xdr:col>
                    <xdr:colOff>647700</xdr:colOff>
                    <xdr:row>15</xdr:row>
                    <xdr:rowOff>19050</xdr:rowOff>
                  </to>
                </anchor>
              </controlPr>
            </control>
          </mc:Choice>
        </mc:AlternateContent>
        <mc:AlternateContent xmlns:mc="http://schemas.openxmlformats.org/markup-compatibility/2006">
          <mc:Choice Requires="x14">
            <control shapeId="26672" r:id="rId51" name="Check Box 48">
              <controlPr defaultSize="0" autoFill="0" autoLine="0" autoPict="0">
                <anchor moveWithCells="1">
                  <from>
                    <xdr:col>6</xdr:col>
                    <xdr:colOff>666750</xdr:colOff>
                    <xdr:row>13</xdr:row>
                    <xdr:rowOff>104775</xdr:rowOff>
                  </from>
                  <to>
                    <xdr:col>8</xdr:col>
                    <xdr:colOff>276225</xdr:colOff>
                    <xdr:row>15</xdr:row>
                    <xdr:rowOff>19050</xdr:rowOff>
                  </to>
                </anchor>
              </controlPr>
            </control>
          </mc:Choice>
        </mc:AlternateContent>
        <mc:AlternateContent xmlns:mc="http://schemas.openxmlformats.org/markup-compatibility/2006">
          <mc:Choice Requires="x14">
            <control shapeId="26673" r:id="rId52" name="Check Box 49">
              <controlPr defaultSize="0" autoFill="0" autoLine="0" autoPict="0">
                <anchor moveWithCells="1">
                  <from>
                    <xdr:col>13</xdr:col>
                    <xdr:colOff>123825</xdr:colOff>
                    <xdr:row>38</xdr:row>
                    <xdr:rowOff>123825</xdr:rowOff>
                  </from>
                  <to>
                    <xdr:col>13</xdr:col>
                    <xdr:colOff>552450</xdr:colOff>
                    <xdr:row>40</xdr:row>
                    <xdr:rowOff>38100</xdr:rowOff>
                  </to>
                </anchor>
              </controlPr>
            </control>
          </mc:Choice>
        </mc:AlternateContent>
        <mc:AlternateContent xmlns:mc="http://schemas.openxmlformats.org/markup-compatibility/2006">
          <mc:Choice Requires="x14">
            <control shapeId="26674" r:id="rId53" name="Check Box 50">
              <controlPr defaultSize="0" autoFill="0" autoLine="0" autoPict="0">
                <anchor moveWithCells="1">
                  <from>
                    <xdr:col>13</xdr:col>
                    <xdr:colOff>552450</xdr:colOff>
                    <xdr:row>38</xdr:row>
                    <xdr:rowOff>123825</xdr:rowOff>
                  </from>
                  <to>
                    <xdr:col>15</xdr:col>
                    <xdr:colOff>66675</xdr:colOff>
                    <xdr:row>40</xdr:row>
                    <xdr:rowOff>38100</xdr:rowOff>
                  </to>
                </anchor>
              </controlPr>
            </control>
          </mc:Choice>
        </mc:AlternateContent>
        <mc:AlternateContent xmlns:mc="http://schemas.openxmlformats.org/markup-compatibility/2006">
          <mc:Choice Requires="x14">
            <control shapeId="26675" r:id="rId54" name="Check Box 51">
              <controlPr defaultSize="0" autoFill="0" autoLine="0" autoPict="0">
                <anchor moveWithCells="1">
                  <from>
                    <xdr:col>6</xdr:col>
                    <xdr:colOff>219075</xdr:colOff>
                    <xdr:row>39</xdr:row>
                    <xdr:rowOff>104775</xdr:rowOff>
                  </from>
                  <to>
                    <xdr:col>6</xdr:col>
                    <xdr:colOff>647700</xdr:colOff>
                    <xdr:row>41</xdr:row>
                    <xdr:rowOff>19050</xdr:rowOff>
                  </to>
                </anchor>
              </controlPr>
            </control>
          </mc:Choice>
        </mc:AlternateContent>
        <mc:AlternateContent xmlns:mc="http://schemas.openxmlformats.org/markup-compatibility/2006">
          <mc:Choice Requires="x14">
            <control shapeId="26676" r:id="rId55" name="Check Box 52">
              <controlPr defaultSize="0" autoFill="0" autoLine="0" autoPict="0">
                <anchor moveWithCells="1">
                  <from>
                    <xdr:col>6</xdr:col>
                    <xdr:colOff>666750</xdr:colOff>
                    <xdr:row>39</xdr:row>
                    <xdr:rowOff>104775</xdr:rowOff>
                  </from>
                  <to>
                    <xdr:col>8</xdr:col>
                    <xdr:colOff>276225</xdr:colOff>
                    <xdr:row>41</xdr:row>
                    <xdr:rowOff>19050</xdr:rowOff>
                  </to>
                </anchor>
              </controlPr>
            </control>
          </mc:Choice>
        </mc:AlternateContent>
        <mc:AlternateContent xmlns:mc="http://schemas.openxmlformats.org/markup-compatibility/2006">
          <mc:Choice Requires="x14">
            <control shapeId="26677" r:id="rId56" name="Check Box 53">
              <controlPr defaultSize="0" autoFill="0" autoLine="0" autoPict="0">
                <anchor moveWithCells="1">
                  <from>
                    <xdr:col>15</xdr:col>
                    <xdr:colOff>85725</xdr:colOff>
                    <xdr:row>12</xdr:row>
                    <xdr:rowOff>123825</xdr:rowOff>
                  </from>
                  <to>
                    <xdr:col>16</xdr:col>
                    <xdr:colOff>133350</xdr:colOff>
                    <xdr:row>14</xdr:row>
                    <xdr:rowOff>38100</xdr:rowOff>
                  </to>
                </anchor>
              </controlPr>
            </control>
          </mc:Choice>
        </mc:AlternateContent>
        <mc:AlternateContent xmlns:mc="http://schemas.openxmlformats.org/markup-compatibility/2006">
          <mc:Choice Requires="x14">
            <control shapeId="26678" r:id="rId57" name="Check Box 54">
              <controlPr defaultSize="0" autoFill="0" autoLine="0" autoPict="0">
                <anchor moveWithCells="1">
                  <from>
                    <xdr:col>8</xdr:col>
                    <xdr:colOff>161925</xdr:colOff>
                    <xdr:row>13</xdr:row>
                    <xdr:rowOff>104775</xdr:rowOff>
                  </from>
                  <to>
                    <xdr:col>9</xdr:col>
                    <xdr:colOff>142875</xdr:colOff>
                    <xdr:row>15</xdr:row>
                    <xdr:rowOff>19050</xdr:rowOff>
                  </to>
                </anchor>
              </controlPr>
            </control>
          </mc:Choice>
        </mc:AlternateContent>
        <mc:AlternateContent xmlns:mc="http://schemas.openxmlformats.org/markup-compatibility/2006">
          <mc:Choice Requires="x14">
            <control shapeId="26679" r:id="rId58" name="Check Box 55">
              <controlPr defaultSize="0" autoFill="0" autoLine="0" autoPict="0">
                <anchor moveWithCells="1">
                  <from>
                    <xdr:col>15</xdr:col>
                    <xdr:colOff>95250</xdr:colOff>
                    <xdr:row>38</xdr:row>
                    <xdr:rowOff>123825</xdr:rowOff>
                  </from>
                  <to>
                    <xdr:col>16</xdr:col>
                    <xdr:colOff>152400</xdr:colOff>
                    <xdr:row>40</xdr:row>
                    <xdr:rowOff>38100</xdr:rowOff>
                  </to>
                </anchor>
              </controlPr>
            </control>
          </mc:Choice>
        </mc:AlternateContent>
        <mc:AlternateContent xmlns:mc="http://schemas.openxmlformats.org/markup-compatibility/2006">
          <mc:Choice Requires="x14">
            <control shapeId="26680" r:id="rId59" name="Check Box 56">
              <controlPr defaultSize="0" autoFill="0" autoLine="0" autoPict="0">
                <anchor moveWithCells="1">
                  <from>
                    <xdr:col>8</xdr:col>
                    <xdr:colOff>219075</xdr:colOff>
                    <xdr:row>39</xdr:row>
                    <xdr:rowOff>104775</xdr:rowOff>
                  </from>
                  <to>
                    <xdr:col>9</xdr:col>
                    <xdr:colOff>200025</xdr:colOff>
                    <xdr:row>41</xdr:row>
                    <xdr:rowOff>19050</xdr:rowOff>
                  </to>
                </anchor>
              </controlPr>
            </control>
          </mc:Choice>
        </mc:AlternateContent>
        <mc:AlternateContent xmlns:mc="http://schemas.openxmlformats.org/markup-compatibility/2006">
          <mc:Choice Requires="x14">
            <control shapeId="26681" r:id="rId60" name="Check Box 57">
              <controlPr defaultSize="0" autoFill="0" autoLine="0" autoPict="0">
                <anchor moveWithCells="1">
                  <from>
                    <xdr:col>7</xdr:col>
                    <xdr:colOff>85725</xdr:colOff>
                    <xdr:row>45</xdr:row>
                    <xdr:rowOff>133350</xdr:rowOff>
                  </from>
                  <to>
                    <xdr:col>8</xdr:col>
                    <xdr:colOff>400050</xdr:colOff>
                    <xdr:row>47</xdr:row>
                    <xdr:rowOff>47625</xdr:rowOff>
                  </to>
                </anchor>
              </controlPr>
            </control>
          </mc:Choice>
        </mc:AlternateContent>
        <mc:AlternateContent xmlns:mc="http://schemas.openxmlformats.org/markup-compatibility/2006">
          <mc:Choice Requires="x14">
            <control shapeId="26682" r:id="rId61" name="Check Box 58">
              <controlPr defaultSize="0" autoFill="0" autoLine="0" autoPict="0">
                <anchor moveWithCells="1">
                  <from>
                    <xdr:col>8</xdr:col>
                    <xdr:colOff>390525</xdr:colOff>
                    <xdr:row>45</xdr:row>
                    <xdr:rowOff>171450</xdr:rowOff>
                  </from>
                  <to>
                    <xdr:col>10</xdr:col>
                    <xdr:colOff>19050</xdr:colOff>
                    <xdr:row>47</xdr:row>
                    <xdr:rowOff>9525</xdr:rowOff>
                  </to>
                </anchor>
              </controlPr>
            </control>
          </mc:Choice>
        </mc:AlternateContent>
        <mc:AlternateContent xmlns:mc="http://schemas.openxmlformats.org/markup-compatibility/2006">
          <mc:Choice Requires="x14">
            <control shapeId="26683" r:id="rId62" name="Check Box 59">
              <controlPr defaultSize="0" autoFill="0" autoLine="0" autoPict="0">
                <anchor moveWithCells="1">
                  <from>
                    <xdr:col>13</xdr:col>
                    <xdr:colOff>609600</xdr:colOff>
                    <xdr:row>25</xdr:row>
                    <xdr:rowOff>104775</xdr:rowOff>
                  </from>
                  <to>
                    <xdr:col>15</xdr:col>
                    <xdr:colOff>152400</xdr:colOff>
                    <xdr:row>27</xdr:row>
                    <xdr:rowOff>19050</xdr:rowOff>
                  </to>
                </anchor>
              </controlPr>
            </control>
          </mc:Choice>
        </mc:AlternateContent>
        <mc:AlternateContent xmlns:mc="http://schemas.openxmlformats.org/markup-compatibility/2006">
          <mc:Choice Requires="x14">
            <control shapeId="26684" r:id="rId63" name="Check Box 60">
              <controlPr defaultSize="0" autoFill="0" autoLine="0" autoPict="0">
                <anchor moveWithCells="1">
                  <from>
                    <xdr:col>13</xdr:col>
                    <xdr:colOff>628650</xdr:colOff>
                    <xdr:row>49</xdr:row>
                    <xdr:rowOff>104775</xdr:rowOff>
                  </from>
                  <to>
                    <xdr:col>15</xdr:col>
                    <xdr:colOff>171450</xdr:colOff>
                    <xdr:row>51</xdr:row>
                    <xdr:rowOff>19050</xdr:rowOff>
                  </to>
                </anchor>
              </controlPr>
            </control>
          </mc:Choice>
        </mc:AlternateContent>
        <mc:AlternateContent xmlns:mc="http://schemas.openxmlformats.org/markup-compatibility/2006">
          <mc:Choice Requires="x14">
            <control shapeId="26685" r:id="rId64" name="Check Box 61">
              <controlPr defaultSize="0" autoFill="0" autoLine="0" autoPict="0">
                <anchor moveWithCells="1">
                  <from>
                    <xdr:col>13</xdr:col>
                    <xdr:colOff>57150</xdr:colOff>
                    <xdr:row>53</xdr:row>
                    <xdr:rowOff>133350</xdr:rowOff>
                  </from>
                  <to>
                    <xdr:col>13</xdr:col>
                    <xdr:colOff>419100</xdr:colOff>
                    <xdr:row>55</xdr:row>
                    <xdr:rowOff>47625</xdr:rowOff>
                  </to>
                </anchor>
              </controlPr>
            </control>
          </mc:Choice>
        </mc:AlternateContent>
        <mc:AlternateContent xmlns:mc="http://schemas.openxmlformats.org/markup-compatibility/2006">
          <mc:Choice Requires="x14">
            <control shapeId="26686" r:id="rId65" name="Check Box 62">
              <controlPr defaultSize="0" autoFill="0" autoLine="0" autoPict="0">
                <anchor moveWithCells="1">
                  <from>
                    <xdr:col>8</xdr:col>
                    <xdr:colOff>66675</xdr:colOff>
                    <xdr:row>52</xdr:row>
                    <xdr:rowOff>133350</xdr:rowOff>
                  </from>
                  <to>
                    <xdr:col>8</xdr:col>
                    <xdr:colOff>428625</xdr:colOff>
                    <xdr:row>54</xdr:row>
                    <xdr:rowOff>47625</xdr:rowOff>
                  </to>
                </anchor>
              </controlPr>
            </control>
          </mc:Choice>
        </mc:AlternateContent>
        <mc:AlternateContent xmlns:mc="http://schemas.openxmlformats.org/markup-compatibility/2006">
          <mc:Choice Requires="x14">
            <control shapeId="26687" r:id="rId66" name="Check Box 63">
              <controlPr defaultSize="0" autoFill="0" autoLine="0" autoPict="0">
                <anchor moveWithCells="1">
                  <from>
                    <xdr:col>11</xdr:col>
                    <xdr:colOff>295275</xdr:colOff>
                    <xdr:row>51</xdr:row>
                    <xdr:rowOff>133350</xdr:rowOff>
                  </from>
                  <to>
                    <xdr:col>12</xdr:col>
                    <xdr:colOff>295275</xdr:colOff>
                    <xdr:row>53</xdr:row>
                    <xdr:rowOff>47625</xdr:rowOff>
                  </to>
                </anchor>
              </controlPr>
            </control>
          </mc:Choice>
        </mc:AlternateContent>
        <mc:AlternateContent xmlns:mc="http://schemas.openxmlformats.org/markup-compatibility/2006">
          <mc:Choice Requires="x14">
            <control shapeId="26688" r:id="rId67" name="Check Box 64">
              <controlPr defaultSize="0" autoFill="0" autoLine="0" autoPict="0">
                <anchor moveWithCells="1">
                  <from>
                    <xdr:col>12</xdr:col>
                    <xdr:colOff>285750</xdr:colOff>
                    <xdr:row>47</xdr:row>
                    <xdr:rowOff>152400</xdr:rowOff>
                  </from>
                  <to>
                    <xdr:col>12</xdr:col>
                    <xdr:colOff>647700</xdr:colOff>
                    <xdr:row>50</xdr:row>
                    <xdr:rowOff>19050</xdr:rowOff>
                  </to>
                </anchor>
              </controlPr>
            </control>
          </mc:Choice>
        </mc:AlternateContent>
        <mc:AlternateContent xmlns:mc="http://schemas.openxmlformats.org/markup-compatibility/2006">
          <mc:Choice Requires="x14">
            <control shapeId="26689" r:id="rId68" name="Check Box 65">
              <controlPr defaultSize="0" autoFill="0" autoLine="0" autoPict="0">
                <anchor moveWithCells="1">
                  <from>
                    <xdr:col>9</xdr:col>
                    <xdr:colOff>333375</xdr:colOff>
                    <xdr:row>55</xdr:row>
                    <xdr:rowOff>95250</xdr:rowOff>
                  </from>
                  <to>
                    <xdr:col>11</xdr:col>
                    <xdr:colOff>304800</xdr:colOff>
                    <xdr:row>57</xdr:row>
                    <xdr:rowOff>9525</xdr:rowOff>
                  </to>
                </anchor>
              </controlPr>
            </control>
          </mc:Choice>
        </mc:AlternateContent>
        <mc:AlternateContent xmlns:mc="http://schemas.openxmlformats.org/markup-compatibility/2006">
          <mc:Choice Requires="x14">
            <control shapeId="26690" r:id="rId69" name="Check Box 66">
              <controlPr defaultSize="0" autoFill="0" autoLine="0" autoPict="0">
                <anchor moveWithCells="1">
                  <from>
                    <xdr:col>11</xdr:col>
                    <xdr:colOff>323850</xdr:colOff>
                    <xdr:row>55</xdr:row>
                    <xdr:rowOff>95250</xdr:rowOff>
                  </from>
                  <to>
                    <xdr:col>12</xdr:col>
                    <xdr:colOff>400050</xdr:colOff>
                    <xdr:row>57</xdr:row>
                    <xdr:rowOff>9525</xdr:rowOff>
                  </to>
                </anchor>
              </controlPr>
            </control>
          </mc:Choice>
        </mc:AlternateContent>
        <mc:AlternateContent xmlns:mc="http://schemas.openxmlformats.org/markup-compatibility/2006">
          <mc:Choice Requires="x14">
            <control shapeId="26691" r:id="rId70" name="Check Box 67">
              <controlPr defaultSize="0" autoFill="0" autoLine="0" autoPict="0">
                <anchor moveWithCells="1">
                  <from>
                    <xdr:col>12</xdr:col>
                    <xdr:colOff>371475</xdr:colOff>
                    <xdr:row>55</xdr:row>
                    <xdr:rowOff>114300</xdr:rowOff>
                  </from>
                  <to>
                    <xdr:col>13</xdr:col>
                    <xdr:colOff>66675</xdr:colOff>
                    <xdr:row>57</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F7E7D-6B99-4406-AA2B-142CE8171A25}">
  <sheetPr codeName="Sheet5">
    <tabColor rgb="FF92D050"/>
    <pageSetUpPr fitToPage="1"/>
  </sheetPr>
  <dimension ref="A1:CH42"/>
  <sheetViews>
    <sheetView topLeftCell="A22" zoomScaleNormal="100" workbookViewId="0">
      <selection activeCell="A37" sqref="A37:CG37"/>
    </sheetView>
  </sheetViews>
  <sheetFormatPr defaultColWidth="9.140625" defaultRowHeight="11.45" customHeight="1" x14ac:dyDescent="0.2"/>
  <cols>
    <col min="1" max="85" width="1.7109375" style="134" customWidth="1"/>
    <col min="86" max="86" width="9.140625" style="134" customWidth="1"/>
    <col min="87" max="16384" width="9.140625" style="134"/>
  </cols>
  <sheetData>
    <row r="1" spans="1:86" s="133" customFormat="1" ht="11.45" customHeight="1" x14ac:dyDescent="0.2">
      <c r="A1" s="504"/>
      <c r="B1" s="504"/>
      <c r="C1" s="504"/>
      <c r="D1" s="504"/>
      <c r="E1" s="504"/>
      <c r="F1" s="504"/>
      <c r="G1" s="504"/>
      <c r="H1" s="504"/>
      <c r="I1" s="504"/>
      <c r="J1" s="504"/>
      <c r="K1" s="504"/>
      <c r="L1" s="504"/>
      <c r="M1" s="504"/>
      <c r="N1" s="504"/>
      <c r="O1" s="504"/>
      <c r="P1" s="504"/>
      <c r="Q1" s="504"/>
      <c r="R1" s="504"/>
      <c r="S1" s="504"/>
      <c r="T1" s="504"/>
      <c r="U1" s="504"/>
      <c r="V1" s="504"/>
      <c r="W1" s="504"/>
      <c r="X1" s="504"/>
      <c r="Y1" s="504"/>
      <c r="Z1" s="504"/>
      <c r="AA1" s="504"/>
      <c r="AB1" s="504"/>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38" t="s">
        <v>280</v>
      </c>
      <c r="BM1" s="538"/>
      <c r="BN1" s="538"/>
      <c r="BO1" s="538"/>
      <c r="BP1" s="538"/>
      <c r="BQ1" s="132" t="s">
        <v>0</v>
      </c>
      <c r="BR1" s="538" t="str">
        <f>IF('Data Entry'!N28="","",'Data Entry'!N28)</f>
        <v/>
      </c>
      <c r="BS1" s="538"/>
      <c r="BT1" s="538"/>
      <c r="BU1" s="538"/>
      <c r="BV1" s="538"/>
      <c r="BW1" s="538"/>
      <c r="BX1" s="538"/>
      <c r="BY1" s="538"/>
      <c r="BZ1" s="538"/>
      <c r="CA1" s="538"/>
      <c r="CB1" s="538"/>
      <c r="CC1" s="538"/>
      <c r="CD1" s="538"/>
      <c r="CE1" s="538"/>
      <c r="CF1" s="538"/>
      <c r="CG1" s="538"/>
    </row>
    <row r="2" spans="1:86" s="133" customFormat="1" ht="11.45" customHeight="1" x14ac:dyDescent="0.2">
      <c r="A2" s="540" t="s">
        <v>539</v>
      </c>
      <c r="B2" s="540"/>
      <c r="C2" s="540"/>
      <c r="D2" s="540"/>
      <c r="E2" s="540"/>
      <c r="F2" s="540"/>
      <c r="G2" s="540"/>
      <c r="H2" s="540"/>
      <c r="I2" s="540"/>
      <c r="J2" s="540"/>
      <c r="K2" s="540"/>
      <c r="L2" s="540"/>
      <c r="M2" s="540"/>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0"/>
      <c r="AM2" s="540"/>
      <c r="AN2" s="540"/>
      <c r="AO2" s="540"/>
      <c r="AP2" s="540"/>
      <c r="AQ2" s="540"/>
      <c r="AR2" s="540"/>
      <c r="AS2" s="540"/>
      <c r="AT2" s="540"/>
      <c r="AU2" s="540"/>
      <c r="AV2" s="540"/>
      <c r="AW2" s="540"/>
      <c r="AX2" s="540"/>
      <c r="AY2" s="540"/>
      <c r="AZ2" s="540"/>
      <c r="BA2" s="540"/>
      <c r="BB2" s="540"/>
      <c r="BC2" s="540"/>
      <c r="BD2" s="540"/>
      <c r="BE2" s="540"/>
      <c r="BF2" s="540"/>
      <c r="BG2" s="540"/>
      <c r="BH2" s="540"/>
      <c r="BI2" s="540"/>
      <c r="BJ2" s="540"/>
      <c r="BK2" s="540"/>
      <c r="BL2" s="538" t="s">
        <v>281</v>
      </c>
      <c r="BM2" s="538"/>
      <c r="BN2" s="538"/>
      <c r="BO2" s="538"/>
      <c r="BP2" s="538"/>
      <c r="BQ2" s="132" t="s">
        <v>0</v>
      </c>
      <c r="BR2" s="538" t="str">
        <f>IF('Data Entry'!N39="","",'Data Entry'!N39)</f>
        <v>SC17124</v>
      </c>
      <c r="BS2" s="538"/>
      <c r="BT2" s="538"/>
      <c r="BU2" s="538"/>
      <c r="BV2" s="538"/>
      <c r="BW2" s="538"/>
      <c r="BX2" s="538"/>
      <c r="BY2" s="538"/>
      <c r="BZ2" s="538"/>
      <c r="CA2" s="538"/>
      <c r="CB2" s="538"/>
      <c r="CC2" s="538"/>
      <c r="CD2" s="538"/>
      <c r="CE2" s="538"/>
      <c r="CF2" s="538"/>
      <c r="CG2" s="538"/>
    </row>
    <row r="3" spans="1:86" s="133" customFormat="1" ht="11.45" customHeight="1" x14ac:dyDescent="0.2">
      <c r="A3" s="504"/>
      <c r="B3" s="504"/>
      <c r="C3" s="504"/>
      <c r="D3" s="504"/>
      <c r="E3" s="504"/>
      <c r="F3" s="504"/>
      <c r="G3" s="504"/>
      <c r="H3" s="504"/>
      <c r="I3" s="504"/>
      <c r="J3" s="504"/>
      <c r="K3" s="504"/>
      <c r="L3" s="504"/>
      <c r="M3" s="504"/>
      <c r="N3" s="504"/>
      <c r="O3" s="504"/>
      <c r="P3" s="504"/>
      <c r="Q3" s="504"/>
      <c r="R3" s="504"/>
      <c r="S3" s="504"/>
      <c r="T3" s="504"/>
      <c r="U3" s="504"/>
      <c r="V3" s="504"/>
      <c r="W3" s="504"/>
      <c r="X3" s="504"/>
      <c r="Y3" s="504"/>
      <c r="Z3" s="504"/>
      <c r="AA3" s="504"/>
      <c r="AB3" s="504"/>
      <c r="AC3" s="504"/>
      <c r="AD3" s="504"/>
      <c r="AE3" s="504"/>
      <c r="AF3" s="504"/>
      <c r="AG3" s="504"/>
      <c r="AH3" s="504"/>
      <c r="AI3" s="504"/>
      <c r="AJ3" s="504"/>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t="str">
        <f>'Bunker Certificate 1'!Y4</f>
        <v/>
      </c>
      <c r="BS3" s="504"/>
      <c r="BT3" s="504"/>
      <c r="BU3" s="504"/>
      <c r="BV3" s="504"/>
      <c r="BW3" s="504"/>
      <c r="BX3" s="504"/>
      <c r="BY3" s="504"/>
      <c r="BZ3" s="504"/>
      <c r="CA3" s="504"/>
      <c r="CB3" s="504"/>
      <c r="CC3" s="504"/>
      <c r="CD3" s="504"/>
      <c r="CE3" s="504"/>
      <c r="CF3" s="504"/>
      <c r="CG3" s="504"/>
    </row>
    <row r="4" spans="1:86" s="133" customFormat="1" ht="11.45" customHeight="1" x14ac:dyDescent="0.2">
      <c r="A4" s="538" t="s">
        <v>419</v>
      </c>
      <c r="B4" s="538"/>
      <c r="C4" s="538"/>
      <c r="D4" s="538"/>
      <c r="E4" s="538"/>
      <c r="F4" s="538"/>
      <c r="G4" s="538"/>
      <c r="H4" s="132" t="s">
        <v>0</v>
      </c>
      <c r="I4" s="538" t="str">
        <f>IF('Data Entry'!N6="","",'Data Entry'!N6)</f>
        <v/>
      </c>
      <c r="J4" s="538"/>
      <c r="K4" s="538"/>
      <c r="L4" s="538"/>
      <c r="M4" s="538"/>
      <c r="N4" s="538"/>
      <c r="O4" s="538"/>
      <c r="P4" s="538"/>
      <c r="Q4" s="538"/>
      <c r="R4" s="538"/>
      <c r="S4" s="538"/>
      <c r="T4" s="538"/>
      <c r="U4" s="538"/>
      <c r="V4" s="538"/>
      <c r="W4" s="538"/>
      <c r="X4" s="538"/>
      <c r="Y4" s="538"/>
      <c r="Z4" s="538"/>
      <c r="AA4" s="538"/>
      <c r="AB4" s="538"/>
      <c r="AC4" s="538"/>
      <c r="AD4" s="538"/>
      <c r="AE4" s="538"/>
      <c r="AF4" s="538"/>
      <c r="AG4" s="538"/>
      <c r="AH4" s="538"/>
      <c r="AI4" s="504"/>
      <c r="AJ4" s="504"/>
      <c r="AK4" s="504"/>
      <c r="AL4" s="504"/>
      <c r="AM4" s="538" t="s">
        <v>2</v>
      </c>
      <c r="AN4" s="538"/>
      <c r="AO4" s="538"/>
      <c r="AP4" s="132" t="s">
        <v>0</v>
      </c>
      <c r="AQ4" s="539" t="str">
        <f>IF('Data Entry'!N10="","",'Data Entry'!N10)</f>
        <v/>
      </c>
      <c r="AR4" s="539"/>
      <c r="AS4" s="539"/>
      <c r="AT4" s="539"/>
      <c r="AU4" s="539"/>
      <c r="AV4" s="539"/>
      <c r="AW4" s="539"/>
      <c r="AX4" s="539"/>
      <c r="AY4" s="539"/>
      <c r="AZ4" s="539"/>
      <c r="BA4" s="539"/>
      <c r="BB4" s="539"/>
      <c r="BC4" s="539"/>
      <c r="BD4" s="539"/>
      <c r="BE4" s="539"/>
      <c r="BF4" s="539"/>
      <c r="BG4" s="539"/>
      <c r="BH4" s="539"/>
      <c r="BI4" s="504"/>
      <c r="BJ4" s="504"/>
      <c r="BK4" s="538" t="s">
        <v>25</v>
      </c>
      <c r="BL4" s="538"/>
      <c r="BM4" s="538"/>
      <c r="BN4" s="132" t="s">
        <v>0</v>
      </c>
      <c r="BO4" s="538" t="str">
        <f>IF('Data Entry'!N14="","",'Data Entry'!N14)</f>
        <v/>
      </c>
      <c r="BP4" s="538"/>
      <c r="BQ4" s="538"/>
      <c r="BR4" s="538"/>
      <c r="BS4" s="538"/>
      <c r="BT4" s="538"/>
      <c r="BU4" s="538"/>
      <c r="BV4" s="538"/>
      <c r="BW4" s="538"/>
      <c r="BX4" s="538"/>
      <c r="BY4" s="538"/>
      <c r="BZ4" s="538"/>
      <c r="CA4" s="538"/>
      <c r="CB4" s="538"/>
      <c r="CC4" s="538"/>
      <c r="CD4" s="538"/>
      <c r="CE4" s="538"/>
      <c r="CF4" s="504"/>
      <c r="CG4" s="504"/>
    </row>
    <row r="5" spans="1:86" s="133" customFormat="1" ht="11.45" customHeight="1" x14ac:dyDescent="0.2">
      <c r="A5" s="538" t="s">
        <v>420</v>
      </c>
      <c r="B5" s="538"/>
      <c r="C5" s="538"/>
      <c r="D5" s="538"/>
      <c r="E5" s="538"/>
      <c r="F5" s="538"/>
      <c r="G5" s="538"/>
      <c r="H5" s="132" t="s">
        <v>0</v>
      </c>
      <c r="I5" s="538" t="str">
        <f>IF('Data Entry'!N12="","",'Data Entry'!N12)</f>
        <v/>
      </c>
      <c r="J5" s="538"/>
      <c r="K5" s="538"/>
      <c r="L5" s="538"/>
      <c r="M5" s="538"/>
      <c r="N5" s="538"/>
      <c r="O5" s="538"/>
      <c r="P5" s="538"/>
      <c r="Q5" s="538"/>
      <c r="R5" s="538"/>
      <c r="S5" s="538"/>
      <c r="T5" s="538"/>
      <c r="U5" s="538"/>
      <c r="V5" s="538"/>
      <c r="W5" s="538"/>
      <c r="X5" s="538"/>
      <c r="Y5" s="538"/>
      <c r="Z5" s="538"/>
      <c r="AA5" s="538"/>
      <c r="AB5" s="538"/>
      <c r="AC5" s="538"/>
      <c r="AD5" s="538"/>
      <c r="AE5" s="538"/>
      <c r="AF5" s="538"/>
      <c r="AG5" s="538"/>
      <c r="AH5" s="538"/>
      <c r="AI5" s="504"/>
      <c r="AJ5" s="504"/>
      <c r="AK5" s="504"/>
      <c r="AL5" s="504"/>
      <c r="AM5" s="538" t="s">
        <v>124</v>
      </c>
      <c r="AN5" s="538"/>
      <c r="AO5" s="538"/>
      <c r="AP5" s="538"/>
      <c r="AQ5" s="538"/>
      <c r="AR5" s="538"/>
      <c r="AS5" s="538"/>
      <c r="AT5" s="132" t="s">
        <v>0</v>
      </c>
      <c r="AU5" s="538" t="str">
        <f>IF('Data Entry'!N26="","",'Data Entry'!N26)&amp;IF(OR('Data Entry'!N26="",'Data Entry'!N27=""),"","/")&amp; IF('Data Entry'!N27="","",'Data Entry'!N27)</f>
        <v>ANCHORAGE AREA/İSTANBUL</v>
      </c>
      <c r="AV5" s="538"/>
      <c r="AW5" s="538"/>
      <c r="AX5" s="538"/>
      <c r="AY5" s="538"/>
      <c r="AZ5" s="538"/>
      <c r="BA5" s="538"/>
      <c r="BB5" s="538"/>
      <c r="BC5" s="538"/>
      <c r="BD5" s="538"/>
      <c r="BE5" s="538"/>
      <c r="BF5" s="538"/>
      <c r="BG5" s="538"/>
      <c r="BH5" s="538"/>
      <c r="BI5" s="538"/>
      <c r="BJ5" s="538"/>
      <c r="BK5" s="538"/>
      <c r="BL5" s="538"/>
      <c r="BM5" s="538"/>
      <c r="BN5" s="538"/>
      <c r="BO5" s="538"/>
      <c r="BP5" s="538"/>
      <c r="BQ5" s="538"/>
      <c r="BR5" s="538"/>
      <c r="BS5" s="538"/>
      <c r="BT5" s="538"/>
      <c r="BU5" s="538"/>
      <c r="BV5" s="538"/>
      <c r="BW5" s="538"/>
      <c r="BX5" s="538"/>
      <c r="BY5" s="538"/>
      <c r="BZ5" s="538"/>
      <c r="CA5" s="538"/>
      <c r="CB5" s="538"/>
      <c r="CC5" s="538"/>
      <c r="CD5" s="538"/>
      <c r="CE5" s="538"/>
      <c r="CF5" s="504"/>
      <c r="CG5" s="504"/>
    </row>
    <row r="6" spans="1:86" ht="11.45" customHeight="1" x14ac:dyDescent="0.2">
      <c r="A6" s="528"/>
      <c r="B6" s="528"/>
      <c r="C6" s="528"/>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c r="AF6" s="528"/>
      <c r="AG6" s="528"/>
      <c r="AH6" s="528"/>
      <c r="AI6" s="528"/>
      <c r="AJ6" s="528"/>
      <c r="AK6" s="528"/>
      <c r="AL6" s="528"/>
      <c r="AM6" s="528"/>
      <c r="AN6" s="528"/>
      <c r="AO6" s="528"/>
      <c r="AP6" s="528"/>
      <c r="AQ6" s="528"/>
      <c r="AR6" s="528"/>
      <c r="AS6" s="528"/>
      <c r="AT6" s="528"/>
      <c r="AU6" s="528"/>
      <c r="AV6" s="528"/>
      <c r="AW6" s="528"/>
      <c r="AX6" s="528"/>
      <c r="AY6" s="528"/>
      <c r="AZ6" s="528"/>
      <c r="BA6" s="528"/>
      <c r="BB6" s="528"/>
      <c r="BC6" s="528"/>
      <c r="BD6" s="528"/>
      <c r="BE6" s="528"/>
      <c r="BF6" s="528"/>
      <c r="BG6" s="528"/>
      <c r="BH6" s="528"/>
      <c r="BI6" s="528"/>
      <c r="BJ6" s="528"/>
      <c r="BK6" s="528"/>
      <c r="BL6" s="528"/>
      <c r="BM6" s="528"/>
      <c r="BN6" s="528"/>
      <c r="BO6" s="528"/>
      <c r="BP6" s="528"/>
      <c r="BQ6" s="528"/>
      <c r="BR6" s="528"/>
      <c r="BS6" s="528"/>
      <c r="BT6" s="528"/>
      <c r="BU6" s="528"/>
      <c r="BV6" s="528"/>
      <c r="BW6" s="528"/>
      <c r="BX6" s="528"/>
      <c r="BY6" s="528"/>
      <c r="BZ6" s="528"/>
      <c r="CA6" s="528"/>
      <c r="CB6" s="528"/>
      <c r="CC6" s="528"/>
      <c r="CD6" s="528"/>
      <c r="CE6" s="528"/>
      <c r="CF6" s="528"/>
      <c r="CG6" s="528"/>
    </row>
    <row r="7" spans="1:86" ht="11.45" customHeight="1" thickBot="1" x14ac:dyDescent="0.25">
      <c r="A7" s="511"/>
      <c r="B7" s="511"/>
      <c r="C7" s="511"/>
      <c r="D7" s="511"/>
      <c r="E7" s="511"/>
      <c r="F7" s="511"/>
      <c r="G7" s="511"/>
      <c r="H7" s="511"/>
      <c r="I7" s="511"/>
      <c r="J7" s="511"/>
      <c r="K7" s="511"/>
      <c r="L7" s="511"/>
      <c r="M7" s="511"/>
      <c r="N7" s="511"/>
      <c r="O7" s="511"/>
      <c r="P7" s="511"/>
      <c r="Q7" s="511"/>
      <c r="R7" s="511"/>
      <c r="S7" s="511"/>
      <c r="T7" s="511"/>
      <c r="U7" s="511"/>
      <c r="V7" s="511"/>
      <c r="W7" s="511"/>
      <c r="X7" s="511"/>
      <c r="Y7" s="511"/>
      <c r="Z7" s="511"/>
      <c r="AA7" s="511"/>
      <c r="AB7" s="511"/>
      <c r="AC7" s="511"/>
      <c r="AD7" s="511"/>
      <c r="AE7" s="511"/>
      <c r="AF7" s="511"/>
      <c r="AG7" s="511"/>
      <c r="AH7" s="511"/>
      <c r="AI7" s="511"/>
      <c r="AJ7" s="511"/>
      <c r="AK7" s="511"/>
      <c r="AL7" s="511"/>
      <c r="AM7" s="511"/>
      <c r="AN7" s="511"/>
      <c r="AO7" s="511"/>
      <c r="AP7" s="511"/>
      <c r="AQ7" s="511"/>
      <c r="AR7" s="511"/>
      <c r="AS7" s="511"/>
      <c r="AT7" s="511"/>
      <c r="AU7" s="511"/>
      <c r="AV7" s="511"/>
      <c r="AW7" s="511"/>
      <c r="AX7" s="511"/>
      <c r="AY7" s="511"/>
      <c r="AZ7" s="511"/>
      <c r="BA7" s="511"/>
      <c r="BB7" s="511"/>
      <c r="BC7" s="511"/>
      <c r="BD7" s="511"/>
      <c r="BE7" s="511"/>
      <c r="BF7" s="511"/>
      <c r="BG7" s="511"/>
      <c r="BH7" s="511"/>
      <c r="BI7" s="511"/>
      <c r="BJ7" s="511"/>
      <c r="BK7" s="511"/>
      <c r="BL7" s="511"/>
      <c r="BM7" s="511"/>
      <c r="BN7" s="511"/>
      <c r="BO7" s="511"/>
      <c r="BP7" s="511"/>
      <c r="BQ7" s="511"/>
      <c r="BR7" s="511"/>
      <c r="BS7" s="511"/>
      <c r="BT7" s="511"/>
      <c r="BU7" s="511"/>
      <c r="BV7" s="511"/>
      <c r="BW7" s="511"/>
      <c r="BX7" s="511"/>
      <c r="BY7" s="511"/>
      <c r="BZ7" s="511"/>
      <c r="CA7" s="511"/>
      <c r="CB7" s="511"/>
      <c r="CC7" s="511"/>
      <c r="CD7" s="511"/>
      <c r="CE7" s="511"/>
      <c r="CF7" s="511"/>
      <c r="CG7" s="511"/>
    </row>
    <row r="8" spans="1:86" ht="11.45" customHeight="1" x14ac:dyDescent="0.2">
      <c r="A8" s="537" t="s">
        <v>487</v>
      </c>
      <c r="B8" s="537"/>
      <c r="C8" s="537"/>
      <c r="D8" s="537"/>
      <c r="E8" s="537"/>
      <c r="F8" s="537"/>
      <c r="G8" s="537"/>
      <c r="H8" s="537"/>
      <c r="I8" s="537"/>
      <c r="J8" s="537"/>
      <c r="K8" s="537"/>
      <c r="L8" s="537"/>
      <c r="M8" s="537"/>
      <c r="N8" s="537"/>
      <c r="O8" s="537"/>
      <c r="P8" s="537"/>
      <c r="Q8" s="537"/>
      <c r="R8" s="537"/>
      <c r="S8" s="537"/>
      <c r="T8" s="537"/>
      <c r="U8" s="537"/>
      <c r="V8" s="537"/>
      <c r="W8" s="537"/>
      <c r="X8" s="537"/>
      <c r="Y8" s="537"/>
      <c r="Z8" s="537"/>
      <c r="AA8" s="537"/>
      <c r="AB8" s="537"/>
      <c r="AC8" s="537"/>
      <c r="AD8" s="537"/>
      <c r="AE8" s="537"/>
      <c r="AF8" s="537"/>
      <c r="AG8" s="537"/>
      <c r="AH8" s="537"/>
      <c r="AI8" s="537"/>
      <c r="AJ8" s="537"/>
      <c r="AK8" s="537"/>
      <c r="AL8" s="537"/>
      <c r="AM8" s="537"/>
      <c r="AN8" s="537"/>
      <c r="AO8" s="537"/>
      <c r="AP8" s="537"/>
      <c r="AQ8" s="537"/>
      <c r="AR8" s="537"/>
      <c r="AS8" s="537"/>
      <c r="AT8" s="537"/>
      <c r="AU8" s="537"/>
      <c r="AV8" s="537"/>
      <c r="AW8" s="537"/>
      <c r="AX8" s="537"/>
      <c r="AY8" s="537"/>
      <c r="AZ8" s="537"/>
      <c r="BA8" s="537"/>
      <c r="BB8" s="537"/>
      <c r="BC8" s="537"/>
      <c r="BD8" s="537"/>
      <c r="BE8" s="537"/>
      <c r="BF8" s="537"/>
      <c r="BG8" s="537"/>
      <c r="BH8" s="537"/>
      <c r="BI8" s="537"/>
      <c r="BJ8" s="537"/>
      <c r="BK8" s="537"/>
      <c r="BL8" s="537"/>
      <c r="BM8" s="537"/>
      <c r="BN8" s="537"/>
      <c r="BO8" s="537"/>
      <c r="BP8" s="537"/>
      <c r="BQ8" s="537"/>
      <c r="BR8" s="537"/>
      <c r="BS8" s="537"/>
      <c r="BT8" s="537"/>
      <c r="BU8" s="537"/>
      <c r="BV8" s="537"/>
      <c r="BW8" s="537"/>
      <c r="BX8" s="537"/>
      <c r="BY8" s="537"/>
      <c r="BZ8" s="537"/>
      <c r="CA8" s="537"/>
      <c r="CB8" s="537"/>
      <c r="CC8" s="537"/>
      <c r="CD8" s="537"/>
      <c r="CE8" s="537"/>
      <c r="CF8" s="537"/>
      <c r="CG8" s="537"/>
    </row>
    <row r="9" spans="1:86" ht="11.45" customHeight="1" x14ac:dyDescent="0.2">
      <c r="A9" s="528"/>
      <c r="B9" s="528"/>
      <c r="C9" s="528"/>
      <c r="D9" s="528"/>
      <c r="E9" s="528"/>
      <c r="F9" s="528"/>
      <c r="G9" s="528"/>
      <c r="H9" s="528"/>
      <c r="I9" s="528"/>
      <c r="J9" s="528"/>
      <c r="K9" s="528"/>
      <c r="L9" s="528"/>
      <c r="M9" s="528"/>
      <c r="N9" s="528"/>
      <c r="O9" s="528"/>
      <c r="P9" s="528"/>
      <c r="Q9" s="528"/>
      <c r="R9" s="528"/>
      <c r="S9" s="528"/>
      <c r="T9" s="528"/>
      <c r="U9" s="528"/>
      <c r="V9" s="528"/>
      <c r="W9" s="528"/>
      <c r="X9" s="528"/>
      <c r="Y9" s="528"/>
      <c r="Z9" s="528"/>
      <c r="AA9" s="528"/>
      <c r="AB9" s="528"/>
      <c r="AC9" s="528"/>
      <c r="AD9" s="528"/>
      <c r="AE9" s="528"/>
      <c r="AF9" s="528"/>
      <c r="AG9" s="528"/>
      <c r="AH9" s="528"/>
      <c r="AI9" s="528"/>
      <c r="AJ9" s="528"/>
      <c r="AK9" s="528"/>
      <c r="AL9" s="528"/>
      <c r="AM9" s="528"/>
      <c r="AN9" s="528"/>
      <c r="AO9" s="528"/>
      <c r="AP9" s="528"/>
      <c r="AQ9" s="528"/>
      <c r="AR9" s="528"/>
      <c r="AS9" s="528"/>
      <c r="AT9" s="528"/>
      <c r="AU9" s="528"/>
      <c r="AV9" s="528"/>
      <c r="AW9" s="528"/>
      <c r="AX9" s="528"/>
      <c r="AY9" s="528"/>
      <c r="AZ9" s="528"/>
      <c r="BA9" s="528"/>
      <c r="BB9" s="528"/>
      <c r="BC9" s="528"/>
      <c r="BD9" s="528"/>
      <c r="BE9" s="528"/>
      <c r="BF9" s="528"/>
      <c r="BG9" s="528"/>
      <c r="BH9" s="528"/>
      <c r="BI9" s="528"/>
      <c r="BJ9" s="528"/>
      <c r="BK9" s="528"/>
      <c r="BL9" s="528"/>
      <c r="BM9" s="528"/>
      <c r="BN9" s="528"/>
      <c r="BO9" s="528"/>
      <c r="BP9" s="528"/>
      <c r="BQ9" s="528"/>
      <c r="BR9" s="528"/>
      <c r="BS9" s="528"/>
      <c r="BT9" s="528"/>
      <c r="BU9" s="528"/>
      <c r="BV9" s="528"/>
      <c r="BW9" s="528"/>
      <c r="BX9" s="528"/>
      <c r="BY9" s="528"/>
      <c r="BZ9" s="528"/>
      <c r="CA9" s="528"/>
      <c r="CB9" s="528"/>
      <c r="CC9" s="528"/>
      <c r="CD9" s="528"/>
      <c r="CE9" s="528"/>
      <c r="CF9" s="528"/>
      <c r="CG9" s="528"/>
    </row>
    <row r="10" spans="1:86" ht="11.45" customHeight="1" x14ac:dyDescent="0.2">
      <c r="A10" s="528"/>
      <c r="B10" s="528"/>
      <c r="C10" s="528"/>
      <c r="D10" s="528"/>
      <c r="E10" s="528"/>
      <c r="F10" s="528"/>
      <c r="G10" s="528"/>
      <c r="H10" s="528"/>
      <c r="I10" s="528"/>
      <c r="J10" s="528"/>
      <c r="K10" s="528"/>
      <c r="L10" s="528"/>
      <c r="M10" s="528"/>
      <c r="N10" s="528"/>
      <c r="O10" s="528"/>
      <c r="P10" s="528"/>
      <c r="Q10" s="528"/>
      <c r="R10" s="528"/>
      <c r="S10" s="528"/>
      <c r="T10" s="528"/>
      <c r="U10" s="528"/>
      <c r="V10" s="528"/>
      <c r="W10" s="528"/>
      <c r="X10" s="528"/>
      <c r="Y10" s="528"/>
      <c r="Z10" s="528"/>
      <c r="AA10" s="528"/>
      <c r="AB10" s="528"/>
      <c r="AC10" s="528"/>
      <c r="AD10" s="528"/>
      <c r="AE10" s="528"/>
      <c r="AF10" s="528"/>
      <c r="AG10" s="528"/>
      <c r="AH10" s="528"/>
      <c r="AI10" s="528"/>
      <c r="AJ10" s="528"/>
      <c r="AK10" s="528"/>
      <c r="AL10" s="528"/>
      <c r="AM10" s="528"/>
      <c r="AN10" s="528"/>
      <c r="AO10" s="528"/>
      <c r="AP10" s="528"/>
      <c r="AQ10" s="528"/>
      <c r="AR10" s="528"/>
      <c r="AS10" s="528"/>
      <c r="AT10" s="528"/>
      <c r="AU10" s="528"/>
      <c r="AV10" s="528"/>
      <c r="AW10" s="528"/>
      <c r="AX10" s="528"/>
      <c r="AY10" s="528"/>
      <c r="AZ10" s="528"/>
      <c r="BA10" s="528"/>
      <c r="BB10" s="528"/>
      <c r="BC10" s="528"/>
      <c r="BD10" s="528"/>
      <c r="BE10" s="528"/>
      <c r="BF10" s="528"/>
      <c r="BG10" s="528"/>
      <c r="BH10" s="528"/>
      <c r="BI10" s="528"/>
      <c r="BJ10" s="528"/>
      <c r="BK10" s="528"/>
      <c r="BL10" s="528"/>
      <c r="BM10" s="528"/>
      <c r="BN10" s="528"/>
      <c r="BO10" s="528"/>
      <c r="BP10" s="528"/>
      <c r="BQ10" s="528"/>
      <c r="BR10" s="528"/>
      <c r="BS10" s="528"/>
      <c r="BT10" s="528"/>
      <c r="BU10" s="528"/>
      <c r="BV10" s="528"/>
      <c r="BW10" s="528"/>
      <c r="BX10" s="528"/>
      <c r="BY10" s="528"/>
      <c r="BZ10" s="528"/>
      <c r="CA10" s="528"/>
      <c r="CB10" s="528"/>
      <c r="CC10" s="528"/>
      <c r="CD10" s="528"/>
      <c r="CE10" s="528"/>
      <c r="CF10" s="528"/>
      <c r="CG10" s="528"/>
    </row>
    <row r="11" spans="1:86" s="136" customFormat="1" ht="11.45" customHeight="1" x14ac:dyDescent="0.2">
      <c r="A11" s="529"/>
      <c r="B11" s="529"/>
      <c r="C11" s="529"/>
      <c r="D11" s="529"/>
      <c r="E11" s="529"/>
      <c r="F11" s="529"/>
      <c r="G11" s="529"/>
      <c r="H11" s="529"/>
      <c r="I11" s="529"/>
      <c r="J11" s="514" t="s">
        <v>181</v>
      </c>
      <c r="K11" s="514"/>
      <c r="L11" s="514"/>
      <c r="M11" s="514"/>
      <c r="N11" s="514"/>
      <c r="O11" s="514"/>
      <c r="P11" s="514"/>
      <c r="Q11" s="514"/>
      <c r="R11" s="514"/>
      <c r="S11" s="514"/>
      <c r="T11" s="514" t="s">
        <v>266</v>
      </c>
      <c r="U11" s="514"/>
      <c r="V11" s="514"/>
      <c r="W11" s="514"/>
      <c r="X11" s="514"/>
      <c r="Y11" s="514"/>
      <c r="Z11" s="514"/>
      <c r="AA11" s="514"/>
      <c r="AB11" s="514"/>
      <c r="AC11" s="514"/>
      <c r="AD11" s="514" t="s">
        <v>183</v>
      </c>
      <c r="AE11" s="514"/>
      <c r="AF11" s="514"/>
      <c r="AG11" s="514"/>
      <c r="AH11" s="514"/>
      <c r="AI11" s="514"/>
      <c r="AJ11" s="514"/>
      <c r="AK11" s="514"/>
      <c r="AL11" s="514"/>
      <c r="AM11" s="514"/>
      <c r="AN11" s="514" t="s">
        <v>182</v>
      </c>
      <c r="AO11" s="514"/>
      <c r="AP11" s="514"/>
      <c r="AQ11" s="514"/>
      <c r="AR11" s="514"/>
      <c r="AS11" s="514"/>
      <c r="AT11" s="514"/>
      <c r="AU11" s="514"/>
      <c r="AV11" s="514"/>
      <c r="AW11" s="514"/>
      <c r="AX11" s="514" t="s">
        <v>488</v>
      </c>
      <c r="AY11" s="514"/>
      <c r="AZ11" s="514"/>
      <c r="BA11" s="514"/>
      <c r="BB11" s="514"/>
      <c r="BC11" s="514"/>
      <c r="BD11" s="514"/>
      <c r="BE11" s="514"/>
      <c r="BF11" s="514"/>
      <c r="BG11" s="514"/>
      <c r="BH11" s="514"/>
      <c r="BI11" s="514"/>
      <c r="BJ11" s="514"/>
      <c r="BK11" s="514"/>
      <c r="BL11" s="514"/>
      <c r="BM11" s="514"/>
      <c r="BN11" s="514"/>
      <c r="BO11" s="514"/>
      <c r="BP11" s="514"/>
      <c r="BQ11" s="514"/>
      <c r="BR11" s="514"/>
      <c r="BS11" s="514"/>
      <c r="BT11" s="514"/>
      <c r="BU11" s="514"/>
      <c r="BV11" s="514"/>
      <c r="BW11" s="514"/>
      <c r="BX11" s="514"/>
      <c r="BY11" s="514" t="s">
        <v>489</v>
      </c>
      <c r="BZ11" s="514"/>
      <c r="CA11" s="514"/>
      <c r="CB11" s="514"/>
      <c r="CC11" s="514"/>
      <c r="CD11" s="514"/>
      <c r="CE11" s="514"/>
      <c r="CF11" s="514"/>
      <c r="CG11" s="514"/>
      <c r="CH11" s="135"/>
    </row>
    <row r="12" spans="1:86" s="136" customFormat="1" ht="11.45" customHeight="1" x14ac:dyDescent="0.2">
      <c r="A12" s="529"/>
      <c r="B12" s="529"/>
      <c r="C12" s="529"/>
      <c r="D12" s="529"/>
      <c r="E12" s="529"/>
      <c r="F12" s="529"/>
      <c r="G12" s="529"/>
      <c r="H12" s="529"/>
      <c r="I12" s="529"/>
      <c r="J12" s="514"/>
      <c r="K12" s="514"/>
      <c r="L12" s="514"/>
      <c r="M12" s="514"/>
      <c r="N12" s="514"/>
      <c r="O12" s="514"/>
      <c r="P12" s="514"/>
      <c r="Q12" s="514"/>
      <c r="R12" s="514"/>
      <c r="S12" s="514"/>
      <c r="T12" s="514"/>
      <c r="U12" s="514"/>
      <c r="V12" s="514"/>
      <c r="W12" s="514"/>
      <c r="X12" s="514"/>
      <c r="Y12" s="514"/>
      <c r="Z12" s="514"/>
      <c r="AA12" s="514"/>
      <c r="AB12" s="514"/>
      <c r="AC12" s="514"/>
      <c r="AD12" s="514"/>
      <c r="AE12" s="514"/>
      <c r="AF12" s="514"/>
      <c r="AG12" s="514"/>
      <c r="AH12" s="514"/>
      <c r="AI12" s="514"/>
      <c r="AJ12" s="514"/>
      <c r="AK12" s="514"/>
      <c r="AL12" s="514"/>
      <c r="AM12" s="514"/>
      <c r="AN12" s="514"/>
      <c r="AO12" s="514"/>
      <c r="AP12" s="514"/>
      <c r="AQ12" s="514"/>
      <c r="AR12" s="514"/>
      <c r="AS12" s="514"/>
      <c r="AT12" s="514"/>
      <c r="AU12" s="514"/>
      <c r="AV12" s="514"/>
      <c r="AW12" s="514"/>
      <c r="AX12" s="514" t="s">
        <v>490</v>
      </c>
      <c r="AY12" s="514"/>
      <c r="AZ12" s="514"/>
      <c r="BA12" s="514"/>
      <c r="BB12" s="514"/>
      <c r="BC12" s="514"/>
      <c r="BD12" s="514"/>
      <c r="BE12" s="514"/>
      <c r="BF12" s="514"/>
      <c r="BG12" s="514" t="s">
        <v>491</v>
      </c>
      <c r="BH12" s="514"/>
      <c r="BI12" s="514"/>
      <c r="BJ12" s="514"/>
      <c r="BK12" s="514"/>
      <c r="BL12" s="514"/>
      <c r="BM12" s="514"/>
      <c r="BN12" s="514"/>
      <c r="BO12" s="514"/>
      <c r="BP12" s="514" t="s">
        <v>492</v>
      </c>
      <c r="BQ12" s="514"/>
      <c r="BR12" s="514"/>
      <c r="BS12" s="514"/>
      <c r="BT12" s="514"/>
      <c r="BU12" s="514"/>
      <c r="BV12" s="514"/>
      <c r="BW12" s="514"/>
      <c r="BX12" s="514"/>
      <c r="BY12" s="514"/>
      <c r="BZ12" s="514"/>
      <c r="CA12" s="514"/>
      <c r="CB12" s="514"/>
      <c r="CC12" s="514"/>
      <c r="CD12" s="514"/>
      <c r="CE12" s="514"/>
      <c r="CF12" s="514"/>
      <c r="CG12" s="514"/>
      <c r="CH12" s="135"/>
    </row>
    <row r="13" spans="1:86" s="136" customFormat="1" ht="11.45" customHeight="1" x14ac:dyDescent="0.2">
      <c r="A13" s="514" t="s">
        <v>1</v>
      </c>
      <c r="B13" s="514"/>
      <c r="C13" s="514"/>
      <c r="D13" s="514"/>
      <c r="E13" s="514"/>
      <c r="F13" s="514"/>
      <c r="G13" s="514"/>
      <c r="H13" s="514"/>
      <c r="I13" s="514"/>
      <c r="J13" s="514" t="s">
        <v>579</v>
      </c>
      <c r="K13" s="514"/>
      <c r="L13" s="514"/>
      <c r="M13" s="514"/>
      <c r="N13" s="514"/>
      <c r="O13" s="514"/>
      <c r="P13" s="514"/>
      <c r="Q13" s="514"/>
      <c r="R13" s="514"/>
      <c r="S13" s="514"/>
      <c r="T13" s="514" t="s">
        <v>523</v>
      </c>
      <c r="U13" s="514"/>
      <c r="V13" s="514"/>
      <c r="W13" s="514"/>
      <c r="X13" s="514"/>
      <c r="Y13" s="514"/>
      <c r="Z13" s="514"/>
      <c r="AA13" s="514"/>
      <c r="AB13" s="514"/>
      <c r="AC13" s="514"/>
      <c r="AD13" s="514" t="s">
        <v>530</v>
      </c>
      <c r="AE13" s="514"/>
      <c r="AF13" s="514"/>
      <c r="AG13" s="514"/>
      <c r="AH13" s="514"/>
      <c r="AI13" s="514"/>
      <c r="AJ13" s="514"/>
      <c r="AK13" s="514"/>
      <c r="AL13" s="514"/>
      <c r="AM13" s="514"/>
      <c r="AN13" s="514" t="s">
        <v>522</v>
      </c>
      <c r="AO13" s="514"/>
      <c r="AP13" s="514"/>
      <c r="AQ13" s="514"/>
      <c r="AR13" s="514"/>
      <c r="AS13" s="514"/>
      <c r="AT13" s="514"/>
      <c r="AU13" s="514"/>
      <c r="AV13" s="514"/>
      <c r="AW13" s="514"/>
      <c r="AX13" s="514" t="s">
        <v>521</v>
      </c>
      <c r="AY13" s="514"/>
      <c r="AZ13" s="514"/>
      <c r="BA13" s="514"/>
      <c r="BB13" s="514"/>
      <c r="BC13" s="514"/>
      <c r="BD13" s="514"/>
      <c r="BE13" s="514"/>
      <c r="BF13" s="514"/>
      <c r="BG13" s="514" t="s">
        <v>521</v>
      </c>
      <c r="BH13" s="514"/>
      <c r="BI13" s="514"/>
      <c r="BJ13" s="514"/>
      <c r="BK13" s="514"/>
      <c r="BL13" s="514"/>
      <c r="BM13" s="514"/>
      <c r="BN13" s="514"/>
      <c r="BO13" s="514"/>
      <c r="BP13" s="514" t="s">
        <v>521</v>
      </c>
      <c r="BQ13" s="514"/>
      <c r="BR13" s="514"/>
      <c r="BS13" s="514"/>
      <c r="BT13" s="514"/>
      <c r="BU13" s="514"/>
      <c r="BV13" s="514"/>
      <c r="BW13" s="514"/>
      <c r="BX13" s="514"/>
      <c r="BY13" s="514">
        <v>4</v>
      </c>
      <c r="BZ13" s="514"/>
      <c r="CA13" s="514"/>
      <c r="CB13" s="514"/>
      <c r="CC13" s="514"/>
      <c r="CD13" s="514"/>
      <c r="CE13" s="514"/>
      <c r="CF13" s="514"/>
      <c r="CG13" s="514"/>
    </row>
    <row r="14" spans="1:86" s="136" customFormat="1" ht="11.45" customHeight="1" x14ac:dyDescent="0.2">
      <c r="A14" s="514"/>
      <c r="B14" s="514"/>
      <c r="C14" s="514"/>
      <c r="D14" s="514"/>
      <c r="E14" s="514"/>
      <c r="F14" s="514"/>
      <c r="G14" s="514"/>
      <c r="H14" s="514"/>
      <c r="I14" s="514"/>
      <c r="J14" s="514"/>
      <c r="K14" s="514"/>
      <c r="L14" s="514"/>
      <c r="M14" s="514"/>
      <c r="N14" s="514"/>
      <c r="O14" s="514"/>
      <c r="P14" s="514"/>
      <c r="Q14" s="514"/>
      <c r="R14" s="514"/>
      <c r="S14" s="514"/>
      <c r="T14" s="514"/>
      <c r="U14" s="514"/>
      <c r="V14" s="514"/>
      <c r="W14" s="514"/>
      <c r="X14" s="514"/>
      <c r="Y14" s="514"/>
      <c r="Z14" s="514"/>
      <c r="AA14" s="514"/>
      <c r="AB14" s="514"/>
      <c r="AC14" s="514"/>
      <c r="AD14" s="514"/>
      <c r="AE14" s="514"/>
      <c r="AF14" s="514"/>
      <c r="AG14" s="514"/>
      <c r="AH14" s="514"/>
      <c r="AI14" s="514"/>
      <c r="AJ14" s="514"/>
      <c r="AK14" s="514"/>
      <c r="AL14" s="514"/>
      <c r="AM14" s="514"/>
      <c r="AN14" s="514"/>
      <c r="AO14" s="514"/>
      <c r="AP14" s="514"/>
      <c r="AQ14" s="514"/>
      <c r="AR14" s="514"/>
      <c r="AS14" s="514"/>
      <c r="AT14" s="514"/>
      <c r="AU14" s="514"/>
      <c r="AV14" s="514"/>
      <c r="AW14" s="514"/>
      <c r="AX14" s="514"/>
      <c r="AY14" s="514"/>
      <c r="AZ14" s="514"/>
      <c r="BA14" s="514"/>
      <c r="BB14" s="514"/>
      <c r="BC14" s="514"/>
      <c r="BD14" s="514"/>
      <c r="BE14" s="514"/>
      <c r="BF14" s="514"/>
      <c r="BG14" s="514"/>
      <c r="BH14" s="514"/>
      <c r="BI14" s="514"/>
      <c r="BJ14" s="514"/>
      <c r="BK14" s="514"/>
      <c r="BL14" s="514"/>
      <c r="BM14" s="514"/>
      <c r="BN14" s="514"/>
      <c r="BO14" s="514"/>
      <c r="BP14" s="514"/>
      <c r="BQ14" s="514"/>
      <c r="BR14" s="514"/>
      <c r="BS14" s="514"/>
      <c r="BT14" s="514"/>
      <c r="BU14" s="514"/>
      <c r="BV14" s="514"/>
      <c r="BW14" s="514"/>
      <c r="BX14" s="514"/>
      <c r="BY14" s="514"/>
      <c r="BZ14" s="514"/>
      <c r="CA14" s="514"/>
      <c r="CB14" s="514"/>
      <c r="CC14" s="514"/>
      <c r="CD14" s="514"/>
      <c r="CE14" s="514"/>
      <c r="CF14" s="514"/>
      <c r="CG14" s="514"/>
    </row>
    <row r="15" spans="1:86" s="136" customFormat="1" ht="11.45" customHeight="1" x14ac:dyDescent="0.2">
      <c r="A15" s="514" t="s">
        <v>493</v>
      </c>
      <c r="B15" s="514"/>
      <c r="C15" s="514"/>
      <c r="D15" s="514"/>
      <c r="E15" s="514"/>
      <c r="F15" s="514"/>
      <c r="G15" s="514"/>
      <c r="H15" s="514"/>
      <c r="I15" s="514"/>
      <c r="J15" s="514" t="s">
        <v>580</v>
      </c>
      <c r="K15" s="514"/>
      <c r="L15" s="514"/>
      <c r="M15" s="514"/>
      <c r="N15" s="514"/>
      <c r="O15" s="514"/>
      <c r="P15" s="514"/>
      <c r="Q15" s="514"/>
      <c r="R15" s="514"/>
      <c r="S15" s="514"/>
      <c r="T15" s="514" t="s">
        <v>523</v>
      </c>
      <c r="U15" s="514"/>
      <c r="V15" s="514"/>
      <c r="W15" s="514"/>
      <c r="X15" s="514"/>
      <c r="Y15" s="514"/>
      <c r="Z15" s="514"/>
      <c r="AA15" s="514"/>
      <c r="AB15" s="514"/>
      <c r="AC15" s="514"/>
      <c r="AD15" s="531" t="s">
        <v>530</v>
      </c>
      <c r="AE15" s="532"/>
      <c r="AF15" s="532"/>
      <c r="AG15" s="532"/>
      <c r="AH15" s="532"/>
      <c r="AI15" s="532"/>
      <c r="AJ15" s="532"/>
      <c r="AK15" s="532"/>
      <c r="AL15" s="532"/>
      <c r="AM15" s="533"/>
      <c r="AN15" s="514" t="s">
        <v>531</v>
      </c>
      <c r="AO15" s="514"/>
      <c r="AP15" s="514"/>
      <c r="AQ15" s="514"/>
      <c r="AR15" s="514"/>
      <c r="AS15" s="514"/>
      <c r="AT15" s="514"/>
      <c r="AU15" s="514"/>
      <c r="AV15" s="514"/>
      <c r="AW15" s="514"/>
      <c r="AX15" s="514" t="s">
        <v>521</v>
      </c>
      <c r="AY15" s="514"/>
      <c r="AZ15" s="514"/>
      <c r="BA15" s="514"/>
      <c r="BB15" s="514"/>
      <c r="BC15" s="514"/>
      <c r="BD15" s="514"/>
      <c r="BE15" s="514"/>
      <c r="BF15" s="514"/>
      <c r="BG15" s="514" t="s">
        <v>521</v>
      </c>
      <c r="BH15" s="514"/>
      <c r="BI15" s="514"/>
      <c r="BJ15" s="514"/>
      <c r="BK15" s="514"/>
      <c r="BL15" s="514"/>
      <c r="BM15" s="514"/>
      <c r="BN15" s="514"/>
      <c r="BO15" s="514"/>
      <c r="BP15" s="514" t="s">
        <v>521</v>
      </c>
      <c r="BQ15" s="514"/>
      <c r="BR15" s="514"/>
      <c r="BS15" s="514"/>
      <c r="BT15" s="514"/>
      <c r="BU15" s="514"/>
      <c r="BV15" s="514"/>
      <c r="BW15" s="514"/>
      <c r="BX15" s="514"/>
      <c r="BY15" s="514">
        <v>4</v>
      </c>
      <c r="BZ15" s="514"/>
      <c r="CA15" s="514"/>
      <c r="CB15" s="514"/>
      <c r="CC15" s="514"/>
      <c r="CD15" s="514"/>
      <c r="CE15" s="514"/>
      <c r="CF15" s="514"/>
      <c r="CG15" s="514"/>
    </row>
    <row r="16" spans="1:86" s="136" customFormat="1" ht="11.45" customHeight="1" x14ac:dyDescent="0.2">
      <c r="A16" s="514"/>
      <c r="B16" s="514"/>
      <c r="C16" s="514"/>
      <c r="D16" s="514"/>
      <c r="E16" s="514"/>
      <c r="F16" s="514"/>
      <c r="G16" s="514"/>
      <c r="H16" s="514"/>
      <c r="I16" s="514"/>
      <c r="J16" s="514"/>
      <c r="K16" s="514"/>
      <c r="L16" s="514"/>
      <c r="M16" s="514"/>
      <c r="N16" s="514"/>
      <c r="O16" s="514"/>
      <c r="P16" s="514"/>
      <c r="Q16" s="514"/>
      <c r="R16" s="514"/>
      <c r="S16" s="514"/>
      <c r="T16" s="514"/>
      <c r="U16" s="514"/>
      <c r="V16" s="514"/>
      <c r="W16" s="514"/>
      <c r="X16" s="514"/>
      <c r="Y16" s="514"/>
      <c r="Z16" s="514"/>
      <c r="AA16" s="514"/>
      <c r="AB16" s="514"/>
      <c r="AC16" s="514"/>
      <c r="AD16" s="534"/>
      <c r="AE16" s="535"/>
      <c r="AF16" s="535"/>
      <c r="AG16" s="535"/>
      <c r="AH16" s="535"/>
      <c r="AI16" s="535"/>
      <c r="AJ16" s="535"/>
      <c r="AK16" s="535"/>
      <c r="AL16" s="535"/>
      <c r="AM16" s="536"/>
      <c r="AN16" s="514"/>
      <c r="AO16" s="514"/>
      <c r="AP16" s="514"/>
      <c r="AQ16" s="514"/>
      <c r="AR16" s="514"/>
      <c r="AS16" s="514"/>
      <c r="AT16" s="514"/>
      <c r="AU16" s="514"/>
      <c r="AV16" s="514"/>
      <c r="AW16" s="514"/>
      <c r="AX16" s="514"/>
      <c r="AY16" s="514"/>
      <c r="AZ16" s="514"/>
      <c r="BA16" s="514"/>
      <c r="BB16" s="514"/>
      <c r="BC16" s="514"/>
      <c r="BD16" s="514"/>
      <c r="BE16" s="514"/>
      <c r="BF16" s="514"/>
      <c r="BG16" s="514"/>
      <c r="BH16" s="514"/>
      <c r="BI16" s="514"/>
      <c r="BJ16" s="514"/>
      <c r="BK16" s="514"/>
      <c r="BL16" s="514"/>
      <c r="BM16" s="514"/>
      <c r="BN16" s="514"/>
      <c r="BO16" s="514"/>
      <c r="BP16" s="514"/>
      <c r="BQ16" s="514"/>
      <c r="BR16" s="514"/>
      <c r="BS16" s="514"/>
      <c r="BT16" s="514"/>
      <c r="BU16" s="514"/>
      <c r="BV16" s="514"/>
      <c r="BW16" s="514"/>
      <c r="BX16" s="514"/>
      <c r="BY16" s="514"/>
      <c r="BZ16" s="514"/>
      <c r="CA16" s="514"/>
      <c r="CB16" s="514"/>
      <c r="CC16" s="514"/>
      <c r="CD16" s="514"/>
      <c r="CE16" s="514"/>
      <c r="CF16" s="514"/>
      <c r="CG16" s="514"/>
    </row>
    <row r="17" spans="1:85" ht="11.45" customHeight="1" x14ac:dyDescent="0.2">
      <c r="A17" s="510"/>
      <c r="B17" s="510"/>
      <c r="C17" s="510"/>
      <c r="D17" s="510"/>
      <c r="E17" s="510"/>
      <c r="F17" s="510"/>
      <c r="G17" s="510"/>
      <c r="H17" s="510"/>
      <c r="I17" s="510"/>
      <c r="J17" s="510"/>
      <c r="K17" s="510"/>
      <c r="L17" s="510"/>
      <c r="M17" s="510"/>
      <c r="N17" s="510"/>
      <c r="O17" s="510"/>
      <c r="P17" s="510"/>
      <c r="Q17" s="510"/>
      <c r="R17" s="510"/>
      <c r="S17" s="510"/>
      <c r="T17" s="510"/>
      <c r="U17" s="510"/>
      <c r="V17" s="510"/>
      <c r="W17" s="510"/>
      <c r="X17" s="510"/>
      <c r="Y17" s="510"/>
      <c r="Z17" s="510"/>
      <c r="AA17" s="510"/>
      <c r="AB17" s="510"/>
      <c r="AC17" s="510"/>
      <c r="AD17" s="510"/>
      <c r="AE17" s="510"/>
      <c r="AF17" s="510"/>
      <c r="AG17" s="510"/>
      <c r="AH17" s="510"/>
      <c r="AI17" s="510"/>
      <c r="AJ17" s="510"/>
      <c r="AK17" s="510"/>
      <c r="AL17" s="510"/>
      <c r="AM17" s="510"/>
      <c r="AN17" s="510"/>
      <c r="AO17" s="510"/>
      <c r="AP17" s="510"/>
      <c r="AQ17" s="510"/>
      <c r="AR17" s="510"/>
      <c r="AS17" s="510"/>
      <c r="AT17" s="510"/>
      <c r="AU17" s="510"/>
      <c r="AV17" s="510"/>
      <c r="AW17" s="510"/>
      <c r="AX17" s="510"/>
      <c r="AY17" s="510"/>
      <c r="AZ17" s="510"/>
      <c r="BA17" s="510"/>
      <c r="BB17" s="510"/>
      <c r="BC17" s="510"/>
      <c r="BD17" s="510"/>
      <c r="BE17" s="510"/>
      <c r="BF17" s="510"/>
      <c r="BG17" s="510"/>
      <c r="BH17" s="510"/>
      <c r="BI17" s="510"/>
      <c r="BJ17" s="510"/>
      <c r="BK17" s="510"/>
      <c r="BL17" s="510"/>
      <c r="BM17" s="510"/>
      <c r="BN17" s="510"/>
      <c r="BO17" s="510"/>
      <c r="BP17" s="510"/>
      <c r="BQ17" s="510"/>
      <c r="BR17" s="510"/>
      <c r="BS17" s="510"/>
      <c r="BT17" s="510"/>
      <c r="BU17" s="510"/>
      <c r="BV17" s="510"/>
      <c r="BW17" s="510"/>
      <c r="BX17" s="510"/>
      <c r="BY17" s="510"/>
      <c r="BZ17" s="510"/>
      <c r="CA17" s="510"/>
      <c r="CB17" s="510"/>
      <c r="CC17" s="510"/>
      <c r="CD17" s="510"/>
      <c r="CE17" s="510"/>
      <c r="CF17" s="510"/>
      <c r="CG17" s="510"/>
    </row>
    <row r="18" spans="1:85" s="136" customFormat="1" ht="11.45" customHeight="1" thickBot="1" x14ac:dyDescent="0.25">
      <c r="A18" s="511"/>
      <c r="B18" s="511"/>
      <c r="C18" s="511"/>
      <c r="D18" s="511"/>
      <c r="E18" s="511"/>
      <c r="F18" s="511"/>
      <c r="G18" s="511"/>
      <c r="H18" s="511"/>
      <c r="I18" s="511"/>
      <c r="J18" s="511"/>
      <c r="K18" s="511"/>
      <c r="L18" s="511"/>
      <c r="M18" s="511"/>
      <c r="N18" s="511"/>
      <c r="O18" s="511"/>
      <c r="P18" s="511"/>
      <c r="Q18" s="511"/>
      <c r="R18" s="511"/>
      <c r="S18" s="511"/>
      <c r="T18" s="511"/>
      <c r="U18" s="511"/>
      <c r="V18" s="511"/>
      <c r="W18" s="511"/>
      <c r="X18" s="511"/>
      <c r="Y18" s="511"/>
      <c r="Z18" s="511"/>
      <c r="AA18" s="511"/>
      <c r="AB18" s="511"/>
      <c r="AC18" s="511"/>
      <c r="AD18" s="511"/>
      <c r="AE18" s="511"/>
      <c r="AF18" s="511"/>
      <c r="AG18" s="511"/>
      <c r="AH18" s="511"/>
      <c r="AI18" s="511"/>
      <c r="AJ18" s="511"/>
      <c r="AK18" s="511"/>
      <c r="AL18" s="511"/>
      <c r="AM18" s="511"/>
      <c r="AN18" s="511"/>
      <c r="AO18" s="511"/>
      <c r="AP18" s="511"/>
      <c r="AQ18" s="511"/>
      <c r="AR18" s="511"/>
      <c r="AS18" s="511"/>
      <c r="AT18" s="511"/>
      <c r="AU18" s="511"/>
      <c r="AV18" s="511"/>
      <c r="AW18" s="511"/>
      <c r="AX18" s="511"/>
      <c r="AY18" s="511"/>
      <c r="AZ18" s="511"/>
      <c r="BA18" s="511"/>
      <c r="BB18" s="511"/>
      <c r="BC18" s="511"/>
      <c r="BD18" s="511"/>
      <c r="BE18" s="511"/>
      <c r="BF18" s="511"/>
      <c r="BG18" s="511"/>
      <c r="BH18" s="511"/>
      <c r="BI18" s="511"/>
      <c r="BJ18" s="511"/>
      <c r="BK18" s="511"/>
      <c r="BL18" s="511"/>
      <c r="BM18" s="511"/>
      <c r="BN18" s="511"/>
      <c r="BO18" s="511"/>
      <c r="BP18" s="511"/>
      <c r="BQ18" s="511"/>
      <c r="BR18" s="511"/>
      <c r="BS18" s="511"/>
      <c r="BT18" s="511"/>
      <c r="BU18" s="511"/>
      <c r="BV18" s="511"/>
      <c r="BW18" s="511"/>
      <c r="BX18" s="511"/>
      <c r="BY18" s="511"/>
      <c r="BZ18" s="511"/>
      <c r="CA18" s="511"/>
      <c r="CB18" s="511"/>
      <c r="CC18" s="511"/>
      <c r="CD18" s="511"/>
      <c r="CE18" s="511"/>
      <c r="CF18" s="511"/>
      <c r="CG18" s="511"/>
    </row>
    <row r="19" spans="1:85" s="136" customFormat="1" ht="11.45" customHeight="1" x14ac:dyDescent="0.2">
      <c r="A19" s="527" t="s">
        <v>494</v>
      </c>
      <c r="B19" s="527"/>
      <c r="C19" s="527"/>
      <c r="D19" s="527"/>
      <c r="E19" s="527"/>
      <c r="F19" s="527"/>
      <c r="G19" s="527"/>
      <c r="H19" s="527"/>
      <c r="I19" s="527"/>
      <c r="J19" s="527"/>
      <c r="K19" s="527"/>
      <c r="L19" s="527"/>
      <c r="M19" s="527"/>
      <c r="N19" s="527"/>
      <c r="O19" s="527"/>
      <c r="P19" s="527"/>
      <c r="Q19" s="527"/>
      <c r="R19" s="527"/>
      <c r="S19" s="527"/>
      <c r="T19" s="527"/>
      <c r="U19" s="527"/>
      <c r="V19" s="527"/>
      <c r="W19" s="527"/>
      <c r="X19" s="527"/>
      <c r="Y19" s="527"/>
      <c r="Z19" s="527"/>
      <c r="AA19" s="527"/>
      <c r="AB19" s="527"/>
      <c r="AC19" s="527"/>
      <c r="AD19" s="527"/>
      <c r="AE19" s="527"/>
      <c r="AF19" s="527"/>
      <c r="AG19" s="527"/>
      <c r="AH19" s="527"/>
      <c r="AI19" s="527"/>
      <c r="AJ19" s="527"/>
      <c r="AK19" s="527"/>
      <c r="AL19" s="527"/>
      <c r="AM19" s="527"/>
      <c r="AN19" s="527"/>
      <c r="AO19" s="527"/>
      <c r="AP19" s="527"/>
      <c r="AQ19" s="527"/>
      <c r="AR19" s="527"/>
      <c r="AS19" s="527"/>
      <c r="AT19" s="527"/>
      <c r="AU19" s="527"/>
      <c r="AV19" s="527"/>
      <c r="AW19" s="527"/>
      <c r="AX19" s="527"/>
      <c r="AY19" s="527"/>
      <c r="AZ19" s="527"/>
      <c r="BA19" s="527"/>
      <c r="BB19" s="527"/>
      <c r="BC19" s="527"/>
      <c r="BD19" s="527"/>
      <c r="BE19" s="527"/>
      <c r="BF19" s="527"/>
      <c r="BG19" s="527"/>
      <c r="BH19" s="527"/>
      <c r="BI19" s="527"/>
      <c r="BJ19" s="527"/>
      <c r="BK19" s="527"/>
      <c r="BL19" s="527"/>
      <c r="BM19" s="527"/>
      <c r="BN19" s="527"/>
      <c r="BO19" s="527"/>
      <c r="BP19" s="527"/>
      <c r="BQ19" s="527"/>
      <c r="BR19" s="527"/>
      <c r="BS19" s="527"/>
      <c r="BT19" s="527"/>
      <c r="BU19" s="527"/>
      <c r="BV19" s="527"/>
      <c r="BW19" s="527"/>
      <c r="BX19" s="527"/>
      <c r="BY19" s="527"/>
      <c r="BZ19" s="527"/>
      <c r="CA19" s="527"/>
      <c r="CB19" s="527"/>
      <c r="CC19" s="527"/>
      <c r="CD19" s="527"/>
      <c r="CE19" s="527"/>
      <c r="CF19" s="527"/>
      <c r="CG19" s="527"/>
    </row>
    <row r="20" spans="1:85" ht="11.45" customHeight="1" x14ac:dyDescent="0.2">
      <c r="A20" s="528"/>
      <c r="B20" s="528"/>
      <c r="C20" s="528"/>
      <c r="D20" s="528"/>
      <c r="E20" s="528"/>
      <c r="F20" s="528"/>
      <c r="G20" s="528"/>
      <c r="H20" s="528"/>
      <c r="I20" s="528"/>
      <c r="J20" s="528"/>
      <c r="K20" s="528"/>
      <c r="L20" s="528"/>
      <c r="M20" s="528"/>
      <c r="N20" s="528"/>
      <c r="O20" s="528"/>
      <c r="P20" s="528"/>
      <c r="Q20" s="528"/>
      <c r="R20" s="528"/>
      <c r="S20" s="528"/>
      <c r="T20" s="528"/>
      <c r="U20" s="528"/>
      <c r="V20" s="528"/>
      <c r="W20" s="528"/>
      <c r="X20" s="528"/>
      <c r="Y20" s="528"/>
      <c r="Z20" s="528"/>
      <c r="AA20" s="528"/>
      <c r="AB20" s="528"/>
      <c r="AC20" s="528"/>
      <c r="AD20" s="528"/>
      <c r="AE20" s="528"/>
      <c r="AF20" s="528"/>
      <c r="AG20" s="528"/>
      <c r="AH20" s="528"/>
      <c r="AI20" s="528"/>
      <c r="AJ20" s="528"/>
      <c r="AK20" s="528"/>
      <c r="AL20" s="528"/>
      <c r="AM20" s="528"/>
      <c r="AN20" s="528"/>
      <c r="AO20" s="528"/>
      <c r="AP20" s="528"/>
      <c r="AQ20" s="528"/>
      <c r="AR20" s="528"/>
      <c r="AS20" s="528"/>
      <c r="AT20" s="528"/>
      <c r="AU20" s="528"/>
      <c r="AV20" s="528"/>
      <c r="AW20" s="528"/>
      <c r="AX20" s="528"/>
      <c r="AY20" s="528"/>
      <c r="AZ20" s="528"/>
      <c r="BA20" s="528"/>
      <c r="BB20" s="528"/>
      <c r="BC20" s="528"/>
      <c r="BD20" s="528"/>
      <c r="BE20" s="528"/>
      <c r="BF20" s="528"/>
      <c r="BG20" s="528"/>
      <c r="BH20" s="528"/>
      <c r="BI20" s="528"/>
      <c r="BJ20" s="528"/>
      <c r="BK20" s="528"/>
      <c r="BL20" s="528"/>
      <c r="BM20" s="528"/>
      <c r="BN20" s="528"/>
      <c r="BO20" s="528"/>
      <c r="BP20" s="528"/>
      <c r="BQ20" s="528"/>
      <c r="BR20" s="528"/>
      <c r="BS20" s="528"/>
      <c r="BT20" s="528"/>
      <c r="BU20" s="528"/>
      <c r="BV20" s="528"/>
      <c r="BW20" s="528"/>
      <c r="BX20" s="528"/>
      <c r="BY20" s="528"/>
      <c r="BZ20" s="528"/>
      <c r="CA20" s="528"/>
      <c r="CB20" s="528"/>
      <c r="CC20" s="528"/>
      <c r="CD20" s="528"/>
      <c r="CE20" s="528"/>
      <c r="CF20" s="528"/>
      <c r="CG20" s="528"/>
    </row>
    <row r="21" spans="1:85" s="136" customFormat="1" ht="11.45" customHeight="1" x14ac:dyDescent="0.2">
      <c r="A21" s="528"/>
      <c r="B21" s="528"/>
      <c r="C21" s="528"/>
      <c r="D21" s="528"/>
      <c r="E21" s="528"/>
      <c r="F21" s="528"/>
      <c r="G21" s="528"/>
      <c r="H21" s="528"/>
      <c r="I21" s="528"/>
      <c r="J21" s="528"/>
      <c r="K21" s="528"/>
      <c r="L21" s="528"/>
      <c r="M21" s="528"/>
      <c r="N21" s="528"/>
      <c r="O21" s="528"/>
      <c r="P21" s="528"/>
      <c r="Q21" s="528"/>
      <c r="R21" s="528"/>
      <c r="S21" s="528"/>
      <c r="T21" s="528"/>
      <c r="U21" s="528"/>
      <c r="V21" s="528"/>
      <c r="W21" s="528"/>
      <c r="X21" s="528"/>
      <c r="Y21" s="528"/>
      <c r="Z21" s="528"/>
      <c r="AA21" s="528"/>
      <c r="AB21" s="528"/>
      <c r="AC21" s="528"/>
      <c r="AD21" s="528"/>
      <c r="AE21" s="528"/>
      <c r="AF21" s="528"/>
      <c r="AG21" s="528"/>
      <c r="AH21" s="528"/>
      <c r="AI21" s="528"/>
      <c r="AJ21" s="528"/>
      <c r="AK21" s="528"/>
      <c r="AL21" s="528"/>
      <c r="AM21" s="528"/>
      <c r="AN21" s="528"/>
      <c r="AO21" s="528"/>
      <c r="AP21" s="528"/>
      <c r="AQ21" s="528"/>
      <c r="AR21" s="528"/>
      <c r="AS21" s="528"/>
      <c r="AT21" s="528"/>
      <c r="AU21" s="528"/>
      <c r="AV21" s="528"/>
      <c r="AW21" s="528"/>
      <c r="AX21" s="528"/>
      <c r="AY21" s="528"/>
      <c r="AZ21" s="528"/>
      <c r="BA21" s="528"/>
      <c r="BB21" s="528"/>
      <c r="BC21" s="528"/>
      <c r="BD21" s="528"/>
      <c r="BE21" s="528"/>
      <c r="BF21" s="528"/>
      <c r="BG21" s="528"/>
      <c r="BH21" s="528"/>
      <c r="BI21" s="528"/>
      <c r="BJ21" s="528"/>
      <c r="BK21" s="528"/>
      <c r="BL21" s="528"/>
      <c r="BM21" s="528"/>
      <c r="BN21" s="528"/>
      <c r="BO21" s="528"/>
      <c r="BP21" s="528"/>
      <c r="BQ21" s="528"/>
      <c r="BR21" s="528"/>
      <c r="BS21" s="528"/>
      <c r="BT21" s="528"/>
      <c r="BU21" s="528"/>
      <c r="BV21" s="528"/>
      <c r="BW21" s="528"/>
      <c r="BX21" s="528"/>
      <c r="BY21" s="528"/>
      <c r="BZ21" s="528"/>
      <c r="CA21" s="528"/>
      <c r="CB21" s="528"/>
      <c r="CC21" s="528"/>
      <c r="CD21" s="528"/>
      <c r="CE21" s="528"/>
      <c r="CF21" s="528"/>
      <c r="CG21" s="528"/>
    </row>
    <row r="22" spans="1:85" s="136" customFormat="1" ht="11.45" customHeight="1" x14ac:dyDescent="0.2">
      <c r="A22" s="529"/>
      <c r="B22" s="529"/>
      <c r="C22" s="529"/>
      <c r="D22" s="529"/>
      <c r="E22" s="529"/>
      <c r="F22" s="529"/>
      <c r="G22" s="529"/>
      <c r="H22" s="529"/>
      <c r="I22" s="529"/>
      <c r="J22" s="523" t="s">
        <v>495</v>
      </c>
      <c r="K22" s="523"/>
      <c r="L22" s="523"/>
      <c r="M22" s="523"/>
      <c r="N22" s="523"/>
      <c r="O22" s="523"/>
      <c r="P22" s="523"/>
      <c r="Q22" s="523"/>
      <c r="R22" s="523"/>
      <c r="S22" s="523"/>
      <c r="T22" s="523"/>
      <c r="U22" s="523" t="s">
        <v>496</v>
      </c>
      <c r="V22" s="523"/>
      <c r="W22" s="523"/>
      <c r="X22" s="523"/>
      <c r="Y22" s="523"/>
      <c r="Z22" s="523"/>
      <c r="AA22" s="523"/>
      <c r="AB22" s="523"/>
      <c r="AC22" s="523"/>
      <c r="AD22" s="523"/>
      <c r="AE22" s="523"/>
      <c r="AF22" s="523" t="s">
        <v>497</v>
      </c>
      <c r="AG22" s="523"/>
      <c r="AH22" s="523"/>
      <c r="AI22" s="523"/>
      <c r="AJ22" s="523"/>
      <c r="AK22" s="523"/>
      <c r="AL22" s="523"/>
      <c r="AM22" s="523"/>
      <c r="AN22" s="523"/>
      <c r="AO22" s="523"/>
      <c r="AP22" s="523"/>
      <c r="AQ22" s="523" t="s">
        <v>498</v>
      </c>
      <c r="AR22" s="523"/>
      <c r="AS22" s="523"/>
      <c r="AT22" s="523"/>
      <c r="AU22" s="523"/>
      <c r="AV22" s="523"/>
      <c r="AW22" s="523"/>
      <c r="AX22" s="523"/>
      <c r="AY22" s="523"/>
      <c r="AZ22" s="523"/>
      <c r="BA22" s="523"/>
      <c r="BB22" s="523" t="s">
        <v>499</v>
      </c>
      <c r="BC22" s="523"/>
      <c r="BD22" s="523"/>
      <c r="BE22" s="523"/>
      <c r="BF22" s="523"/>
      <c r="BG22" s="523"/>
      <c r="BH22" s="523"/>
      <c r="BI22" s="523"/>
      <c r="BJ22" s="523"/>
      <c r="BK22" s="523"/>
      <c r="BL22" s="523"/>
      <c r="BM22" s="523" t="s">
        <v>500</v>
      </c>
      <c r="BN22" s="523"/>
      <c r="BO22" s="523"/>
      <c r="BP22" s="523"/>
      <c r="BQ22" s="523"/>
      <c r="BR22" s="523"/>
      <c r="BS22" s="523"/>
      <c r="BT22" s="523"/>
      <c r="BU22" s="523"/>
      <c r="BV22" s="523"/>
      <c r="BW22" s="523"/>
      <c r="BX22" s="523" t="s">
        <v>282</v>
      </c>
      <c r="BY22" s="523"/>
      <c r="BZ22" s="523"/>
      <c r="CA22" s="523"/>
      <c r="CB22" s="523"/>
      <c r="CC22" s="523"/>
      <c r="CD22" s="523"/>
      <c r="CE22" s="523"/>
      <c r="CF22" s="523"/>
      <c r="CG22" s="523"/>
    </row>
    <row r="23" spans="1:85" ht="11.45" customHeight="1" x14ac:dyDescent="0.2">
      <c r="A23" s="529"/>
      <c r="B23" s="529"/>
      <c r="C23" s="529"/>
      <c r="D23" s="529"/>
      <c r="E23" s="529"/>
      <c r="F23" s="529"/>
      <c r="G23" s="529"/>
      <c r="H23" s="529"/>
      <c r="I23" s="529"/>
      <c r="J23" s="523"/>
      <c r="K23" s="523"/>
      <c r="L23" s="523"/>
      <c r="M23" s="523"/>
      <c r="N23" s="523"/>
      <c r="O23" s="523"/>
      <c r="P23" s="523"/>
      <c r="Q23" s="523"/>
      <c r="R23" s="523"/>
      <c r="S23" s="523"/>
      <c r="T23" s="523"/>
      <c r="U23" s="523"/>
      <c r="V23" s="523"/>
      <c r="W23" s="523"/>
      <c r="X23" s="523"/>
      <c r="Y23" s="523"/>
      <c r="Z23" s="523"/>
      <c r="AA23" s="523"/>
      <c r="AB23" s="523"/>
      <c r="AC23" s="523"/>
      <c r="AD23" s="523"/>
      <c r="AE23" s="523"/>
      <c r="AF23" s="523"/>
      <c r="AG23" s="523"/>
      <c r="AH23" s="523"/>
      <c r="AI23" s="523"/>
      <c r="AJ23" s="523"/>
      <c r="AK23" s="523"/>
      <c r="AL23" s="523"/>
      <c r="AM23" s="523"/>
      <c r="AN23" s="523"/>
      <c r="AO23" s="523"/>
      <c r="AP23" s="523"/>
      <c r="AQ23" s="523"/>
      <c r="AR23" s="523"/>
      <c r="AS23" s="523"/>
      <c r="AT23" s="523"/>
      <c r="AU23" s="523"/>
      <c r="AV23" s="523"/>
      <c r="AW23" s="523"/>
      <c r="AX23" s="523"/>
      <c r="AY23" s="523"/>
      <c r="AZ23" s="523"/>
      <c r="BA23" s="523"/>
      <c r="BB23" s="523"/>
      <c r="BC23" s="523"/>
      <c r="BD23" s="523"/>
      <c r="BE23" s="523"/>
      <c r="BF23" s="523"/>
      <c r="BG23" s="523"/>
      <c r="BH23" s="523"/>
      <c r="BI23" s="523"/>
      <c r="BJ23" s="523"/>
      <c r="BK23" s="523"/>
      <c r="BL23" s="523"/>
      <c r="BM23" s="523"/>
      <c r="BN23" s="523"/>
      <c r="BO23" s="523"/>
      <c r="BP23" s="523"/>
      <c r="BQ23" s="523"/>
      <c r="BR23" s="523"/>
      <c r="BS23" s="523"/>
      <c r="BT23" s="523"/>
      <c r="BU23" s="523"/>
      <c r="BV23" s="523"/>
      <c r="BW23" s="523"/>
      <c r="BX23" s="523"/>
      <c r="BY23" s="523"/>
      <c r="BZ23" s="523"/>
      <c r="CA23" s="523"/>
      <c r="CB23" s="523"/>
      <c r="CC23" s="523"/>
      <c r="CD23" s="523"/>
      <c r="CE23" s="523"/>
      <c r="CF23" s="523"/>
      <c r="CG23" s="523"/>
    </row>
    <row r="24" spans="1:85" ht="15" customHeight="1" x14ac:dyDescent="0.2">
      <c r="A24" s="514" t="s">
        <v>1</v>
      </c>
      <c r="B24" s="514"/>
      <c r="C24" s="514"/>
      <c r="D24" s="514"/>
      <c r="E24" s="514" t="s">
        <v>267</v>
      </c>
      <c r="F24" s="514"/>
      <c r="G24" s="514"/>
      <c r="H24" s="514"/>
      <c r="I24" s="514"/>
      <c r="J24" s="524"/>
      <c r="K24" s="525"/>
      <c r="L24" s="525"/>
      <c r="M24" s="525"/>
      <c r="N24" s="525"/>
      <c r="O24" s="525"/>
      <c r="P24" s="525"/>
      <c r="Q24" s="525"/>
      <c r="R24" s="525"/>
      <c r="S24" s="525"/>
      <c r="T24" s="525"/>
      <c r="U24" s="524"/>
      <c r="V24" s="525"/>
      <c r="W24" s="525"/>
      <c r="X24" s="525"/>
      <c r="Y24" s="525"/>
      <c r="Z24" s="525"/>
      <c r="AA24" s="525"/>
      <c r="AB24" s="525"/>
      <c r="AC24" s="525"/>
      <c r="AD24" s="525"/>
      <c r="AE24" s="526"/>
      <c r="AF24" s="524" t="s">
        <v>585</v>
      </c>
      <c r="AG24" s="525"/>
      <c r="AH24" s="525"/>
      <c r="AI24" s="525"/>
      <c r="AJ24" s="525"/>
      <c r="AK24" s="525"/>
      <c r="AL24" s="525"/>
      <c r="AM24" s="525"/>
      <c r="AN24" s="525"/>
      <c r="AO24" s="525"/>
      <c r="AP24" s="526"/>
      <c r="AQ24" s="524"/>
      <c r="AR24" s="525"/>
      <c r="AS24" s="525"/>
      <c r="AT24" s="525"/>
      <c r="AU24" s="525"/>
      <c r="AV24" s="525"/>
      <c r="AW24" s="525"/>
      <c r="AX24" s="525"/>
      <c r="AY24" s="525"/>
      <c r="AZ24" s="525"/>
      <c r="BA24" s="526"/>
      <c r="BB24" s="524" t="s">
        <v>586</v>
      </c>
      <c r="BC24" s="525"/>
      <c r="BD24" s="525"/>
      <c r="BE24" s="525"/>
      <c r="BF24" s="525"/>
      <c r="BG24" s="525"/>
      <c r="BH24" s="525"/>
      <c r="BI24" s="525"/>
      <c r="BJ24" s="525"/>
      <c r="BK24" s="525"/>
      <c r="BL24" s="526"/>
      <c r="BM24" s="524"/>
      <c r="BN24" s="525"/>
      <c r="BO24" s="525"/>
      <c r="BP24" s="525"/>
      <c r="BQ24" s="525"/>
      <c r="BR24" s="525"/>
      <c r="BS24" s="525"/>
      <c r="BT24" s="525"/>
      <c r="BU24" s="525"/>
      <c r="BV24" s="525"/>
      <c r="BW24" s="526"/>
      <c r="BX24" s="524"/>
      <c r="BY24" s="525"/>
      <c r="BZ24" s="525"/>
      <c r="CA24" s="525"/>
      <c r="CB24" s="525"/>
      <c r="CC24" s="525"/>
      <c r="CD24" s="525"/>
      <c r="CE24" s="525"/>
      <c r="CF24" s="525"/>
      <c r="CG24" s="526"/>
    </row>
    <row r="25" spans="1:85" ht="15" customHeight="1" x14ac:dyDescent="0.2">
      <c r="A25" s="514"/>
      <c r="B25" s="514"/>
      <c r="C25" s="514"/>
      <c r="D25" s="514"/>
      <c r="E25" s="514" t="s">
        <v>1</v>
      </c>
      <c r="F25" s="514"/>
      <c r="G25" s="514"/>
      <c r="H25" s="514"/>
      <c r="I25" s="514"/>
      <c r="J25" s="507" t="s">
        <v>581</v>
      </c>
      <c r="K25" s="508"/>
      <c r="L25" s="508"/>
      <c r="M25" s="508"/>
      <c r="N25" s="508"/>
      <c r="O25" s="508"/>
      <c r="P25" s="508"/>
      <c r="Q25" s="508"/>
      <c r="R25" s="508"/>
      <c r="S25" s="508"/>
      <c r="T25" s="509"/>
      <c r="U25" s="507" t="s">
        <v>584</v>
      </c>
      <c r="V25" s="508"/>
      <c r="W25" s="508"/>
      <c r="X25" s="508"/>
      <c r="Y25" s="508"/>
      <c r="Z25" s="508"/>
      <c r="AA25" s="508"/>
      <c r="AB25" s="508"/>
      <c r="AC25" s="508"/>
      <c r="AD25" s="508"/>
      <c r="AE25" s="509"/>
      <c r="AF25" s="507" t="s">
        <v>582</v>
      </c>
      <c r="AG25" s="508"/>
      <c r="AH25" s="508"/>
      <c r="AI25" s="508"/>
      <c r="AJ25" s="508"/>
      <c r="AK25" s="508"/>
      <c r="AL25" s="508"/>
      <c r="AM25" s="508"/>
      <c r="AN25" s="508"/>
      <c r="AO25" s="508"/>
      <c r="AP25" s="509"/>
      <c r="AQ25" s="507" t="s">
        <v>583</v>
      </c>
      <c r="AR25" s="508"/>
      <c r="AS25" s="508"/>
      <c r="AT25" s="508"/>
      <c r="AU25" s="508"/>
      <c r="AV25" s="508"/>
      <c r="AW25" s="508"/>
      <c r="AX25" s="508"/>
      <c r="AY25" s="508"/>
      <c r="AZ25" s="508"/>
      <c r="BA25" s="509"/>
      <c r="BB25" s="507"/>
      <c r="BC25" s="508"/>
      <c r="BD25" s="508"/>
      <c r="BE25" s="508"/>
      <c r="BF25" s="508"/>
      <c r="BG25" s="508"/>
      <c r="BH25" s="508"/>
      <c r="BI25" s="508"/>
      <c r="BJ25" s="508"/>
      <c r="BK25" s="508"/>
      <c r="BL25" s="509"/>
      <c r="BM25" s="507"/>
      <c r="BN25" s="508"/>
      <c r="BO25" s="508"/>
      <c r="BP25" s="508"/>
      <c r="BQ25" s="508"/>
      <c r="BR25" s="508"/>
      <c r="BS25" s="508"/>
      <c r="BT25" s="508"/>
      <c r="BU25" s="508"/>
      <c r="BV25" s="508"/>
      <c r="BW25" s="509"/>
      <c r="BX25" s="507"/>
      <c r="BY25" s="508"/>
      <c r="BZ25" s="508"/>
      <c r="CA25" s="508"/>
      <c r="CB25" s="508"/>
      <c r="CC25" s="508"/>
      <c r="CD25" s="508"/>
      <c r="CE25" s="508"/>
      <c r="CF25" s="508"/>
      <c r="CG25" s="509"/>
    </row>
    <row r="26" spans="1:85" ht="15" customHeight="1" x14ac:dyDescent="0.2">
      <c r="A26" s="530"/>
      <c r="B26" s="530"/>
      <c r="C26" s="530"/>
      <c r="D26" s="530"/>
      <c r="E26" s="530" t="s">
        <v>493</v>
      </c>
      <c r="F26" s="530"/>
      <c r="G26" s="530"/>
      <c r="H26" s="530"/>
      <c r="I26" s="530"/>
      <c r="J26" s="515"/>
      <c r="K26" s="515"/>
      <c r="L26" s="515"/>
      <c r="M26" s="515"/>
      <c r="N26" s="515"/>
      <c r="O26" s="515"/>
      <c r="P26" s="515"/>
      <c r="Q26" s="515"/>
      <c r="R26" s="515"/>
      <c r="S26" s="515"/>
      <c r="T26" s="515"/>
      <c r="U26" s="516"/>
      <c r="V26" s="517"/>
      <c r="W26" s="517"/>
      <c r="X26" s="517"/>
      <c r="Y26" s="517"/>
      <c r="Z26" s="517"/>
      <c r="AA26" s="517"/>
      <c r="AB26" s="517"/>
      <c r="AC26" s="517"/>
      <c r="AD26" s="517"/>
      <c r="AE26" s="518"/>
      <c r="AF26" s="516"/>
      <c r="AG26" s="517"/>
      <c r="AH26" s="517"/>
      <c r="AI26" s="517"/>
      <c r="AJ26" s="517"/>
      <c r="AK26" s="517"/>
      <c r="AL26" s="517"/>
      <c r="AM26" s="517"/>
      <c r="AN26" s="517"/>
      <c r="AO26" s="517"/>
      <c r="AP26" s="518"/>
      <c r="AQ26" s="516"/>
      <c r="AR26" s="517"/>
      <c r="AS26" s="517"/>
      <c r="AT26" s="517"/>
      <c r="AU26" s="517"/>
      <c r="AV26" s="517"/>
      <c r="AW26" s="517"/>
      <c r="AX26" s="517"/>
      <c r="AY26" s="517"/>
      <c r="AZ26" s="517"/>
      <c r="BA26" s="518"/>
      <c r="BB26" s="516"/>
      <c r="BC26" s="517"/>
      <c r="BD26" s="517"/>
      <c r="BE26" s="517"/>
      <c r="BF26" s="517"/>
      <c r="BG26" s="517"/>
      <c r="BH26" s="517"/>
      <c r="BI26" s="517"/>
      <c r="BJ26" s="517"/>
      <c r="BK26" s="517"/>
      <c r="BL26" s="518"/>
      <c r="BM26" s="516"/>
      <c r="BN26" s="517"/>
      <c r="BO26" s="517"/>
      <c r="BP26" s="517"/>
      <c r="BQ26" s="517"/>
      <c r="BR26" s="517"/>
      <c r="BS26" s="517"/>
      <c r="BT26" s="517"/>
      <c r="BU26" s="517"/>
      <c r="BV26" s="517"/>
      <c r="BW26" s="518"/>
      <c r="BX26" s="519"/>
      <c r="BY26" s="520"/>
      <c r="BZ26" s="520"/>
      <c r="CA26" s="520"/>
      <c r="CB26" s="520"/>
      <c r="CC26" s="520"/>
      <c r="CD26" s="520"/>
      <c r="CE26" s="520"/>
      <c r="CF26" s="520"/>
      <c r="CG26" s="521"/>
    </row>
    <row r="27" spans="1:85" ht="11.45" customHeight="1" x14ac:dyDescent="0.2">
      <c r="A27" s="522"/>
      <c r="B27" s="522"/>
      <c r="C27" s="522"/>
      <c r="D27" s="522"/>
      <c r="E27" s="522"/>
      <c r="F27" s="522"/>
      <c r="G27" s="522"/>
      <c r="H27" s="522"/>
      <c r="I27" s="522"/>
      <c r="J27" s="522"/>
      <c r="K27" s="522"/>
      <c r="L27" s="522"/>
      <c r="M27" s="522"/>
      <c r="N27" s="522"/>
      <c r="O27" s="522"/>
      <c r="P27" s="522"/>
      <c r="Q27" s="522"/>
      <c r="R27" s="522"/>
      <c r="S27" s="522"/>
      <c r="T27" s="522"/>
      <c r="U27" s="522"/>
      <c r="V27" s="522"/>
      <c r="W27" s="522"/>
      <c r="X27" s="522"/>
      <c r="Y27" s="522"/>
      <c r="Z27" s="522"/>
      <c r="AA27" s="522"/>
      <c r="AB27" s="522"/>
      <c r="AC27" s="522"/>
      <c r="AD27" s="522"/>
      <c r="AE27" s="522"/>
      <c r="AF27" s="522"/>
      <c r="AG27" s="522"/>
      <c r="AH27" s="522"/>
      <c r="AI27" s="522"/>
      <c r="AJ27" s="522"/>
      <c r="AK27" s="522"/>
      <c r="AL27" s="522"/>
      <c r="AM27" s="522"/>
      <c r="AN27" s="522"/>
      <c r="AO27" s="522"/>
      <c r="AP27" s="522"/>
      <c r="AQ27" s="522"/>
      <c r="AR27" s="522"/>
      <c r="AS27" s="522"/>
      <c r="AT27" s="522"/>
      <c r="AU27" s="522"/>
      <c r="AV27" s="522"/>
      <c r="AW27" s="522"/>
      <c r="AX27" s="522"/>
      <c r="AY27" s="522"/>
      <c r="AZ27" s="522"/>
      <c r="BA27" s="522"/>
      <c r="BB27" s="522"/>
      <c r="BC27" s="522"/>
      <c r="BD27" s="522"/>
      <c r="BE27" s="522"/>
      <c r="BF27" s="522"/>
      <c r="BG27" s="522"/>
      <c r="BH27" s="522"/>
      <c r="BI27" s="522"/>
      <c r="BJ27" s="522"/>
      <c r="BK27" s="522"/>
      <c r="BL27" s="522"/>
      <c r="BM27" s="522"/>
      <c r="BN27" s="522"/>
      <c r="BO27" s="522"/>
      <c r="BP27" s="522"/>
      <c r="BQ27" s="522"/>
      <c r="BR27" s="522"/>
      <c r="BS27" s="522"/>
      <c r="BT27" s="522"/>
      <c r="BU27" s="522"/>
      <c r="BV27" s="522"/>
      <c r="BW27" s="522"/>
      <c r="BX27" s="522"/>
      <c r="BY27" s="522"/>
      <c r="BZ27" s="522"/>
      <c r="CA27" s="522"/>
      <c r="CB27" s="522"/>
      <c r="CC27" s="522"/>
      <c r="CD27" s="522"/>
      <c r="CE27" s="522"/>
      <c r="CF27" s="522"/>
      <c r="CG27" s="522"/>
    </row>
    <row r="28" spans="1:85" ht="15" customHeight="1" x14ac:dyDescent="0.2">
      <c r="A28" s="523" t="s">
        <v>501</v>
      </c>
      <c r="B28" s="523"/>
      <c r="C28" s="523"/>
      <c r="D28" s="523"/>
      <c r="E28" s="514" t="s">
        <v>267</v>
      </c>
      <c r="F28" s="514"/>
      <c r="G28" s="514"/>
      <c r="H28" s="514"/>
      <c r="I28" s="514"/>
      <c r="J28" s="524"/>
      <c r="K28" s="525"/>
      <c r="L28" s="525"/>
      <c r="M28" s="525"/>
      <c r="N28" s="525"/>
      <c r="O28" s="525"/>
      <c r="P28" s="525"/>
      <c r="Q28" s="525"/>
      <c r="R28" s="525"/>
      <c r="S28" s="525"/>
      <c r="T28" s="525"/>
      <c r="U28" s="524"/>
      <c r="V28" s="525"/>
      <c r="W28" s="525"/>
      <c r="X28" s="525"/>
      <c r="Y28" s="525"/>
      <c r="Z28" s="525"/>
      <c r="AA28" s="525"/>
      <c r="AB28" s="525"/>
      <c r="AC28" s="525"/>
      <c r="AD28" s="525"/>
      <c r="AE28" s="526"/>
      <c r="AF28" s="524"/>
      <c r="AG28" s="525"/>
      <c r="AH28" s="525"/>
      <c r="AI28" s="525"/>
      <c r="AJ28" s="525"/>
      <c r="AK28" s="525"/>
      <c r="AL28" s="525"/>
      <c r="AM28" s="525"/>
      <c r="AN28" s="525"/>
      <c r="AO28" s="525"/>
      <c r="AP28" s="526"/>
      <c r="AQ28" s="524"/>
      <c r="AR28" s="525"/>
      <c r="AS28" s="525"/>
      <c r="AT28" s="525"/>
      <c r="AU28" s="525"/>
      <c r="AV28" s="525"/>
      <c r="AW28" s="525"/>
      <c r="AX28" s="525"/>
      <c r="AY28" s="525"/>
      <c r="AZ28" s="525"/>
      <c r="BA28" s="526"/>
      <c r="BB28" s="524"/>
      <c r="BC28" s="525"/>
      <c r="BD28" s="525"/>
      <c r="BE28" s="525"/>
      <c r="BF28" s="525"/>
      <c r="BG28" s="525"/>
      <c r="BH28" s="525"/>
      <c r="BI28" s="525"/>
      <c r="BJ28" s="525"/>
      <c r="BK28" s="525"/>
      <c r="BL28" s="526"/>
      <c r="BM28" s="524"/>
      <c r="BN28" s="525"/>
      <c r="BO28" s="525"/>
      <c r="BP28" s="525"/>
      <c r="BQ28" s="525"/>
      <c r="BR28" s="525"/>
      <c r="BS28" s="525"/>
      <c r="BT28" s="525"/>
      <c r="BU28" s="525"/>
      <c r="BV28" s="525"/>
      <c r="BW28" s="526"/>
      <c r="BX28" s="524"/>
      <c r="BY28" s="525"/>
      <c r="BZ28" s="525"/>
      <c r="CA28" s="525"/>
      <c r="CB28" s="525"/>
      <c r="CC28" s="525"/>
      <c r="CD28" s="525"/>
      <c r="CE28" s="525"/>
      <c r="CF28" s="525"/>
      <c r="CG28" s="526"/>
    </row>
    <row r="29" spans="1:85" ht="15" customHeight="1" x14ac:dyDescent="0.2">
      <c r="A29" s="523"/>
      <c r="B29" s="523"/>
      <c r="C29" s="523"/>
      <c r="D29" s="523"/>
      <c r="E29" s="514" t="s">
        <v>1</v>
      </c>
      <c r="F29" s="514"/>
      <c r="G29" s="514"/>
      <c r="H29" s="514"/>
      <c r="I29" s="514"/>
      <c r="J29" s="507"/>
      <c r="K29" s="508"/>
      <c r="L29" s="508"/>
      <c r="M29" s="508"/>
      <c r="N29" s="508"/>
      <c r="O29" s="508"/>
      <c r="P29" s="508"/>
      <c r="Q29" s="508"/>
      <c r="R29" s="508"/>
      <c r="S29" s="508"/>
      <c r="T29" s="509"/>
      <c r="U29" s="507"/>
      <c r="V29" s="508"/>
      <c r="W29" s="508"/>
      <c r="X29" s="508"/>
      <c r="Y29" s="508"/>
      <c r="Z29" s="508"/>
      <c r="AA29" s="508"/>
      <c r="AB29" s="508"/>
      <c r="AC29" s="508"/>
      <c r="AD29" s="508"/>
      <c r="AE29" s="509"/>
      <c r="AF29" s="507"/>
      <c r="AG29" s="508"/>
      <c r="AH29" s="508"/>
      <c r="AI29" s="508"/>
      <c r="AJ29" s="508"/>
      <c r="AK29" s="508"/>
      <c r="AL29" s="508"/>
      <c r="AM29" s="508"/>
      <c r="AN29" s="508"/>
      <c r="AO29" s="508"/>
      <c r="AP29" s="509"/>
      <c r="AQ29" s="507"/>
      <c r="AR29" s="508"/>
      <c r="AS29" s="508"/>
      <c r="AT29" s="508"/>
      <c r="AU29" s="508"/>
      <c r="AV29" s="508"/>
      <c r="AW29" s="508"/>
      <c r="AX29" s="508"/>
      <c r="AY29" s="508"/>
      <c r="AZ29" s="508"/>
      <c r="BA29" s="509"/>
      <c r="BB29" s="507"/>
      <c r="BC29" s="508"/>
      <c r="BD29" s="508"/>
      <c r="BE29" s="508"/>
      <c r="BF29" s="508"/>
      <c r="BG29" s="508"/>
      <c r="BH29" s="508"/>
      <c r="BI29" s="508"/>
      <c r="BJ29" s="508"/>
      <c r="BK29" s="508"/>
      <c r="BL29" s="509"/>
      <c r="BM29" s="507"/>
      <c r="BN29" s="508"/>
      <c r="BO29" s="508"/>
      <c r="BP29" s="508"/>
      <c r="BQ29" s="508"/>
      <c r="BR29" s="508"/>
      <c r="BS29" s="508"/>
      <c r="BT29" s="508"/>
      <c r="BU29" s="508"/>
      <c r="BV29" s="508"/>
      <c r="BW29" s="509"/>
      <c r="BX29" s="507"/>
      <c r="BY29" s="508"/>
      <c r="BZ29" s="508"/>
      <c r="CA29" s="508"/>
      <c r="CB29" s="508"/>
      <c r="CC29" s="508"/>
      <c r="CD29" s="508"/>
      <c r="CE29" s="508"/>
      <c r="CF29" s="508"/>
      <c r="CG29" s="509"/>
    </row>
    <row r="30" spans="1:85" ht="15" customHeight="1" x14ac:dyDescent="0.2">
      <c r="A30" s="523"/>
      <c r="B30" s="523"/>
      <c r="C30" s="523"/>
      <c r="D30" s="523"/>
      <c r="E30" s="514" t="s">
        <v>493</v>
      </c>
      <c r="F30" s="514"/>
      <c r="G30" s="514"/>
      <c r="H30" s="514"/>
      <c r="I30" s="514"/>
      <c r="J30" s="515"/>
      <c r="K30" s="515"/>
      <c r="L30" s="515"/>
      <c r="M30" s="515"/>
      <c r="N30" s="515"/>
      <c r="O30" s="515"/>
      <c r="P30" s="515"/>
      <c r="Q30" s="515"/>
      <c r="R30" s="515"/>
      <c r="S30" s="515"/>
      <c r="T30" s="515"/>
      <c r="U30" s="516" t="s">
        <v>589</v>
      </c>
      <c r="V30" s="517"/>
      <c r="W30" s="517"/>
      <c r="X30" s="517"/>
      <c r="Y30" s="517"/>
      <c r="Z30" s="517"/>
      <c r="AA30" s="517"/>
      <c r="AB30" s="517"/>
      <c r="AC30" s="517"/>
      <c r="AD30" s="517"/>
      <c r="AE30" s="518"/>
      <c r="AF30" s="516" t="s">
        <v>587</v>
      </c>
      <c r="AG30" s="517"/>
      <c r="AH30" s="517"/>
      <c r="AI30" s="517"/>
      <c r="AJ30" s="517"/>
      <c r="AK30" s="517"/>
      <c r="AL30" s="517"/>
      <c r="AM30" s="517"/>
      <c r="AN30" s="517"/>
      <c r="AO30" s="517"/>
      <c r="AP30" s="518"/>
      <c r="AQ30" s="516" t="s">
        <v>588</v>
      </c>
      <c r="AR30" s="517"/>
      <c r="AS30" s="517"/>
      <c r="AT30" s="517"/>
      <c r="AU30" s="517"/>
      <c r="AV30" s="517"/>
      <c r="AW30" s="517"/>
      <c r="AX30" s="517"/>
      <c r="AY30" s="517"/>
      <c r="AZ30" s="517"/>
      <c r="BA30" s="518"/>
      <c r="BB30" s="516"/>
      <c r="BC30" s="517"/>
      <c r="BD30" s="517"/>
      <c r="BE30" s="517"/>
      <c r="BF30" s="517"/>
      <c r="BG30" s="517"/>
      <c r="BH30" s="517"/>
      <c r="BI30" s="517"/>
      <c r="BJ30" s="517"/>
      <c r="BK30" s="517"/>
      <c r="BL30" s="518"/>
      <c r="BM30" s="516"/>
      <c r="BN30" s="517"/>
      <c r="BO30" s="517"/>
      <c r="BP30" s="517"/>
      <c r="BQ30" s="517"/>
      <c r="BR30" s="517"/>
      <c r="BS30" s="517"/>
      <c r="BT30" s="517"/>
      <c r="BU30" s="517"/>
      <c r="BV30" s="517"/>
      <c r="BW30" s="518"/>
      <c r="BX30" s="519"/>
      <c r="BY30" s="520"/>
      <c r="BZ30" s="520"/>
      <c r="CA30" s="520"/>
      <c r="CB30" s="520"/>
      <c r="CC30" s="520"/>
      <c r="CD30" s="520"/>
      <c r="CE30" s="520"/>
      <c r="CF30" s="520"/>
      <c r="CG30" s="521"/>
    </row>
    <row r="31" spans="1:85" ht="11.45" customHeight="1" x14ac:dyDescent="0.2">
      <c r="A31" s="510"/>
      <c r="B31" s="510"/>
      <c r="C31" s="510"/>
      <c r="D31" s="510"/>
      <c r="E31" s="510"/>
      <c r="F31" s="510"/>
      <c r="G31" s="510"/>
      <c r="H31" s="510"/>
      <c r="I31" s="510"/>
      <c r="J31" s="510"/>
      <c r="K31" s="510"/>
      <c r="L31" s="510"/>
      <c r="M31" s="510"/>
      <c r="N31" s="510"/>
      <c r="O31" s="510"/>
      <c r="P31" s="510"/>
      <c r="Q31" s="510"/>
      <c r="R31" s="510"/>
      <c r="S31" s="510"/>
      <c r="T31" s="510"/>
      <c r="U31" s="510"/>
      <c r="V31" s="510"/>
      <c r="W31" s="510"/>
      <c r="X31" s="510"/>
      <c r="Y31" s="510"/>
      <c r="Z31" s="510"/>
      <c r="AA31" s="510"/>
      <c r="AB31" s="510"/>
      <c r="AC31" s="510"/>
      <c r="AD31" s="510"/>
      <c r="AE31" s="510"/>
      <c r="AF31" s="510"/>
      <c r="AG31" s="510"/>
      <c r="AH31" s="510"/>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G31" s="510"/>
      <c r="BH31" s="510"/>
      <c r="BI31" s="510"/>
      <c r="BJ31" s="510"/>
      <c r="BK31" s="510"/>
      <c r="BL31" s="510"/>
      <c r="BM31" s="510"/>
      <c r="BN31" s="510"/>
      <c r="BO31" s="510"/>
      <c r="BP31" s="510"/>
      <c r="BQ31" s="510"/>
      <c r="BR31" s="510"/>
      <c r="BS31" s="510"/>
      <c r="BT31" s="510"/>
      <c r="BU31" s="510"/>
      <c r="BV31" s="510"/>
      <c r="BW31" s="510"/>
      <c r="BX31" s="510"/>
      <c r="BY31" s="510"/>
      <c r="BZ31" s="510"/>
      <c r="CA31" s="510"/>
      <c r="CB31" s="510"/>
      <c r="CC31" s="510"/>
      <c r="CD31" s="510"/>
      <c r="CE31" s="510"/>
      <c r="CF31" s="510"/>
      <c r="CG31" s="510"/>
    </row>
    <row r="32" spans="1:85" ht="11.45" customHeight="1" thickBot="1" x14ac:dyDescent="0.25">
      <c r="A32" s="511"/>
      <c r="B32" s="511"/>
      <c r="C32" s="511"/>
      <c r="D32" s="511"/>
      <c r="E32" s="511"/>
      <c r="F32" s="511"/>
      <c r="G32" s="511"/>
      <c r="H32" s="511"/>
      <c r="I32" s="511"/>
      <c r="J32" s="511"/>
      <c r="K32" s="511"/>
      <c r="L32" s="511"/>
      <c r="M32" s="511"/>
      <c r="N32" s="511"/>
      <c r="O32" s="511"/>
      <c r="P32" s="511"/>
      <c r="Q32" s="511"/>
      <c r="R32" s="511"/>
      <c r="S32" s="511"/>
      <c r="T32" s="511"/>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1"/>
      <c r="AR32" s="511"/>
      <c r="AS32" s="511"/>
      <c r="AT32" s="511"/>
      <c r="AU32" s="511"/>
      <c r="AV32" s="511"/>
      <c r="AW32" s="511"/>
      <c r="AX32" s="511"/>
      <c r="AY32" s="511"/>
      <c r="AZ32" s="511"/>
      <c r="BA32" s="511"/>
      <c r="BB32" s="511"/>
      <c r="BC32" s="511"/>
      <c r="BD32" s="511"/>
      <c r="BE32" s="511"/>
      <c r="BF32" s="511"/>
      <c r="BG32" s="511"/>
      <c r="BH32" s="511"/>
      <c r="BI32" s="511"/>
      <c r="BJ32" s="511"/>
      <c r="BK32" s="511"/>
      <c r="BL32" s="511"/>
      <c r="BM32" s="511"/>
      <c r="BN32" s="511"/>
      <c r="BO32" s="511"/>
      <c r="BP32" s="511"/>
      <c r="BQ32" s="511"/>
      <c r="BR32" s="511"/>
      <c r="BS32" s="511"/>
      <c r="BT32" s="511"/>
      <c r="BU32" s="511"/>
      <c r="BV32" s="511"/>
      <c r="BW32" s="511"/>
      <c r="BX32" s="511"/>
      <c r="BY32" s="511"/>
      <c r="BZ32" s="511"/>
      <c r="CA32" s="511"/>
      <c r="CB32" s="511"/>
      <c r="CC32" s="511"/>
      <c r="CD32" s="511"/>
      <c r="CE32" s="511"/>
      <c r="CF32" s="511"/>
      <c r="CG32" s="511"/>
    </row>
    <row r="33" spans="1:85" ht="11.45" customHeight="1" x14ac:dyDescent="0.2">
      <c r="A33" s="512" t="s">
        <v>502</v>
      </c>
      <c r="B33" s="512"/>
      <c r="C33" s="512"/>
      <c r="D33" s="512"/>
      <c r="E33" s="512"/>
      <c r="F33" s="512"/>
      <c r="G33" s="512"/>
      <c r="H33" s="512"/>
      <c r="I33" s="512"/>
      <c r="J33" s="512"/>
      <c r="K33" s="512"/>
      <c r="L33" s="512"/>
      <c r="M33" s="512"/>
      <c r="N33" s="512"/>
      <c r="O33" s="512"/>
      <c r="P33" s="512"/>
      <c r="Q33" s="512"/>
      <c r="R33" s="512"/>
      <c r="S33" s="512"/>
      <c r="T33" s="512"/>
      <c r="U33" s="512"/>
      <c r="V33" s="512"/>
      <c r="W33" s="512"/>
      <c r="X33" s="512"/>
      <c r="Y33" s="512"/>
      <c r="Z33" s="512"/>
      <c r="AA33" s="512"/>
      <c r="AB33" s="512"/>
      <c r="AC33" s="512"/>
      <c r="AD33" s="512"/>
      <c r="AE33" s="512"/>
      <c r="AF33" s="512"/>
      <c r="AG33" s="512"/>
      <c r="AH33" s="512"/>
      <c r="AI33" s="512"/>
      <c r="AJ33" s="512"/>
      <c r="AK33" s="512"/>
      <c r="AL33" s="512"/>
      <c r="AM33" s="512"/>
      <c r="AN33" s="512"/>
      <c r="AO33" s="512"/>
      <c r="AP33" s="512"/>
      <c r="AQ33" s="512"/>
      <c r="AR33" s="512"/>
      <c r="AS33" s="512"/>
      <c r="AT33" s="512"/>
      <c r="AU33" s="512"/>
      <c r="AV33" s="512"/>
      <c r="AW33" s="512"/>
      <c r="AX33" s="512"/>
      <c r="AY33" s="512"/>
      <c r="AZ33" s="512"/>
      <c r="BA33" s="512"/>
      <c r="BB33" s="512"/>
      <c r="BC33" s="512"/>
      <c r="BD33" s="512"/>
      <c r="BE33" s="512"/>
      <c r="BF33" s="512"/>
      <c r="BG33" s="512"/>
      <c r="BH33" s="512"/>
      <c r="BI33" s="512"/>
      <c r="BJ33" s="512"/>
      <c r="BK33" s="512"/>
      <c r="BL33" s="512"/>
      <c r="BM33" s="512"/>
      <c r="BN33" s="512"/>
      <c r="BO33" s="512"/>
      <c r="BP33" s="512"/>
      <c r="BQ33" s="512"/>
      <c r="BR33" s="512"/>
      <c r="BS33" s="512"/>
      <c r="BT33" s="512"/>
      <c r="BU33" s="512"/>
      <c r="BV33" s="512"/>
      <c r="BW33" s="512"/>
      <c r="BX33" s="512"/>
      <c r="BY33" s="512"/>
      <c r="BZ33" s="512"/>
      <c r="CA33" s="512"/>
      <c r="CB33" s="512"/>
      <c r="CC33" s="512"/>
      <c r="CD33" s="512"/>
      <c r="CE33" s="512"/>
      <c r="CF33" s="512"/>
      <c r="CG33" s="512"/>
    </row>
    <row r="34" spans="1:85" ht="11.45" customHeight="1" x14ac:dyDescent="0.2">
      <c r="A34" s="513"/>
      <c r="B34" s="513"/>
      <c r="C34" s="513"/>
      <c r="D34" s="513"/>
      <c r="E34" s="513"/>
      <c r="F34" s="513"/>
      <c r="G34" s="513"/>
      <c r="H34" s="513"/>
      <c r="I34" s="513"/>
      <c r="J34" s="513"/>
      <c r="K34" s="513"/>
      <c r="L34" s="513"/>
      <c r="M34" s="513"/>
      <c r="N34" s="513"/>
      <c r="O34" s="513"/>
      <c r="P34" s="513"/>
      <c r="Q34" s="513"/>
      <c r="R34" s="513"/>
      <c r="S34" s="513"/>
      <c r="T34" s="513"/>
      <c r="U34" s="513"/>
      <c r="V34" s="513"/>
      <c r="W34" s="513"/>
      <c r="X34" s="513"/>
      <c r="Y34" s="513"/>
      <c r="Z34" s="513"/>
      <c r="AA34" s="513"/>
      <c r="AB34" s="513"/>
      <c r="AC34" s="513"/>
      <c r="AD34" s="513"/>
      <c r="AE34" s="513"/>
      <c r="AF34" s="513"/>
      <c r="AG34" s="513"/>
      <c r="AH34" s="513"/>
      <c r="AI34" s="513"/>
      <c r="AJ34" s="513"/>
      <c r="AK34" s="513"/>
      <c r="AL34" s="513"/>
      <c r="AM34" s="513"/>
      <c r="AN34" s="513"/>
      <c r="AO34" s="513"/>
      <c r="AP34" s="513"/>
      <c r="AQ34" s="513"/>
      <c r="AR34" s="513"/>
      <c r="AS34" s="513"/>
      <c r="AT34" s="513"/>
      <c r="AU34" s="513"/>
      <c r="AV34" s="513"/>
      <c r="AW34" s="513"/>
      <c r="AX34" s="513"/>
      <c r="AY34" s="513"/>
      <c r="AZ34" s="513"/>
      <c r="BA34" s="513"/>
      <c r="BB34" s="513"/>
      <c r="BC34" s="513"/>
      <c r="BD34" s="513"/>
      <c r="BE34" s="513"/>
      <c r="BF34" s="513"/>
      <c r="BG34" s="513"/>
      <c r="BH34" s="513"/>
      <c r="BI34" s="513"/>
      <c r="BJ34" s="513"/>
      <c r="BK34" s="513"/>
      <c r="BL34" s="513"/>
      <c r="BM34" s="513"/>
      <c r="BN34" s="513"/>
      <c r="BO34" s="513"/>
      <c r="BP34" s="513"/>
      <c r="BQ34" s="513"/>
      <c r="BR34" s="513"/>
      <c r="BS34" s="513"/>
      <c r="BT34" s="513"/>
      <c r="BU34" s="513"/>
      <c r="BV34" s="513"/>
      <c r="BW34" s="513"/>
      <c r="BX34" s="513"/>
      <c r="BY34" s="513"/>
      <c r="BZ34" s="513"/>
      <c r="CA34" s="513"/>
      <c r="CB34" s="513"/>
      <c r="CC34" s="513"/>
      <c r="CD34" s="513"/>
      <c r="CE34" s="513"/>
      <c r="CF34" s="513"/>
      <c r="CG34" s="513"/>
    </row>
    <row r="35" spans="1:85" ht="11.45" customHeight="1" x14ac:dyDescent="0.2">
      <c r="A35" s="513"/>
      <c r="B35" s="513"/>
      <c r="C35" s="513"/>
      <c r="D35" s="513"/>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3"/>
      <c r="AE35" s="513"/>
      <c r="AF35" s="513"/>
      <c r="AG35" s="513"/>
      <c r="AH35" s="513"/>
      <c r="AI35" s="513"/>
      <c r="AJ35" s="513"/>
      <c r="AK35" s="513"/>
      <c r="AL35" s="513"/>
      <c r="AM35" s="513"/>
      <c r="AN35" s="513"/>
      <c r="AO35" s="513"/>
      <c r="AP35" s="513"/>
      <c r="AQ35" s="513"/>
      <c r="AR35" s="513"/>
      <c r="AS35" s="513"/>
      <c r="AT35" s="513"/>
      <c r="AU35" s="513"/>
      <c r="AV35" s="513"/>
      <c r="AW35" s="513"/>
      <c r="AX35" s="513"/>
      <c r="AY35" s="513"/>
      <c r="AZ35" s="513"/>
      <c r="BA35" s="513"/>
      <c r="BB35" s="513"/>
      <c r="BC35" s="513"/>
      <c r="BD35" s="513"/>
      <c r="BE35" s="513"/>
      <c r="BF35" s="513"/>
      <c r="BG35" s="513"/>
      <c r="BH35" s="513"/>
      <c r="BI35" s="513"/>
      <c r="BJ35" s="513"/>
      <c r="BK35" s="513"/>
      <c r="BL35" s="513"/>
      <c r="BM35" s="513"/>
      <c r="BN35" s="513"/>
      <c r="BO35" s="513"/>
      <c r="BP35" s="513"/>
      <c r="BQ35" s="513"/>
      <c r="BR35" s="513"/>
      <c r="BS35" s="513"/>
      <c r="BT35" s="513"/>
      <c r="BU35" s="513"/>
      <c r="BV35" s="513"/>
      <c r="BW35" s="513"/>
      <c r="BX35" s="513"/>
      <c r="BY35" s="513"/>
      <c r="BZ35" s="513"/>
      <c r="CA35" s="513"/>
      <c r="CB35" s="513"/>
      <c r="CC35" s="513"/>
      <c r="CD35" s="513"/>
      <c r="CE35" s="513"/>
      <c r="CF35" s="513"/>
      <c r="CG35" s="513"/>
    </row>
    <row r="36" spans="1:85" ht="11.45" customHeight="1" x14ac:dyDescent="0.2">
      <c r="A36" s="513"/>
      <c r="B36" s="513"/>
      <c r="C36" s="513"/>
      <c r="D36" s="513"/>
      <c r="E36" s="513"/>
      <c r="F36" s="513"/>
      <c r="G36" s="513"/>
      <c r="H36" s="513"/>
      <c r="I36" s="513"/>
      <c r="J36" s="513"/>
      <c r="K36" s="513"/>
      <c r="L36" s="513"/>
      <c r="M36" s="513"/>
      <c r="N36" s="513"/>
      <c r="O36" s="513"/>
      <c r="P36" s="513"/>
      <c r="Q36" s="513"/>
      <c r="R36" s="513"/>
      <c r="S36" s="513"/>
      <c r="T36" s="513"/>
      <c r="U36" s="513"/>
      <c r="V36" s="513"/>
      <c r="W36" s="513"/>
      <c r="X36" s="513"/>
      <c r="Y36" s="513"/>
      <c r="Z36" s="513"/>
      <c r="AA36" s="513"/>
      <c r="AB36" s="513"/>
      <c r="AC36" s="513"/>
      <c r="AD36" s="513"/>
      <c r="AE36" s="513"/>
      <c r="AF36" s="513"/>
      <c r="AG36" s="513"/>
      <c r="AH36" s="513"/>
      <c r="AI36" s="513"/>
      <c r="AJ36" s="513"/>
      <c r="AK36" s="513"/>
      <c r="AL36" s="513"/>
      <c r="AM36" s="513"/>
      <c r="AN36" s="513"/>
      <c r="AO36" s="513"/>
      <c r="AP36" s="513"/>
      <c r="AQ36" s="513"/>
      <c r="AR36" s="513"/>
      <c r="AS36" s="513"/>
      <c r="AT36" s="513"/>
      <c r="AU36" s="513"/>
      <c r="AV36" s="513"/>
      <c r="AW36" s="513"/>
      <c r="AX36" s="513"/>
      <c r="AY36" s="513"/>
      <c r="AZ36" s="513"/>
      <c r="BA36" s="513"/>
      <c r="BB36" s="513"/>
      <c r="BC36" s="513"/>
      <c r="BD36" s="513"/>
      <c r="BE36" s="513"/>
      <c r="BF36" s="513"/>
      <c r="BG36" s="513"/>
      <c r="BH36" s="513"/>
      <c r="BI36" s="513"/>
      <c r="BJ36" s="513"/>
      <c r="BK36" s="513"/>
      <c r="BL36" s="513"/>
      <c r="BM36" s="513"/>
      <c r="BN36" s="513"/>
      <c r="BO36" s="513"/>
      <c r="BP36" s="513"/>
      <c r="BQ36" s="513"/>
      <c r="BR36" s="513"/>
      <c r="BS36" s="513"/>
      <c r="BT36" s="513"/>
      <c r="BU36" s="513"/>
      <c r="BV36" s="513"/>
      <c r="BW36" s="513"/>
      <c r="BX36" s="513"/>
      <c r="BY36" s="513"/>
      <c r="BZ36" s="513"/>
      <c r="CA36" s="513"/>
      <c r="CB36" s="513"/>
      <c r="CC36" s="513"/>
      <c r="CD36" s="513"/>
      <c r="CE36" s="513"/>
      <c r="CF36" s="513"/>
      <c r="CG36" s="513"/>
    </row>
    <row r="37" spans="1:85" ht="11.45" customHeight="1" x14ac:dyDescent="0.2">
      <c r="A37" s="513"/>
      <c r="B37" s="513"/>
      <c r="C37" s="513"/>
      <c r="D37" s="513"/>
      <c r="E37" s="513"/>
      <c r="F37" s="513"/>
      <c r="G37" s="513"/>
      <c r="H37" s="513"/>
      <c r="I37" s="513"/>
      <c r="J37" s="513"/>
      <c r="K37" s="513"/>
      <c r="L37" s="513"/>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3"/>
      <c r="AK37" s="513"/>
      <c r="AL37" s="513"/>
      <c r="AM37" s="513"/>
      <c r="AN37" s="513"/>
      <c r="AO37" s="513"/>
      <c r="AP37" s="513"/>
      <c r="AQ37" s="513"/>
      <c r="AR37" s="513"/>
      <c r="AS37" s="513"/>
      <c r="AT37" s="513"/>
      <c r="AU37" s="513"/>
      <c r="AV37" s="513"/>
      <c r="AW37" s="513"/>
      <c r="AX37" s="513"/>
      <c r="AY37" s="513"/>
      <c r="AZ37" s="513"/>
      <c r="BA37" s="513"/>
      <c r="BB37" s="513"/>
      <c r="BC37" s="513"/>
      <c r="BD37" s="513"/>
      <c r="BE37" s="513"/>
      <c r="BF37" s="513"/>
      <c r="BG37" s="513"/>
      <c r="BH37" s="513"/>
      <c r="BI37" s="513"/>
      <c r="BJ37" s="513"/>
      <c r="BK37" s="513"/>
      <c r="BL37" s="513"/>
      <c r="BM37" s="513"/>
      <c r="BN37" s="513"/>
      <c r="BO37" s="513"/>
      <c r="BP37" s="513"/>
      <c r="BQ37" s="513"/>
      <c r="BR37" s="513"/>
      <c r="BS37" s="513"/>
      <c r="BT37" s="513"/>
      <c r="BU37" s="513"/>
      <c r="BV37" s="513"/>
      <c r="BW37" s="513"/>
      <c r="BX37" s="513"/>
      <c r="BY37" s="513"/>
      <c r="BZ37" s="513"/>
      <c r="CA37" s="513"/>
      <c r="CB37" s="513"/>
      <c r="CC37" s="513"/>
      <c r="CD37" s="513"/>
      <c r="CE37" s="513"/>
      <c r="CF37" s="513"/>
      <c r="CG37" s="513"/>
    </row>
    <row r="38" spans="1:85" s="133" customFormat="1" ht="11.45" customHeight="1" x14ac:dyDescent="0.2">
      <c r="A38" s="504"/>
      <c r="B38" s="504"/>
      <c r="C38" s="505" t="str">
        <f>IF('Data Entry'!N29="","",'Data Entry'!N29)&amp;IF(OR('Data Entry'!N29="",'Data Entry'!N30=""),""," / Licence No")&amp; IF('Data Entry'!N30="","",'Data Entry'!N30)</f>
        <v>MEHMET EROĞLU</v>
      </c>
      <c r="D38" s="505"/>
      <c r="E38" s="505"/>
      <c r="F38" s="505"/>
      <c r="G38" s="505"/>
      <c r="H38" s="505"/>
      <c r="I38" s="505"/>
      <c r="J38" s="505"/>
      <c r="K38" s="505"/>
      <c r="L38" s="505"/>
      <c r="M38" s="505"/>
      <c r="N38" s="505"/>
      <c r="O38" s="505"/>
      <c r="P38" s="505"/>
      <c r="Q38" s="504"/>
      <c r="R38" s="504"/>
      <c r="S38" s="504"/>
      <c r="T38" s="504"/>
      <c r="U38" s="504"/>
      <c r="V38" s="504"/>
      <c r="W38" s="504"/>
      <c r="X38" s="504"/>
      <c r="Y38" s="504"/>
      <c r="Z38" s="504"/>
      <c r="AA38" s="504"/>
      <c r="AB38" s="504"/>
      <c r="AC38" s="504"/>
      <c r="AD38" s="504"/>
      <c r="AE38" s="504"/>
      <c r="AF38" s="504"/>
      <c r="AG38" s="504"/>
      <c r="AH38" s="504"/>
      <c r="AI38" s="504"/>
      <c r="AJ38" s="504"/>
      <c r="AK38" s="505" t="str">
        <f>IF('Data Entry'!N13="","",'Data Entry'!N13)</f>
        <v/>
      </c>
      <c r="AL38" s="505"/>
      <c r="AM38" s="505"/>
      <c r="AN38" s="505"/>
      <c r="AO38" s="505"/>
      <c r="AP38" s="505"/>
      <c r="AQ38" s="505"/>
      <c r="AR38" s="505"/>
      <c r="AS38" s="505"/>
      <c r="AT38" s="505"/>
      <c r="AU38" s="505"/>
      <c r="AV38" s="505"/>
      <c r="AW38" s="505"/>
      <c r="AX38" s="505"/>
      <c r="AY38" s="504"/>
      <c r="AZ38" s="504"/>
      <c r="BA38" s="504"/>
      <c r="BB38" s="504"/>
      <c r="BC38" s="504"/>
      <c r="BD38" s="504"/>
      <c r="BE38" s="504"/>
      <c r="BF38" s="504"/>
      <c r="BG38" s="504"/>
      <c r="BH38" s="504"/>
      <c r="BI38" s="504"/>
      <c r="BJ38" s="504"/>
      <c r="BK38" s="504"/>
      <c r="BL38" s="504"/>
      <c r="BM38" s="504"/>
      <c r="BN38" s="504"/>
      <c r="BO38" s="504"/>
      <c r="BP38" s="504"/>
      <c r="BQ38" s="504"/>
      <c r="BR38" s="505" t="str">
        <f>IF('Data Entry'!N9="","",'Data Entry'!N9)</f>
        <v/>
      </c>
      <c r="BS38" s="505"/>
      <c r="BT38" s="505"/>
      <c r="BU38" s="505"/>
      <c r="BV38" s="505"/>
      <c r="BW38" s="505"/>
      <c r="BX38" s="505"/>
      <c r="BY38" s="505"/>
      <c r="BZ38" s="505"/>
      <c r="CA38" s="505"/>
      <c r="CB38" s="505"/>
      <c r="CC38" s="505"/>
      <c r="CD38" s="505"/>
      <c r="CE38" s="505"/>
      <c r="CF38" s="499"/>
      <c r="CG38" s="499"/>
    </row>
    <row r="39" spans="1:85" s="133" customFormat="1" ht="11.45" customHeight="1" x14ac:dyDescent="0.2">
      <c r="A39" s="504"/>
      <c r="B39" s="504"/>
      <c r="C39" s="505"/>
      <c r="D39" s="505"/>
      <c r="E39" s="505"/>
      <c r="F39" s="505"/>
      <c r="G39" s="505"/>
      <c r="H39" s="505"/>
      <c r="I39" s="505"/>
      <c r="J39" s="505"/>
      <c r="K39" s="505"/>
      <c r="L39" s="505"/>
      <c r="M39" s="505"/>
      <c r="N39" s="505"/>
      <c r="O39" s="505"/>
      <c r="P39" s="505"/>
      <c r="Q39" s="504"/>
      <c r="R39" s="504"/>
      <c r="S39" s="504"/>
      <c r="T39" s="504"/>
      <c r="U39" s="504"/>
      <c r="V39" s="504"/>
      <c r="W39" s="504"/>
      <c r="X39" s="504"/>
      <c r="Y39" s="504"/>
      <c r="Z39" s="504"/>
      <c r="AA39" s="504"/>
      <c r="AB39" s="504"/>
      <c r="AC39" s="504"/>
      <c r="AD39" s="504"/>
      <c r="AE39" s="504"/>
      <c r="AF39" s="504"/>
      <c r="AG39" s="504"/>
      <c r="AH39" s="504"/>
      <c r="AI39" s="504"/>
      <c r="AJ39" s="504"/>
      <c r="AK39" s="505"/>
      <c r="AL39" s="505"/>
      <c r="AM39" s="505"/>
      <c r="AN39" s="505"/>
      <c r="AO39" s="505"/>
      <c r="AP39" s="505"/>
      <c r="AQ39" s="505"/>
      <c r="AR39" s="505"/>
      <c r="AS39" s="505"/>
      <c r="AT39" s="505"/>
      <c r="AU39" s="505"/>
      <c r="AV39" s="505"/>
      <c r="AW39" s="505"/>
      <c r="AX39" s="505"/>
      <c r="AY39" s="504"/>
      <c r="AZ39" s="504"/>
      <c r="BA39" s="504"/>
      <c r="BB39" s="504"/>
      <c r="BC39" s="504"/>
      <c r="BD39" s="504"/>
      <c r="BE39" s="504"/>
      <c r="BF39" s="504"/>
      <c r="BG39" s="504"/>
      <c r="BH39" s="504"/>
      <c r="BI39" s="504"/>
      <c r="BJ39" s="504"/>
      <c r="BK39" s="504"/>
      <c r="BL39" s="504"/>
      <c r="BM39" s="504"/>
      <c r="BN39" s="504"/>
      <c r="BO39" s="504"/>
      <c r="BP39" s="504"/>
      <c r="BQ39" s="504"/>
      <c r="BR39" s="505"/>
      <c r="BS39" s="505"/>
      <c r="BT39" s="505"/>
      <c r="BU39" s="505"/>
      <c r="BV39" s="505"/>
      <c r="BW39" s="505"/>
      <c r="BX39" s="505"/>
      <c r="BY39" s="505"/>
      <c r="BZ39" s="505"/>
      <c r="CA39" s="505"/>
      <c r="CB39" s="505"/>
      <c r="CC39" s="505"/>
      <c r="CD39" s="505"/>
      <c r="CE39" s="505"/>
      <c r="CF39" s="499"/>
      <c r="CG39" s="499"/>
    </row>
    <row r="40" spans="1:85" s="133" customFormat="1" ht="11.45" customHeight="1" x14ac:dyDescent="0.2">
      <c r="A40" s="504"/>
      <c r="B40" s="504"/>
      <c r="C40" s="506"/>
      <c r="D40" s="506"/>
      <c r="E40" s="506"/>
      <c r="F40" s="506"/>
      <c r="G40" s="506"/>
      <c r="H40" s="506"/>
      <c r="I40" s="506"/>
      <c r="J40" s="506"/>
      <c r="K40" s="506"/>
      <c r="L40" s="506"/>
      <c r="M40" s="506"/>
      <c r="N40" s="506"/>
      <c r="O40" s="506"/>
      <c r="P40" s="506"/>
      <c r="Q40" s="504"/>
      <c r="R40" s="504"/>
      <c r="S40" s="504"/>
      <c r="T40" s="504"/>
      <c r="U40" s="504"/>
      <c r="V40" s="504"/>
      <c r="W40" s="504"/>
      <c r="X40" s="504"/>
      <c r="Y40" s="504"/>
      <c r="Z40" s="504"/>
      <c r="AA40" s="504"/>
      <c r="AB40" s="504"/>
      <c r="AC40" s="504"/>
      <c r="AD40" s="504"/>
      <c r="AE40" s="504"/>
      <c r="AF40" s="504"/>
      <c r="AG40" s="504"/>
      <c r="AH40" s="504"/>
      <c r="AI40" s="504"/>
      <c r="AJ40" s="504"/>
      <c r="AK40" s="506"/>
      <c r="AL40" s="506"/>
      <c r="AM40" s="506"/>
      <c r="AN40" s="506"/>
      <c r="AO40" s="506"/>
      <c r="AP40" s="506"/>
      <c r="AQ40" s="506"/>
      <c r="AR40" s="506"/>
      <c r="AS40" s="506"/>
      <c r="AT40" s="506"/>
      <c r="AU40" s="506"/>
      <c r="AV40" s="506"/>
      <c r="AW40" s="506"/>
      <c r="AX40" s="506"/>
      <c r="AY40" s="504"/>
      <c r="AZ40" s="504"/>
      <c r="BA40" s="504"/>
      <c r="BB40" s="504"/>
      <c r="BC40" s="504"/>
      <c r="BD40" s="504"/>
      <c r="BE40" s="504"/>
      <c r="BF40" s="504"/>
      <c r="BG40" s="504"/>
      <c r="BH40" s="504"/>
      <c r="BI40" s="504"/>
      <c r="BJ40" s="504"/>
      <c r="BK40" s="504"/>
      <c r="BL40" s="504"/>
      <c r="BM40" s="504"/>
      <c r="BN40" s="504"/>
      <c r="BO40" s="504"/>
      <c r="BP40" s="504"/>
      <c r="BQ40" s="504"/>
      <c r="BR40" s="506"/>
      <c r="BS40" s="506"/>
      <c r="BT40" s="506"/>
      <c r="BU40" s="506"/>
      <c r="BV40" s="506"/>
      <c r="BW40" s="506"/>
      <c r="BX40" s="506"/>
      <c r="BY40" s="506"/>
      <c r="BZ40" s="506"/>
      <c r="CA40" s="506"/>
      <c r="CB40" s="506"/>
      <c r="CC40" s="506"/>
      <c r="CD40" s="506"/>
      <c r="CE40" s="506"/>
      <c r="CF40" s="499"/>
      <c r="CG40" s="499"/>
    </row>
    <row r="41" spans="1:85" s="133" customFormat="1" ht="11.45" customHeight="1" x14ac:dyDescent="0.2">
      <c r="A41" s="504"/>
      <c r="B41" s="504"/>
      <c r="C41" s="500" t="s">
        <v>184</v>
      </c>
      <c r="D41" s="500"/>
      <c r="E41" s="500"/>
      <c r="F41" s="500"/>
      <c r="G41" s="500"/>
      <c r="H41" s="500"/>
      <c r="I41" s="500"/>
      <c r="J41" s="500"/>
      <c r="K41" s="500"/>
      <c r="L41" s="500"/>
      <c r="M41" s="500"/>
      <c r="N41" s="500"/>
      <c r="O41" s="500"/>
      <c r="P41" s="500"/>
      <c r="Q41" s="504"/>
      <c r="R41" s="504"/>
      <c r="S41" s="504"/>
      <c r="T41" s="504"/>
      <c r="U41" s="504"/>
      <c r="V41" s="504"/>
      <c r="W41" s="504"/>
      <c r="X41" s="504"/>
      <c r="Y41" s="504"/>
      <c r="Z41" s="504"/>
      <c r="AA41" s="504"/>
      <c r="AB41" s="504"/>
      <c r="AC41" s="504"/>
      <c r="AD41" s="504"/>
      <c r="AE41" s="504"/>
      <c r="AF41" s="504"/>
      <c r="AG41" s="504"/>
      <c r="AH41" s="504"/>
      <c r="AI41" s="504"/>
      <c r="AJ41" s="504"/>
      <c r="AK41" s="501" t="s">
        <v>51</v>
      </c>
      <c r="AL41" s="501"/>
      <c r="AM41" s="501"/>
      <c r="AN41" s="501"/>
      <c r="AO41" s="501"/>
      <c r="AP41" s="501"/>
      <c r="AQ41" s="501"/>
      <c r="AR41" s="501"/>
      <c r="AS41" s="501"/>
      <c r="AT41" s="501"/>
      <c r="AU41" s="501"/>
      <c r="AV41" s="501"/>
      <c r="AW41" s="501"/>
      <c r="AX41" s="501"/>
      <c r="AY41" s="504"/>
      <c r="AZ41" s="504"/>
      <c r="BA41" s="504"/>
      <c r="BB41" s="504"/>
      <c r="BC41" s="504"/>
      <c r="BD41" s="504"/>
      <c r="BE41" s="504"/>
      <c r="BF41" s="504"/>
      <c r="BG41" s="504"/>
      <c r="BH41" s="504"/>
      <c r="BI41" s="504"/>
      <c r="BJ41" s="504"/>
      <c r="BK41" s="504"/>
      <c r="BL41" s="504"/>
      <c r="BM41" s="504"/>
      <c r="BN41" s="504"/>
      <c r="BO41" s="504"/>
      <c r="BP41" s="504"/>
      <c r="BQ41" s="504"/>
      <c r="BR41" s="501" t="s">
        <v>17</v>
      </c>
      <c r="BS41" s="501"/>
      <c r="BT41" s="501"/>
      <c r="BU41" s="501"/>
      <c r="BV41" s="501"/>
      <c r="BW41" s="501"/>
      <c r="BX41" s="501"/>
      <c r="BY41" s="501"/>
      <c r="BZ41" s="501"/>
      <c r="CA41" s="501"/>
      <c r="CB41" s="501"/>
      <c r="CC41" s="501"/>
      <c r="CD41" s="501"/>
      <c r="CE41" s="501"/>
      <c r="CF41" s="499"/>
      <c r="CG41" s="499"/>
    </row>
    <row r="42" spans="1:85" s="133" customFormat="1" ht="11.45" customHeight="1" x14ac:dyDescent="0.2">
      <c r="A42" s="502" t="s">
        <v>505</v>
      </c>
      <c r="B42" s="502"/>
      <c r="C42" s="502"/>
      <c r="D42" s="502"/>
      <c r="E42" s="502"/>
      <c r="F42" s="502"/>
      <c r="G42" s="502"/>
      <c r="H42" s="502"/>
      <c r="I42" s="502"/>
      <c r="J42" s="502"/>
      <c r="K42" s="502"/>
      <c r="L42" s="502"/>
      <c r="M42" s="502"/>
      <c r="N42" s="502"/>
      <c r="O42" s="502"/>
      <c r="P42" s="502"/>
      <c r="Q42" s="502"/>
      <c r="R42" s="502"/>
      <c r="S42" s="502"/>
      <c r="T42" s="502"/>
      <c r="U42" s="502"/>
      <c r="V42" s="502"/>
      <c r="W42" s="502"/>
      <c r="X42" s="502"/>
      <c r="Y42" s="502"/>
      <c r="Z42" s="502"/>
      <c r="AA42" s="502"/>
      <c r="AB42" s="502"/>
      <c r="AC42" s="502"/>
      <c r="AD42" s="502"/>
      <c r="AE42" s="502"/>
      <c r="AF42" s="502"/>
      <c r="AG42" s="502"/>
      <c r="AH42" s="502"/>
      <c r="AI42" s="502"/>
      <c r="AJ42" s="502"/>
      <c r="AK42" s="502"/>
      <c r="AL42" s="502"/>
      <c r="AM42" s="502"/>
      <c r="AN42" s="502"/>
      <c r="AO42" s="503" t="str">
        <f>'Data Entry'!AK9</f>
        <v>LTS-CUS-F-01 rev 2.0</v>
      </c>
      <c r="AP42" s="503"/>
      <c r="AQ42" s="503"/>
      <c r="AR42" s="503"/>
      <c r="AS42" s="503"/>
      <c r="AT42" s="503"/>
      <c r="AU42" s="503"/>
      <c r="AV42" s="503"/>
      <c r="AW42" s="503"/>
      <c r="AX42" s="503"/>
      <c r="AY42" s="503"/>
      <c r="AZ42" s="503"/>
      <c r="BA42" s="503"/>
      <c r="BB42" s="503"/>
      <c r="BC42" s="503"/>
      <c r="BD42" s="503"/>
      <c r="BE42" s="503"/>
      <c r="BF42" s="503"/>
      <c r="BG42" s="503"/>
      <c r="BH42" s="503"/>
      <c r="BI42" s="503"/>
      <c r="BJ42" s="503"/>
      <c r="BK42" s="503"/>
      <c r="BL42" s="503"/>
      <c r="BM42" s="503"/>
      <c r="BN42" s="503"/>
      <c r="BO42" s="503"/>
      <c r="BP42" s="503"/>
      <c r="BQ42" s="503"/>
      <c r="BR42" s="503"/>
      <c r="BS42" s="503"/>
      <c r="BT42" s="503"/>
      <c r="BU42" s="503"/>
      <c r="BV42" s="503"/>
      <c r="BW42" s="503"/>
      <c r="BX42" s="503"/>
      <c r="BY42" s="503"/>
      <c r="BZ42" s="503"/>
      <c r="CA42" s="503"/>
      <c r="CB42" s="503"/>
      <c r="CC42" s="503"/>
      <c r="CD42" s="503"/>
      <c r="CE42" s="503"/>
      <c r="CF42" s="503"/>
      <c r="CG42" s="503"/>
    </row>
  </sheetData>
  <mergeCells count="132">
    <mergeCell ref="A1:BK1"/>
    <mergeCell ref="BL1:BP1"/>
    <mergeCell ref="BR1:CG1"/>
    <mergeCell ref="A2:BK2"/>
    <mergeCell ref="BL2:BP2"/>
    <mergeCell ref="BR2:CG2"/>
    <mergeCell ref="CF4:CG5"/>
    <mergeCell ref="A5:G5"/>
    <mergeCell ref="I5:AH5"/>
    <mergeCell ref="AM5:AS5"/>
    <mergeCell ref="AU5:CE5"/>
    <mergeCell ref="A6:CG7"/>
    <mergeCell ref="A3:BQ3"/>
    <mergeCell ref="BR3:CG3"/>
    <mergeCell ref="A4:G4"/>
    <mergeCell ref="I4:AH4"/>
    <mergeCell ref="AI4:AL5"/>
    <mergeCell ref="AM4:AO4"/>
    <mergeCell ref="AQ4:BH4"/>
    <mergeCell ref="BI4:BJ4"/>
    <mergeCell ref="BK4:BM4"/>
    <mergeCell ref="BO4:CE4"/>
    <mergeCell ref="A8:CG8"/>
    <mergeCell ref="A9:CG10"/>
    <mergeCell ref="A11:I12"/>
    <mergeCell ref="J11:S12"/>
    <mergeCell ref="T11:AC12"/>
    <mergeCell ref="AD11:AM12"/>
    <mergeCell ref="AN11:AW12"/>
    <mergeCell ref="AX11:BX11"/>
    <mergeCell ref="BY11:CG12"/>
    <mergeCell ref="AX12:BF12"/>
    <mergeCell ref="BG12:BO12"/>
    <mergeCell ref="BP12:BX12"/>
    <mergeCell ref="A13:I14"/>
    <mergeCell ref="J13:S14"/>
    <mergeCell ref="T13:AC14"/>
    <mergeCell ref="AD13:AM14"/>
    <mergeCell ref="AN13:AW14"/>
    <mergeCell ref="AX13:BF14"/>
    <mergeCell ref="BG13:BO14"/>
    <mergeCell ref="BP13:BX14"/>
    <mergeCell ref="BY13:CG14"/>
    <mergeCell ref="A15:I16"/>
    <mergeCell ref="J15:S16"/>
    <mergeCell ref="T15:AC16"/>
    <mergeCell ref="AD15:AM16"/>
    <mergeCell ref="AN15:AW16"/>
    <mergeCell ref="AX15:BF16"/>
    <mergeCell ref="BG15:BO16"/>
    <mergeCell ref="BP15:BX16"/>
    <mergeCell ref="BY15:CG16"/>
    <mergeCell ref="A24:D26"/>
    <mergeCell ref="E24:I24"/>
    <mergeCell ref="J24:T24"/>
    <mergeCell ref="U24:AE24"/>
    <mergeCell ref="AF24:AP24"/>
    <mergeCell ref="AQ24:BA24"/>
    <mergeCell ref="BB24:BL24"/>
    <mergeCell ref="BM24:BW24"/>
    <mergeCell ref="BX24:CG24"/>
    <mergeCell ref="BM25:BW25"/>
    <mergeCell ref="BX25:CG25"/>
    <mergeCell ref="E26:I26"/>
    <mergeCell ref="J26:T26"/>
    <mergeCell ref="U26:AE26"/>
    <mergeCell ref="AF26:AP26"/>
    <mergeCell ref="AQ26:BA26"/>
    <mergeCell ref="BB26:BL26"/>
    <mergeCell ref="BM26:BW26"/>
    <mergeCell ref="BX26:CG26"/>
    <mergeCell ref="E25:I25"/>
    <mergeCell ref="J25:T25"/>
    <mergeCell ref="U25:AE25"/>
    <mergeCell ref="AF25:AP25"/>
    <mergeCell ref="AQ25:BA25"/>
    <mergeCell ref="A17:CG18"/>
    <mergeCell ref="A19:CG19"/>
    <mergeCell ref="A20:CG21"/>
    <mergeCell ref="A22:I23"/>
    <mergeCell ref="J22:T23"/>
    <mergeCell ref="U22:AE23"/>
    <mergeCell ref="AF22:AP23"/>
    <mergeCell ref="AQ22:BA23"/>
    <mergeCell ref="BB22:BL23"/>
    <mergeCell ref="BM22:BW23"/>
    <mergeCell ref="BX22:CG23"/>
    <mergeCell ref="A28:D30"/>
    <mergeCell ref="E28:I28"/>
    <mergeCell ref="J28:T28"/>
    <mergeCell ref="U28:AE28"/>
    <mergeCell ref="AF28:AP28"/>
    <mergeCell ref="AQ28:BA28"/>
    <mergeCell ref="BB28:BL28"/>
    <mergeCell ref="BM28:BW28"/>
    <mergeCell ref="BX28:CG28"/>
    <mergeCell ref="BB25:BL25"/>
    <mergeCell ref="A31:CG32"/>
    <mergeCell ref="A33:CG33"/>
    <mergeCell ref="A34:CG34"/>
    <mergeCell ref="A35:CG35"/>
    <mergeCell ref="A36:CG36"/>
    <mergeCell ref="A37:CG37"/>
    <mergeCell ref="BM29:BW29"/>
    <mergeCell ref="BX29:CG29"/>
    <mergeCell ref="E30:I30"/>
    <mergeCell ref="J30:T30"/>
    <mergeCell ref="U30:AE30"/>
    <mergeCell ref="AF30:AP30"/>
    <mergeCell ref="AQ30:BA30"/>
    <mergeCell ref="BB30:BL30"/>
    <mergeCell ref="BM30:BW30"/>
    <mergeCell ref="BX30:CG30"/>
    <mergeCell ref="E29:I29"/>
    <mergeCell ref="J29:T29"/>
    <mergeCell ref="U29:AE29"/>
    <mergeCell ref="AF29:AP29"/>
    <mergeCell ref="AQ29:BA29"/>
    <mergeCell ref="BB29:BL29"/>
    <mergeCell ref="A27:CG27"/>
    <mergeCell ref="CF38:CG41"/>
    <mergeCell ref="C41:P41"/>
    <mergeCell ref="AK41:AX41"/>
    <mergeCell ref="BR41:CE41"/>
    <mergeCell ref="A42:AN42"/>
    <mergeCell ref="AO42:CG42"/>
    <mergeCell ref="A38:B41"/>
    <mergeCell ref="C38:P40"/>
    <mergeCell ref="Q38:AJ41"/>
    <mergeCell ref="AK38:AX40"/>
    <mergeCell ref="AY38:BQ41"/>
    <mergeCell ref="BR38:CE40"/>
  </mergeCells>
  <conditionalFormatting sqref="BR1:CG2 AQ4 AU5 BO4 I4:AH5 C38 AK38 BR38">
    <cfRule type="containsBlanks" dxfId="92" priority="3" stopIfTrue="1">
      <formula>LEN(TRIM(C1))=0</formula>
    </cfRule>
  </conditionalFormatting>
  <conditionalFormatting sqref="J24:BM26 BX24:CG26 J13:CG16">
    <cfRule type="containsBlanks" dxfId="91" priority="2">
      <formula>LEN(TRIM(J13))=0</formula>
    </cfRule>
  </conditionalFormatting>
  <conditionalFormatting sqref="J28:BM30 BX28:CG30">
    <cfRule type="containsBlanks" dxfId="90" priority="1">
      <formula>LEN(TRIM(J28))=0</formula>
    </cfRule>
  </conditionalFormatting>
  <dataValidations count="14">
    <dataValidation allowBlank="1" showInputMessage="1" showErrorMessage="1" prompt="Please advise the vessel seal used to seal this sample" sqref="J25:BM25 BX25:CG25 J29:BM29 BX29:CG29" xr:uid="{BBE91035-C7CC-482C-B79C-ED938B4ECD51}"/>
    <dataValidation allowBlank="1" showInputMessage="1" showErrorMessage="1" prompt="Please advised the barge/supplier seal used to seal this sample" sqref="J26:BM26 BX26:CG26 J30:BM30 BX30:CG30" xr:uid="{31A1F8D7-2234-460F-A23B-ACD308AEA07D}"/>
    <dataValidation allowBlank="1" showInputMessage="1" showErrorMessage="1" prompt="Please advise the Intertek/surveyor seal used to seal this sample" sqref="J24:BM24 BX24:CG24 J28:BM28 BX28:CG28" xr:uid="{781DF5F9-6ED3-468C-BBC7-EF9198766DCE}"/>
    <dataValidation allowBlank="1" showInputMessage="1" showErrorMessage="1" prompt="Please advise the overall quantity of sample drawn by the vessel_x000a_" sqref="BY13:CG14" xr:uid="{46A32E90-5CAD-4CB3-9D03-C4A3AE627427}"/>
    <dataValidation allowBlank="1" showInputMessage="1" showErrorMessage="1" prompt="Please advise the overall quantity of sample drawn by the barge" sqref="BY15:CG16" xr:uid="{07F007A2-A06B-4B4A-A02D-4C95E3487A7B}"/>
    <dataValidation allowBlank="1" showInputMessage="1" showErrorMessage="1" prompt="Please advise the seal number of that was used to seal the vessel manifold before the bunkering occured_x000a__x000a_If not applicable please state &quot;N/A&quot;" sqref="AX13:BX16" xr:uid="{9BEB7D85-C574-4162-9DA9-B0ED5F4A4588}"/>
    <dataValidation allowBlank="1" showInputMessage="1" showErrorMessage="1" prompt="Please advise at which point the sampling was carried out on board the vessel_x000a_e.g. vessel manifold" sqref="AN13:AW14" xr:uid="{83C373B2-8943-4ED6-B71A-C2985ABE47FC}"/>
    <dataValidation allowBlank="1" showInputMessage="1" showErrorMessage="1" prompt="Please advise at which point the sampling was carried out on board the barge_x000a_e.g. barge manifold" sqref="AN15:AW16" xr:uid="{4E68A792-B065-4C4F-BC78-474CEDAD70BF}"/>
    <dataValidation allowBlank="1" showInputMessage="1" showErrorMessage="1" prompt="Please advise how the sample was drawn on board the vessel_x000a_e.g. continuous drip, spot" sqref="AD13:AM14" xr:uid="{75E73BAB-6337-4470-9004-CAF68E7E79C2}"/>
    <dataValidation allowBlank="1" showInputMessage="1" showErrorMessage="1" prompt="Please advise how the sample was drawn on board the barge_x000a_e.g. continuous drip, spot" sqref="AD15:AM16" xr:uid="{41AC3F48-709F-49AC-BD62-CF8FF6D3BABE}"/>
    <dataValidation allowBlank="1" showInputMessage="1" showErrorMessage="1" prompt="Please advise what kind of sampling device is on used on board the vessel_x000a_e.g. manual drip sampler, automatic sampler" sqref="T13:AC14" xr:uid="{DF9DDCE0-C6B4-40D7-974D-A5ABC6B08061}"/>
    <dataValidation allowBlank="1" showInputMessage="1" showErrorMessage="1" prompt="Please advise what kind of sampling device is on used on board the barge e.g. manual drip sampler, automatic sampler" sqref="T15:AC16" xr:uid="{7C299E29-ED73-4FE7-AFD6-EA1AF0ADED36}"/>
    <dataValidation allowBlank="1" showInputMessage="1" showErrorMessage="1" prompt="Please enter the tank numbers that the vessel has received fuel in" sqref="J13:S13" xr:uid="{CE912840-E268-45C4-A795-FE582E01FAE6}"/>
    <dataValidation allowBlank="1" showInputMessage="1" showErrorMessage="1" prompt="Please enter the tank numbers that the barge has used for delivery" sqref="J15:S15" xr:uid="{9B8E4EF1-DC25-4EC6-B677-41C4C34000E6}"/>
  </dataValidations>
  <pageMargins left="0.7" right="0.7" top="0.75" bottom="0.75" header="0.3" footer="0.3"/>
  <pageSetup paperSize="9" scale="91" orientation="landscape" horizontalDpi="4294967293" r:id="rId1"/>
  <headerFooter>
    <oddFooter>&amp;C&amp;06 &amp;P &amp;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0A0A5-88F7-4FD2-B8BE-52501B779BAD}">
  <sheetPr codeName="Sheet42">
    <tabColor rgb="FF92D050"/>
  </sheetPr>
  <dimension ref="A1:BF61"/>
  <sheetViews>
    <sheetView zoomScaleNormal="100" workbookViewId="0">
      <selection activeCell="BB17" sqref="BB17"/>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467</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Entry'!N10="","",'Data Entry'!N10)</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t="str">
        <f>IF('Data Entry'!N32="","",'Data Entry'!N32)</f>
        <v/>
      </c>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t="s">
        <v>564</v>
      </c>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206" t="s">
        <v>565</v>
      </c>
      <c r="B19" s="206"/>
      <c r="C19" s="206"/>
      <c r="D19" s="206"/>
      <c r="E19" s="206"/>
      <c r="F19" s="206"/>
      <c r="G19" s="206"/>
      <c r="H19" s="206"/>
      <c r="I19" s="206"/>
      <c r="J19" s="206"/>
      <c r="K19" s="206"/>
      <c r="L19" s="206"/>
      <c r="M19" s="206"/>
      <c r="N19" s="206"/>
      <c r="O19" s="206"/>
      <c r="P19" s="206"/>
      <c r="Q19" s="206"/>
      <c r="R19" s="206"/>
      <c r="S19" s="206"/>
      <c r="T19" s="206"/>
      <c r="U19" s="206"/>
      <c r="V19" s="206"/>
      <c r="W19" s="206"/>
      <c r="X19" s="206"/>
      <c r="Y19" s="206"/>
      <c r="Z19" s="206"/>
      <c r="AA19" s="206"/>
      <c r="AB19" s="206"/>
      <c r="AC19" s="206"/>
      <c r="AD19" s="206"/>
      <c r="AE19" s="206"/>
      <c r="AF19" s="206"/>
      <c r="AG19" s="206"/>
      <c r="AH19" s="206"/>
      <c r="AI19" s="206"/>
      <c r="AJ19" s="206"/>
      <c r="AK19" s="206"/>
      <c r="AL19" s="206"/>
      <c r="AM19" s="206"/>
      <c r="AN19" s="206"/>
      <c r="AO19" s="206"/>
      <c r="AP19" s="206"/>
      <c r="AQ19" s="206"/>
      <c r="AR19" s="206"/>
      <c r="AS19" s="206"/>
      <c r="AT19" s="206"/>
      <c r="AU19" s="206"/>
      <c r="AV19" s="206"/>
      <c r="AW19" s="206"/>
      <c r="AX19" s="206"/>
      <c r="AY19" s="206"/>
      <c r="AZ19" s="206"/>
    </row>
    <row r="20" spans="1:52" ht="12" customHeight="1" x14ac:dyDescent="0.2">
      <c r="A20" s="206" t="s">
        <v>566</v>
      </c>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t="s">
        <v>590</v>
      </c>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541" t="s">
        <v>591</v>
      </c>
      <c r="B22" s="541"/>
      <c r="C22" s="541"/>
      <c r="D22" s="541"/>
      <c r="E22" s="541"/>
      <c r="F22" s="541"/>
      <c r="G22" s="541"/>
      <c r="H22" s="541"/>
      <c r="I22" s="541"/>
      <c r="J22" s="541"/>
      <c r="K22" s="541"/>
      <c r="L22" s="541"/>
      <c r="M22" s="541"/>
      <c r="N22" s="541"/>
      <c r="O22" s="541"/>
      <c r="P22" s="541"/>
      <c r="Q22" s="541"/>
      <c r="R22" s="541"/>
      <c r="S22" s="541"/>
      <c r="T22" s="541"/>
      <c r="U22" s="541"/>
      <c r="V22" s="541"/>
      <c r="W22" s="541"/>
      <c r="X22" s="541"/>
      <c r="Y22" s="541"/>
      <c r="Z22" s="541"/>
      <c r="AA22" s="541"/>
      <c r="AB22" s="541"/>
      <c r="AC22" s="541"/>
      <c r="AD22" s="541"/>
      <c r="AE22" s="541"/>
      <c r="AF22" s="541"/>
      <c r="AG22" s="541"/>
      <c r="AH22" s="541"/>
      <c r="AI22" s="541"/>
      <c r="AJ22" s="541"/>
      <c r="AK22" s="541"/>
      <c r="AL22" s="541"/>
      <c r="AM22" s="541"/>
      <c r="AN22" s="541"/>
      <c r="AO22" s="541"/>
      <c r="AP22" s="541"/>
      <c r="AQ22" s="541"/>
      <c r="AR22" s="541"/>
      <c r="AS22" s="541"/>
      <c r="AT22" s="541"/>
      <c r="AU22" s="541"/>
      <c r="AV22" s="541"/>
      <c r="AW22" s="541"/>
      <c r="AX22" s="541"/>
      <c r="AY22" s="541"/>
      <c r="AZ22" s="541"/>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541"/>
      <c r="B30" s="541"/>
      <c r="C30" s="541"/>
      <c r="D30" s="541"/>
      <c r="E30" s="541"/>
      <c r="F30" s="541"/>
      <c r="G30" s="541"/>
      <c r="H30" s="541"/>
      <c r="I30" s="541"/>
      <c r="J30" s="541"/>
      <c r="K30" s="541"/>
      <c r="L30" s="541"/>
      <c r="M30" s="541"/>
      <c r="N30" s="541"/>
      <c r="O30" s="541"/>
      <c r="P30" s="541"/>
      <c r="Q30" s="541"/>
      <c r="R30" s="541"/>
      <c r="S30" s="541"/>
      <c r="T30" s="541"/>
      <c r="U30" s="541"/>
      <c r="V30" s="541"/>
      <c r="W30" s="541"/>
      <c r="X30" s="541"/>
      <c r="Y30" s="541"/>
      <c r="Z30" s="541"/>
      <c r="AA30" s="541"/>
      <c r="AB30" s="541"/>
      <c r="AC30" s="541"/>
      <c r="AD30" s="541"/>
      <c r="AE30" s="541"/>
      <c r="AF30" s="541"/>
      <c r="AG30" s="541"/>
      <c r="AH30" s="541"/>
      <c r="AI30" s="541"/>
      <c r="AJ30" s="541"/>
      <c r="AK30" s="541"/>
      <c r="AL30" s="541"/>
      <c r="AM30" s="541"/>
      <c r="AN30" s="541"/>
      <c r="AO30" s="541"/>
      <c r="AP30" s="541"/>
      <c r="AQ30" s="541"/>
      <c r="AR30" s="541"/>
      <c r="AS30" s="541"/>
      <c r="AT30" s="541"/>
      <c r="AU30" s="541"/>
      <c r="AV30" s="541"/>
      <c r="AW30" s="541"/>
      <c r="AX30" s="541"/>
      <c r="AY30" s="541"/>
      <c r="AZ30" s="541"/>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row>
    <row r="50" spans="1:58"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row>
    <row r="51" spans="1:58"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58"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58"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58"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8"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8" ht="12" customHeight="1" x14ac:dyDescent="0.2">
      <c r="A56" s="154"/>
      <c r="B56" s="154"/>
      <c r="C56" s="196" t="s">
        <v>63</v>
      </c>
      <c r="D56" s="196"/>
      <c r="E56" s="196"/>
      <c r="F56" s="196"/>
      <c r="G56" s="196"/>
      <c r="H56" s="196"/>
      <c r="I56" s="196"/>
      <c r="J56" s="196"/>
      <c r="K56" s="196"/>
      <c r="L56" s="196"/>
      <c r="M56" s="196"/>
      <c r="N56" s="196"/>
      <c r="O56" s="196"/>
      <c r="P56" s="196"/>
      <c r="Q56" s="154"/>
      <c r="R56" s="154"/>
      <c r="S56" s="154"/>
      <c r="T56" s="196" t="s">
        <v>62</v>
      </c>
      <c r="U56" s="196"/>
      <c r="V56" s="196"/>
      <c r="W56" s="196"/>
      <c r="X56" s="196"/>
      <c r="Y56" s="196"/>
      <c r="Z56" s="196"/>
      <c r="AA56" s="196"/>
      <c r="AB56" s="196"/>
      <c r="AC56" s="196"/>
      <c r="AD56" s="196"/>
      <c r="AE56" s="196"/>
      <c r="AF56" s="196"/>
      <c r="AG56" s="196"/>
      <c r="AH56" s="154"/>
      <c r="AI56" s="154"/>
      <c r="AJ56" s="154"/>
      <c r="AK56" s="196" t="s">
        <v>62</v>
      </c>
      <c r="AL56" s="196"/>
      <c r="AM56" s="196"/>
      <c r="AN56" s="196"/>
      <c r="AO56" s="196"/>
      <c r="AP56" s="196"/>
      <c r="AQ56" s="196"/>
      <c r="AR56" s="196"/>
      <c r="AS56" s="196"/>
      <c r="AT56" s="196"/>
      <c r="AU56" s="196"/>
      <c r="AV56" s="196"/>
      <c r="AW56" s="196"/>
      <c r="AX56" s="196"/>
      <c r="AY56" s="375"/>
      <c r="AZ56" s="375"/>
    </row>
    <row r="57" spans="1:58"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215" t="str">
        <f>IF('Data Entry'!N13="","",'Data Entry'!N13)</f>
        <v/>
      </c>
      <c r="U57" s="215"/>
      <c r="V57" s="215"/>
      <c r="W57" s="215"/>
      <c r="X57" s="215"/>
      <c r="Y57" s="215"/>
      <c r="Z57" s="215"/>
      <c r="AA57" s="215"/>
      <c r="AB57" s="215"/>
      <c r="AC57" s="215"/>
      <c r="AD57" s="215"/>
      <c r="AE57" s="215"/>
      <c r="AF57" s="215"/>
      <c r="AG57" s="215"/>
      <c r="AH57" s="154"/>
      <c r="AI57" s="154"/>
      <c r="AJ57" s="154"/>
      <c r="AK57" s="215" t="str">
        <f>IF('Data Entry'!N9="","",'Data Entry'!N9)</f>
        <v/>
      </c>
      <c r="AL57" s="215"/>
      <c r="AM57" s="215"/>
      <c r="AN57" s="215"/>
      <c r="AO57" s="215"/>
      <c r="AP57" s="215"/>
      <c r="AQ57" s="215"/>
      <c r="AR57" s="215"/>
      <c r="AS57" s="215"/>
      <c r="AT57" s="215"/>
      <c r="AU57" s="215"/>
      <c r="AV57" s="215"/>
      <c r="AW57" s="215"/>
      <c r="AX57" s="215"/>
      <c r="AY57" s="375"/>
      <c r="AZ57" s="375"/>
    </row>
    <row r="58" spans="1:58" ht="12" customHeight="1" x14ac:dyDescent="0.2">
      <c r="A58" s="154"/>
      <c r="B58" s="154"/>
      <c r="C58" s="215"/>
      <c r="D58" s="215"/>
      <c r="E58" s="215"/>
      <c r="F58" s="215"/>
      <c r="G58" s="215"/>
      <c r="H58" s="215"/>
      <c r="I58" s="215"/>
      <c r="J58" s="215"/>
      <c r="K58" s="215"/>
      <c r="L58" s="215"/>
      <c r="M58" s="215"/>
      <c r="N58" s="215"/>
      <c r="O58" s="215"/>
      <c r="P58" s="215"/>
      <c r="Q58" s="154"/>
      <c r="R58" s="154"/>
      <c r="S58" s="154"/>
      <c r="T58" s="215"/>
      <c r="U58" s="215"/>
      <c r="V58" s="215"/>
      <c r="W58" s="215"/>
      <c r="X58" s="215"/>
      <c r="Y58" s="215"/>
      <c r="Z58" s="215"/>
      <c r="AA58" s="215"/>
      <c r="AB58" s="215"/>
      <c r="AC58" s="215"/>
      <c r="AD58" s="215"/>
      <c r="AE58" s="215"/>
      <c r="AF58" s="215"/>
      <c r="AG58" s="215"/>
      <c r="AH58" s="154"/>
      <c r="AI58" s="154"/>
      <c r="AJ58" s="154"/>
      <c r="AK58" s="215"/>
      <c r="AL58" s="215"/>
      <c r="AM58" s="215"/>
      <c r="AN58" s="215"/>
      <c r="AO58" s="215"/>
      <c r="AP58" s="215"/>
      <c r="AQ58" s="215"/>
      <c r="AR58" s="215"/>
      <c r="AS58" s="215"/>
      <c r="AT58" s="215"/>
      <c r="AU58" s="215"/>
      <c r="AV58" s="215"/>
      <c r="AW58" s="215"/>
      <c r="AX58" s="215"/>
      <c r="AY58" s="375"/>
      <c r="AZ58" s="375"/>
    </row>
    <row r="59" spans="1:58" ht="12" customHeight="1" x14ac:dyDescent="0.2">
      <c r="A59" s="154"/>
      <c r="B59" s="154"/>
      <c r="C59" s="216"/>
      <c r="D59" s="216"/>
      <c r="E59" s="216"/>
      <c r="F59" s="216"/>
      <c r="G59" s="216"/>
      <c r="H59" s="216"/>
      <c r="I59" s="216"/>
      <c r="J59" s="216"/>
      <c r="K59" s="216"/>
      <c r="L59" s="216"/>
      <c r="M59" s="216"/>
      <c r="N59" s="216"/>
      <c r="O59" s="216"/>
      <c r="P59" s="216"/>
      <c r="Q59" s="154"/>
      <c r="R59" s="154"/>
      <c r="S59" s="154"/>
      <c r="T59" s="216"/>
      <c r="U59" s="216"/>
      <c r="V59" s="216"/>
      <c r="W59" s="216"/>
      <c r="X59" s="216"/>
      <c r="Y59" s="216"/>
      <c r="Z59" s="216"/>
      <c r="AA59" s="216"/>
      <c r="AB59" s="216"/>
      <c r="AC59" s="216"/>
      <c r="AD59" s="216"/>
      <c r="AE59" s="216"/>
      <c r="AF59" s="216"/>
      <c r="AG59" s="216"/>
      <c r="AH59" s="154"/>
      <c r="AI59" s="154"/>
      <c r="AJ59" s="154"/>
      <c r="AK59" s="216"/>
      <c r="AL59" s="216"/>
      <c r="AM59" s="216"/>
      <c r="AN59" s="216"/>
      <c r="AO59" s="216"/>
      <c r="AP59" s="216"/>
      <c r="AQ59" s="216"/>
      <c r="AR59" s="216"/>
      <c r="AS59" s="216"/>
      <c r="AT59" s="216"/>
      <c r="AU59" s="216"/>
      <c r="AV59" s="216"/>
      <c r="AW59" s="216"/>
      <c r="AX59" s="216"/>
      <c r="AY59" s="375"/>
      <c r="AZ59" s="375"/>
    </row>
    <row r="60" spans="1:58"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211" t="s">
        <v>51</v>
      </c>
      <c r="U60" s="211"/>
      <c r="V60" s="211"/>
      <c r="W60" s="211"/>
      <c r="X60" s="211"/>
      <c r="Y60" s="211"/>
      <c r="Z60" s="211"/>
      <c r="AA60" s="211"/>
      <c r="AB60" s="211"/>
      <c r="AC60" s="211"/>
      <c r="AD60" s="211"/>
      <c r="AE60" s="211"/>
      <c r="AF60" s="211"/>
      <c r="AG60" s="211"/>
      <c r="AH60" s="154"/>
      <c r="AI60" s="154"/>
      <c r="AJ60" s="154"/>
      <c r="AK60" s="211" t="s">
        <v>17</v>
      </c>
      <c r="AL60" s="211"/>
      <c r="AM60" s="211"/>
      <c r="AN60" s="211"/>
      <c r="AO60" s="211"/>
      <c r="AP60" s="211"/>
      <c r="AQ60" s="211"/>
      <c r="AR60" s="211"/>
      <c r="AS60" s="211"/>
      <c r="AT60" s="211"/>
      <c r="AU60" s="211"/>
      <c r="AV60" s="211"/>
      <c r="AW60" s="211"/>
      <c r="AX60" s="211"/>
      <c r="AY60" s="375"/>
      <c r="AZ60" s="375"/>
    </row>
    <row r="61" spans="1:58" ht="13.5" customHeight="1" x14ac:dyDescent="0.2">
      <c r="A61" s="542" t="s">
        <v>476</v>
      </c>
      <c r="B61" s="542"/>
      <c r="C61" s="542"/>
      <c r="D61" s="542"/>
      <c r="E61" s="542"/>
      <c r="F61" s="542"/>
      <c r="G61" s="542"/>
      <c r="H61" s="542"/>
      <c r="I61" s="542"/>
      <c r="J61" s="542"/>
      <c r="K61" s="542"/>
      <c r="L61" s="542"/>
      <c r="M61" s="542"/>
      <c r="N61" s="542"/>
      <c r="O61" s="542"/>
      <c r="P61" s="542"/>
      <c r="Q61" s="542"/>
      <c r="R61" s="542"/>
      <c r="S61" s="542"/>
      <c r="T61" s="542"/>
      <c r="U61" s="542"/>
      <c r="V61" s="542"/>
      <c r="W61" s="542"/>
      <c r="X61" s="542"/>
      <c r="Y61" s="542"/>
      <c r="Z61" s="542"/>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73">
    <mergeCell ref="A61:Z61"/>
    <mergeCell ref="AA61:AZ61"/>
    <mergeCell ref="Q56:S60"/>
    <mergeCell ref="T56:AG56"/>
    <mergeCell ref="AH56:AJ60"/>
    <mergeCell ref="T57:AG59"/>
    <mergeCell ref="T60:AG60"/>
    <mergeCell ref="A49:AZ49"/>
    <mergeCell ref="A50:AZ52"/>
    <mergeCell ref="A53:AZ55"/>
    <mergeCell ref="A56:B60"/>
    <mergeCell ref="C56:P56"/>
    <mergeCell ref="AK56:AX56"/>
    <mergeCell ref="AY56:AZ60"/>
    <mergeCell ref="C57:P59"/>
    <mergeCell ref="AK57:AX59"/>
    <mergeCell ref="C60:P60"/>
    <mergeCell ref="AK60:AX60"/>
    <mergeCell ref="A48:AZ48"/>
    <mergeCell ref="A37:AZ37"/>
    <mergeCell ref="A38:AZ38"/>
    <mergeCell ref="A39:AZ39"/>
    <mergeCell ref="A40:AZ40"/>
    <mergeCell ref="A41:AZ41"/>
    <mergeCell ref="A42:AZ42"/>
    <mergeCell ref="A43:AZ43"/>
    <mergeCell ref="A44:AZ44"/>
    <mergeCell ref="A45:AZ45"/>
    <mergeCell ref="A46:AZ46"/>
    <mergeCell ref="A47:AZ47"/>
    <mergeCell ref="A36:AZ36"/>
    <mergeCell ref="A25:AZ25"/>
    <mergeCell ref="A26:AZ26"/>
    <mergeCell ref="A27:AZ27"/>
    <mergeCell ref="A28:AZ28"/>
    <mergeCell ref="A29:AZ29"/>
    <mergeCell ref="A30:AZ30"/>
    <mergeCell ref="A31:AZ31"/>
    <mergeCell ref="A32:AZ32"/>
    <mergeCell ref="A33:AZ33"/>
    <mergeCell ref="A34:AZ34"/>
    <mergeCell ref="A35:AZ35"/>
    <mergeCell ref="A24:AZ24"/>
    <mergeCell ref="A11:AZ11"/>
    <mergeCell ref="A12:AZ12"/>
    <mergeCell ref="A13:AZ13"/>
    <mergeCell ref="A14:AZ14"/>
    <mergeCell ref="A15:AZ17"/>
    <mergeCell ref="A18:AZ18"/>
    <mergeCell ref="A19:AZ19"/>
    <mergeCell ref="A20:AZ20"/>
    <mergeCell ref="A21:AZ21"/>
    <mergeCell ref="A22:AZ22"/>
    <mergeCell ref="A23:AZ23"/>
    <mergeCell ref="A10:B10"/>
    <mergeCell ref="D10:AZ10"/>
    <mergeCell ref="A4:AZ4"/>
    <mergeCell ref="A5:AZ5"/>
    <mergeCell ref="A6:G6"/>
    <mergeCell ref="I6:AD6"/>
    <mergeCell ref="AE6:AI6"/>
    <mergeCell ref="AK6:AZ6"/>
    <mergeCell ref="A7:G7"/>
    <mergeCell ref="I7:AJ7"/>
    <mergeCell ref="AK7:AZ7"/>
    <mergeCell ref="A8:AZ8"/>
    <mergeCell ref="A9:AZ9"/>
    <mergeCell ref="A1:AD3"/>
    <mergeCell ref="AE1:AI1"/>
    <mergeCell ref="AK1:AZ1"/>
    <mergeCell ref="AE2:AI2"/>
    <mergeCell ref="AK2:AZ2"/>
    <mergeCell ref="AE3:AZ3"/>
  </mergeCells>
  <conditionalFormatting sqref="AK1:AZ2 I6:I7 D10">
    <cfRule type="containsBlanks" dxfId="89" priority="6" stopIfTrue="1">
      <formula>LEN(TRIM(D1))=0</formula>
    </cfRule>
  </conditionalFormatting>
  <conditionalFormatting sqref="AK57 T57 C57 AK6">
    <cfRule type="containsBlanks" dxfId="88" priority="3" stopIfTrue="1">
      <formula>LEN(TRIM(C6))=0</formula>
    </cfRule>
  </conditionalFormatting>
  <conditionalFormatting sqref="A18">
    <cfRule type="containsBlanks" dxfId="87" priority="1" stopIfTrue="1">
      <formula>LEN(TRIM(A18))=0</formula>
    </cfRule>
  </conditionalFormatting>
  <dataValidations count="2">
    <dataValidation type="date" allowBlank="1" showInputMessage="1" showErrorMessage="1" error="Must enter date (mm/dd/yyyy)" sqref="AK6" xr:uid="{FB26517E-75AB-456B-9FC0-C74FA07DDD95}">
      <formula1>1</formula1>
      <formula2>73050</formula2>
    </dataValidation>
    <dataValidation allowBlank="1" showInputMessage="1" showErrorMessage="1" prompt="If a letter of protest needs to be issued please fill out this section of the report detailing the reasons why." sqref="A18:AZ18" xr:uid="{B77DC9A2-A9A0-42FE-A2B7-AFD16316097D}"/>
  </dataValidations>
  <printOptions horizontalCentered="1"/>
  <pageMargins left="0" right="0" top="0.51181102362204722" bottom="0" header="0.51181102362204722" footer="0.23622047244094491"/>
  <pageSetup orientation="portrait" horizontalDpi="4294967293" r:id="rId1"/>
  <headerFooter alignWithMargins="0">
    <oddFooter>&amp;C&amp;06 &amp;P &amp;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92D050"/>
  </sheetPr>
  <dimension ref="A1:BS61"/>
  <sheetViews>
    <sheetView topLeftCell="A4" zoomScaleNormal="100" workbookViewId="0">
      <selection activeCell="A19" sqref="A19:AZ19"/>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58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Entry'!N10="","",'Data Entry'!N10)</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t="s">
        <v>564</v>
      </c>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206" t="s">
        <v>565</v>
      </c>
      <c r="B19" s="206"/>
      <c r="C19" s="206"/>
      <c r="D19" s="206"/>
      <c r="E19" s="206"/>
      <c r="F19" s="206"/>
      <c r="G19" s="206"/>
      <c r="H19" s="206"/>
      <c r="I19" s="206"/>
      <c r="J19" s="206"/>
      <c r="K19" s="206"/>
      <c r="L19" s="206"/>
      <c r="M19" s="206"/>
      <c r="N19" s="206"/>
      <c r="O19" s="206"/>
      <c r="P19" s="206"/>
      <c r="Q19" s="206"/>
      <c r="R19" s="206"/>
      <c r="S19" s="206"/>
      <c r="T19" s="206"/>
      <c r="U19" s="206"/>
      <c r="V19" s="206"/>
      <c r="W19" s="206"/>
      <c r="X19" s="206"/>
      <c r="Y19" s="206"/>
      <c r="Z19" s="206"/>
      <c r="AA19" s="206"/>
      <c r="AB19" s="206"/>
      <c r="AC19" s="206"/>
      <c r="AD19" s="206"/>
      <c r="AE19" s="206"/>
      <c r="AF19" s="206"/>
      <c r="AG19" s="206"/>
      <c r="AH19" s="206"/>
      <c r="AI19" s="206"/>
      <c r="AJ19" s="206"/>
      <c r="AK19" s="206"/>
      <c r="AL19" s="206"/>
      <c r="AM19" s="206"/>
      <c r="AN19" s="206"/>
      <c r="AO19" s="206"/>
      <c r="AP19" s="206"/>
      <c r="AQ19" s="206"/>
      <c r="AR19" s="206"/>
      <c r="AS19" s="206"/>
      <c r="AT19" s="206"/>
      <c r="AU19" s="206"/>
      <c r="AV19" s="206"/>
      <c r="AW19" s="206"/>
      <c r="AX19" s="206"/>
      <c r="AY19" s="206"/>
      <c r="AZ19" s="206"/>
    </row>
    <row r="20" spans="1:52" ht="12" customHeight="1" x14ac:dyDescent="0.2">
      <c r="A20" s="206" t="s">
        <v>566</v>
      </c>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t="s">
        <v>590</v>
      </c>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541" t="s">
        <v>591</v>
      </c>
      <c r="B22" s="541"/>
      <c r="C22" s="541"/>
      <c r="D22" s="541"/>
      <c r="E22" s="541"/>
      <c r="F22" s="541"/>
      <c r="G22" s="541"/>
      <c r="H22" s="541"/>
      <c r="I22" s="541"/>
      <c r="J22" s="541"/>
      <c r="K22" s="541"/>
      <c r="L22" s="541"/>
      <c r="M22" s="541"/>
      <c r="N22" s="541"/>
      <c r="O22" s="541"/>
      <c r="P22" s="541"/>
      <c r="Q22" s="541"/>
      <c r="R22" s="541"/>
      <c r="S22" s="541"/>
      <c r="T22" s="541"/>
      <c r="U22" s="541"/>
      <c r="V22" s="541"/>
      <c r="W22" s="541"/>
      <c r="X22" s="541"/>
      <c r="Y22" s="541"/>
      <c r="Z22" s="541"/>
      <c r="AA22" s="541"/>
      <c r="AB22" s="541"/>
      <c r="AC22" s="541"/>
      <c r="AD22" s="541"/>
      <c r="AE22" s="541"/>
      <c r="AF22" s="541"/>
      <c r="AG22" s="541"/>
      <c r="AH22" s="541"/>
      <c r="AI22" s="541"/>
      <c r="AJ22" s="541"/>
      <c r="AK22" s="541"/>
      <c r="AL22" s="541"/>
      <c r="AM22" s="541"/>
      <c r="AN22" s="541"/>
      <c r="AO22" s="541"/>
      <c r="AP22" s="541"/>
      <c r="AQ22" s="541"/>
      <c r="AR22" s="541"/>
      <c r="AS22" s="541"/>
      <c r="AT22" s="541"/>
      <c r="AU22" s="541"/>
      <c r="AV22" s="541"/>
      <c r="AW22" s="541"/>
      <c r="AX22" s="541"/>
      <c r="AY22" s="541"/>
      <c r="AZ22" s="541"/>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6"/>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row>
    <row r="49" spans="1:71"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c r="BG49" s="123"/>
      <c r="BH49" s="123"/>
      <c r="BI49" s="123"/>
      <c r="BJ49" s="123"/>
      <c r="BK49" s="123"/>
      <c r="BL49" s="123"/>
      <c r="BM49" s="123"/>
      <c r="BN49" s="123"/>
      <c r="BO49" s="123"/>
      <c r="BP49" s="123"/>
      <c r="BQ49" s="123"/>
      <c r="BR49" s="123"/>
      <c r="BS49" s="123"/>
    </row>
    <row r="50" spans="1:71"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row>
    <row r="51" spans="1:71"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71"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71"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71"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71"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71" ht="12" customHeight="1" x14ac:dyDescent="0.2">
      <c r="A56" s="154"/>
      <c r="B56" s="154"/>
      <c r="C56" s="196" t="s">
        <v>63</v>
      </c>
      <c r="D56" s="196"/>
      <c r="E56" s="196"/>
      <c r="F56" s="196"/>
      <c r="G56" s="196"/>
      <c r="H56" s="196"/>
      <c r="I56" s="196"/>
      <c r="J56" s="196"/>
      <c r="K56" s="196"/>
      <c r="L56" s="196"/>
      <c r="M56" s="196"/>
      <c r="N56" s="196"/>
      <c r="O56" s="196"/>
      <c r="P56" s="196"/>
      <c r="Q56" s="154"/>
      <c r="R56" s="154"/>
      <c r="S56" s="154"/>
      <c r="T56" s="196" t="s">
        <v>62</v>
      </c>
      <c r="U56" s="196"/>
      <c r="V56" s="196"/>
      <c r="W56" s="196"/>
      <c r="X56" s="196"/>
      <c r="Y56" s="196"/>
      <c r="Z56" s="196"/>
      <c r="AA56" s="196"/>
      <c r="AB56" s="196"/>
      <c r="AC56" s="196"/>
      <c r="AD56" s="196"/>
      <c r="AE56" s="196"/>
      <c r="AF56" s="196"/>
      <c r="AG56" s="196"/>
      <c r="AH56" s="154"/>
      <c r="AI56" s="154"/>
      <c r="AJ56" s="154"/>
      <c r="AK56" s="196" t="s">
        <v>62</v>
      </c>
      <c r="AL56" s="196"/>
      <c r="AM56" s="196"/>
      <c r="AN56" s="196"/>
      <c r="AO56" s="196"/>
      <c r="AP56" s="196"/>
      <c r="AQ56" s="196"/>
      <c r="AR56" s="196"/>
      <c r="AS56" s="196"/>
      <c r="AT56" s="196"/>
      <c r="AU56" s="196"/>
      <c r="AV56" s="196"/>
      <c r="AW56" s="196"/>
      <c r="AX56" s="196"/>
      <c r="AY56" s="375"/>
      <c r="AZ56" s="375"/>
    </row>
    <row r="57" spans="1:71"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215" t="str">
        <f>IF('Data Entry'!N13="","",'Data Entry'!N13)</f>
        <v/>
      </c>
      <c r="U57" s="215"/>
      <c r="V57" s="215"/>
      <c r="W57" s="215"/>
      <c r="X57" s="215"/>
      <c r="Y57" s="215"/>
      <c r="Z57" s="215"/>
      <c r="AA57" s="215"/>
      <c r="AB57" s="215"/>
      <c r="AC57" s="215"/>
      <c r="AD57" s="215"/>
      <c r="AE57" s="215"/>
      <c r="AF57" s="215"/>
      <c r="AG57" s="215"/>
      <c r="AH57" s="154"/>
      <c r="AI57" s="154"/>
      <c r="AJ57" s="154"/>
      <c r="AK57" s="215" t="str">
        <f>IF('Data Entry'!N9="","",'Data Entry'!N9)</f>
        <v/>
      </c>
      <c r="AL57" s="215"/>
      <c r="AM57" s="215"/>
      <c r="AN57" s="215"/>
      <c r="AO57" s="215"/>
      <c r="AP57" s="215"/>
      <c r="AQ57" s="215"/>
      <c r="AR57" s="215"/>
      <c r="AS57" s="215"/>
      <c r="AT57" s="215"/>
      <c r="AU57" s="215"/>
      <c r="AV57" s="215"/>
      <c r="AW57" s="215"/>
      <c r="AX57" s="215"/>
      <c r="AY57" s="375"/>
      <c r="AZ57" s="375"/>
    </row>
    <row r="58" spans="1:71" ht="12" customHeight="1" x14ac:dyDescent="0.2">
      <c r="A58" s="154"/>
      <c r="B58" s="154"/>
      <c r="C58" s="215"/>
      <c r="D58" s="215"/>
      <c r="E58" s="215"/>
      <c r="F58" s="215"/>
      <c r="G58" s="215"/>
      <c r="H58" s="215"/>
      <c r="I58" s="215"/>
      <c r="J58" s="215"/>
      <c r="K58" s="215"/>
      <c r="L58" s="215"/>
      <c r="M58" s="215"/>
      <c r="N58" s="215"/>
      <c r="O58" s="215"/>
      <c r="P58" s="215"/>
      <c r="Q58" s="154"/>
      <c r="R58" s="154"/>
      <c r="S58" s="154"/>
      <c r="T58" s="215"/>
      <c r="U58" s="215"/>
      <c r="V58" s="215"/>
      <c r="W58" s="215"/>
      <c r="X58" s="215"/>
      <c r="Y58" s="215"/>
      <c r="Z58" s="215"/>
      <c r="AA58" s="215"/>
      <c r="AB58" s="215"/>
      <c r="AC58" s="215"/>
      <c r="AD58" s="215"/>
      <c r="AE58" s="215"/>
      <c r="AF58" s="215"/>
      <c r="AG58" s="215"/>
      <c r="AH58" s="154"/>
      <c r="AI58" s="154"/>
      <c r="AJ58" s="154"/>
      <c r="AK58" s="215"/>
      <c r="AL58" s="215"/>
      <c r="AM58" s="215"/>
      <c r="AN58" s="215"/>
      <c r="AO58" s="215"/>
      <c r="AP58" s="215"/>
      <c r="AQ58" s="215"/>
      <c r="AR58" s="215"/>
      <c r="AS58" s="215"/>
      <c r="AT58" s="215"/>
      <c r="AU58" s="215"/>
      <c r="AV58" s="215"/>
      <c r="AW58" s="215"/>
      <c r="AX58" s="215"/>
      <c r="AY58" s="375"/>
      <c r="AZ58" s="375"/>
    </row>
    <row r="59" spans="1:71" ht="12" customHeight="1" x14ac:dyDescent="0.2">
      <c r="A59" s="154"/>
      <c r="B59" s="154"/>
      <c r="C59" s="216"/>
      <c r="D59" s="216"/>
      <c r="E59" s="216"/>
      <c r="F59" s="216"/>
      <c r="G59" s="216"/>
      <c r="H59" s="216"/>
      <c r="I59" s="216"/>
      <c r="J59" s="216"/>
      <c r="K59" s="216"/>
      <c r="L59" s="216"/>
      <c r="M59" s="216"/>
      <c r="N59" s="216"/>
      <c r="O59" s="216"/>
      <c r="P59" s="216"/>
      <c r="Q59" s="154"/>
      <c r="R59" s="154"/>
      <c r="S59" s="154"/>
      <c r="T59" s="216"/>
      <c r="U59" s="216"/>
      <c r="V59" s="216"/>
      <c r="W59" s="216"/>
      <c r="X59" s="216"/>
      <c r="Y59" s="216"/>
      <c r="Z59" s="216"/>
      <c r="AA59" s="216"/>
      <c r="AB59" s="216"/>
      <c r="AC59" s="216"/>
      <c r="AD59" s="216"/>
      <c r="AE59" s="216"/>
      <c r="AF59" s="216"/>
      <c r="AG59" s="216"/>
      <c r="AH59" s="154"/>
      <c r="AI59" s="154"/>
      <c r="AJ59" s="154"/>
      <c r="AK59" s="216"/>
      <c r="AL59" s="216"/>
      <c r="AM59" s="216"/>
      <c r="AN59" s="216"/>
      <c r="AO59" s="216"/>
      <c r="AP59" s="216"/>
      <c r="AQ59" s="216"/>
      <c r="AR59" s="216"/>
      <c r="AS59" s="216"/>
      <c r="AT59" s="216"/>
      <c r="AU59" s="216"/>
      <c r="AV59" s="216"/>
      <c r="AW59" s="216"/>
      <c r="AX59" s="216"/>
      <c r="AY59" s="375"/>
      <c r="AZ59" s="375"/>
    </row>
    <row r="60" spans="1:71"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211" t="s">
        <v>51</v>
      </c>
      <c r="U60" s="211"/>
      <c r="V60" s="211"/>
      <c r="W60" s="211"/>
      <c r="X60" s="211"/>
      <c r="Y60" s="211"/>
      <c r="Z60" s="211"/>
      <c r="AA60" s="211"/>
      <c r="AB60" s="211"/>
      <c r="AC60" s="211"/>
      <c r="AD60" s="211"/>
      <c r="AE60" s="211"/>
      <c r="AF60" s="211"/>
      <c r="AG60" s="211"/>
      <c r="AH60" s="154"/>
      <c r="AI60" s="154"/>
      <c r="AJ60" s="154"/>
      <c r="AK60" s="211" t="s">
        <v>17</v>
      </c>
      <c r="AL60" s="211"/>
      <c r="AM60" s="211"/>
      <c r="AN60" s="211"/>
      <c r="AO60" s="211"/>
      <c r="AP60" s="211"/>
      <c r="AQ60" s="211"/>
      <c r="AR60" s="211"/>
      <c r="AS60" s="211"/>
      <c r="AT60" s="211"/>
      <c r="AU60" s="211"/>
      <c r="AV60" s="211"/>
      <c r="AW60" s="211"/>
      <c r="AX60" s="211"/>
      <c r="AY60" s="375"/>
      <c r="AZ60" s="375"/>
    </row>
    <row r="61" spans="1:71" ht="13.5" customHeight="1" x14ac:dyDescent="0.2">
      <c r="A61" s="148" t="s">
        <v>271</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73">
    <mergeCell ref="A1:AD3"/>
    <mergeCell ref="AE1:AI1"/>
    <mergeCell ref="AK1:AZ1"/>
    <mergeCell ref="AE2:AI2"/>
    <mergeCell ref="AK2:AZ2"/>
    <mergeCell ref="AE3:AZ3"/>
    <mergeCell ref="AE6:AI6"/>
    <mergeCell ref="AK6:AZ6"/>
    <mergeCell ref="A37:AZ37"/>
    <mergeCell ref="A38:AZ38"/>
    <mergeCell ref="A4:AZ4"/>
    <mergeCell ref="A5:AZ5"/>
    <mergeCell ref="A6:G6"/>
    <mergeCell ref="I6:AD6"/>
    <mergeCell ref="A10:B10"/>
    <mergeCell ref="A36:AZ36"/>
    <mergeCell ref="A20:AZ20"/>
    <mergeCell ref="A14:AZ14"/>
    <mergeCell ref="A9:AZ9"/>
    <mergeCell ref="A27:AZ27"/>
    <mergeCell ref="A13:AZ13"/>
    <mergeCell ref="A18:AZ18"/>
    <mergeCell ref="A19:AZ19"/>
    <mergeCell ref="A15:AZ17"/>
    <mergeCell ref="A35:AZ35"/>
    <mergeCell ref="A29:AZ29"/>
    <mergeCell ref="A25:AZ25"/>
    <mergeCell ref="A26:AZ26"/>
    <mergeCell ref="A33:AZ33"/>
    <mergeCell ref="A61:Z61"/>
    <mergeCell ref="AA61:AZ61"/>
    <mergeCell ref="A47:AZ47"/>
    <mergeCell ref="A43:AZ43"/>
    <mergeCell ref="A44:AZ44"/>
    <mergeCell ref="A45:AZ45"/>
    <mergeCell ref="A46:AZ46"/>
    <mergeCell ref="AK56:AX56"/>
    <mergeCell ref="AK57:AX59"/>
    <mergeCell ref="C57:P59"/>
    <mergeCell ref="Q56:S60"/>
    <mergeCell ref="T56:AG56"/>
    <mergeCell ref="AH56:AJ60"/>
    <mergeCell ref="T57:AG59"/>
    <mergeCell ref="T60:AG60"/>
    <mergeCell ref="A39:AZ39"/>
    <mergeCell ref="A40:AZ40"/>
    <mergeCell ref="A41:AZ41"/>
    <mergeCell ref="A42:AZ42"/>
    <mergeCell ref="A56:B60"/>
    <mergeCell ref="C60:P60"/>
    <mergeCell ref="C56:P56"/>
    <mergeCell ref="A50:AZ52"/>
    <mergeCell ref="A48:AZ48"/>
    <mergeCell ref="AY56:AZ60"/>
    <mergeCell ref="A53:AZ55"/>
    <mergeCell ref="AK60:AX60"/>
    <mergeCell ref="A49:AZ49"/>
    <mergeCell ref="I7:AJ7"/>
    <mergeCell ref="AK7:AZ7"/>
    <mergeCell ref="A34:AZ34"/>
    <mergeCell ref="A30:AZ30"/>
    <mergeCell ref="A31:AZ31"/>
    <mergeCell ref="A32:AZ32"/>
    <mergeCell ref="A7:G7"/>
    <mergeCell ref="D10:AZ10"/>
    <mergeCell ref="A24:AZ24"/>
    <mergeCell ref="A21:AZ21"/>
    <mergeCell ref="A28:AZ28"/>
    <mergeCell ref="A22:AZ22"/>
    <mergeCell ref="A23:AZ23"/>
    <mergeCell ref="A11:AZ11"/>
    <mergeCell ref="A12:AZ12"/>
    <mergeCell ref="A8:AZ8"/>
  </mergeCells>
  <phoneticPr fontId="2" type="noConversion"/>
  <conditionalFormatting sqref="AK6 AK1:AZ2 I6:I7">
    <cfRule type="containsBlanks" dxfId="86" priority="9" stopIfTrue="1">
      <formula>LEN(TRIM(I1))=0</formula>
    </cfRule>
  </conditionalFormatting>
  <conditionalFormatting sqref="D10">
    <cfRule type="containsBlanks" dxfId="85" priority="7" stopIfTrue="1">
      <formula>LEN(TRIM(D10))=0</formula>
    </cfRule>
  </conditionalFormatting>
  <conditionalFormatting sqref="AK57 T57 C57">
    <cfRule type="containsBlanks" dxfId="84" priority="2" stopIfTrue="1">
      <formula>LEN(TRIM(C57))=0</formula>
    </cfRule>
  </conditionalFormatting>
  <conditionalFormatting sqref="A18">
    <cfRule type="containsBlanks" dxfId="83" priority="1" stopIfTrue="1">
      <formula>LEN(TRIM(A18))=0</formula>
    </cfRule>
  </conditionalFormatting>
  <dataValidations count="3">
    <dataValidation type="date" allowBlank="1" showInputMessage="1" showErrorMessage="1" error="Must enter date (mm/dd/yyyy)" sqref="AK6" xr:uid="{00000000-0002-0000-0C00-000000000000}">
      <formula1>1</formula1>
      <formula2>73050</formula2>
    </dataValidation>
    <dataValidation allowBlank="1" showInputMessage="1" showErrorMessage="1" prompt="If a letter of protest needs to be issued please fill out this section of the report detailing the reasons why." sqref="A18:AZ18" xr:uid="{B3929178-3435-4C3A-96CE-E21637B757ED}"/>
    <dataValidation allowBlank="1" showInputMessage="1" showErrorMessage="1" prompt="Please advise who the Letter of Protest is being issued to" sqref="D10:AZ10" xr:uid="{00000000-0002-0000-0C00-000004000000}"/>
  </dataValidations>
  <printOptions horizontalCentered="1"/>
  <pageMargins left="0" right="0" top="0.51181102362204722" bottom="0" header="0.51181102362204722" footer="0.23622047244094491"/>
  <pageSetup orientation="portrait" horizontalDpi="4294967293" r:id="rId1"/>
  <headerFooter alignWithMargins="0">
    <oddFooter>&amp;C&amp;06 &amp;P &amp;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tabColor rgb="FFFFFF00"/>
    <pageSetUpPr fitToPage="1"/>
  </sheetPr>
  <dimension ref="A1:BB44"/>
  <sheetViews>
    <sheetView topLeftCell="A10" zoomScaleNormal="100" workbookViewId="0">
      <selection activeCell="BD37" sqref="BD37"/>
    </sheetView>
  </sheetViews>
  <sheetFormatPr defaultColWidth="9.140625" defaultRowHeight="12" customHeight="1" x14ac:dyDescent="0.2"/>
  <cols>
    <col min="1" max="52" width="1.7109375" style="17" customWidth="1"/>
    <col min="53" max="53" width="4.7109375" style="17" customWidth="1"/>
    <col min="54" max="54" width="9.140625" style="17" hidden="1" customWidth="1"/>
    <col min="55" max="55" width="9.140625" style="17" customWidth="1"/>
    <col min="56" max="16384" width="9.140625" style="17"/>
  </cols>
  <sheetData>
    <row r="1" spans="1:54" ht="17.100000000000001" customHeight="1" x14ac:dyDescent="0.25">
      <c r="A1" s="246"/>
      <c r="B1" s="246"/>
      <c r="C1" s="246"/>
      <c r="D1" s="246"/>
      <c r="E1" s="246"/>
      <c r="F1" s="246"/>
      <c r="G1" s="246"/>
      <c r="H1" s="246"/>
      <c r="I1" s="246"/>
      <c r="J1" s="246"/>
      <c r="K1" s="246"/>
      <c r="L1" s="246"/>
      <c r="M1" s="246"/>
      <c r="N1" s="246"/>
      <c r="O1" s="246"/>
      <c r="P1" s="246"/>
      <c r="Q1" s="246"/>
      <c r="R1" s="246"/>
      <c r="S1" s="246"/>
      <c r="T1" s="246"/>
      <c r="U1" s="246"/>
      <c r="V1" s="246"/>
      <c r="W1" s="246"/>
      <c r="X1" s="246"/>
      <c r="Y1" s="261" t="s">
        <v>534</v>
      </c>
      <c r="Z1" s="261"/>
      <c r="AA1" s="261"/>
      <c r="AB1" s="261"/>
      <c r="AC1" s="261"/>
      <c r="AD1" s="261"/>
      <c r="AE1" s="261"/>
      <c r="AF1" s="261"/>
      <c r="AG1" s="261"/>
      <c r="AH1" s="261"/>
      <c r="AI1" s="261"/>
      <c r="AJ1" s="261"/>
      <c r="AK1" s="261"/>
      <c r="AL1" s="261"/>
      <c r="AM1" s="261"/>
      <c r="AN1" s="261"/>
      <c r="AO1" s="261"/>
      <c r="AP1" s="261"/>
      <c r="AQ1" s="261"/>
      <c r="AR1" s="261"/>
      <c r="AS1" s="261"/>
      <c r="AT1" s="261"/>
      <c r="AU1" s="261"/>
      <c r="AV1" s="261"/>
      <c r="AW1" s="261"/>
      <c r="AX1" s="261"/>
      <c r="AY1" s="261"/>
      <c r="AZ1" s="261"/>
    </row>
    <row r="2" spans="1:54" ht="17.100000000000001" customHeight="1" x14ac:dyDescent="0.2">
      <c r="A2" s="246"/>
      <c r="B2" s="246"/>
      <c r="C2" s="246"/>
      <c r="D2" s="246"/>
      <c r="E2" s="246"/>
      <c r="F2" s="246"/>
      <c r="G2" s="246"/>
      <c r="H2" s="246"/>
      <c r="I2" s="246"/>
      <c r="J2" s="246"/>
      <c r="K2" s="246"/>
      <c r="L2" s="246"/>
      <c r="M2" s="246"/>
      <c r="N2" s="246"/>
      <c r="O2" s="246"/>
      <c r="P2" s="246"/>
      <c r="Q2" s="246"/>
      <c r="R2" s="246"/>
      <c r="S2" s="246"/>
      <c r="T2" s="246"/>
      <c r="U2" s="246"/>
      <c r="V2" s="246"/>
      <c r="W2" s="246"/>
      <c r="X2" s="246"/>
      <c r="Y2" s="241" t="str">
        <f>"of " &amp; 'Data Entry'!N19 &amp; " to the"</f>
        <v>of  to the</v>
      </c>
      <c r="Z2" s="241"/>
      <c r="AA2" s="241"/>
      <c r="AB2" s="241"/>
      <c r="AC2" s="241"/>
      <c r="AD2" s="241"/>
      <c r="AE2" s="241"/>
      <c r="AF2" s="241"/>
      <c r="AG2" s="241"/>
      <c r="AH2" s="241"/>
      <c r="AI2" s="241"/>
      <c r="AJ2" s="241"/>
      <c r="AK2" s="241"/>
      <c r="AL2" s="241"/>
      <c r="AM2" s="241"/>
      <c r="AN2" s="241"/>
      <c r="AO2" s="241"/>
      <c r="AP2" s="241"/>
      <c r="AQ2" s="241"/>
      <c r="AR2" s="241"/>
      <c r="AS2" s="241"/>
      <c r="AT2" s="241"/>
      <c r="AU2" s="241"/>
      <c r="AV2" s="241"/>
      <c r="AW2" s="241"/>
      <c r="AX2" s="241"/>
      <c r="AY2" s="241"/>
      <c r="AZ2" s="241"/>
    </row>
    <row r="3" spans="1:54" ht="17.100000000000001" customHeight="1" x14ac:dyDescent="0.2">
      <c r="A3" s="246"/>
      <c r="B3" s="246"/>
      <c r="C3" s="246"/>
      <c r="D3" s="246"/>
      <c r="E3" s="246"/>
      <c r="F3" s="246"/>
      <c r="G3" s="246"/>
      <c r="H3" s="246"/>
      <c r="I3" s="246"/>
      <c r="J3" s="246"/>
      <c r="K3" s="246"/>
      <c r="L3" s="246"/>
      <c r="M3" s="246"/>
      <c r="N3" s="246"/>
      <c r="O3" s="246"/>
      <c r="P3" s="246"/>
      <c r="Q3" s="246"/>
      <c r="R3" s="246"/>
      <c r="S3" s="246"/>
      <c r="T3" s="246"/>
      <c r="U3" s="246"/>
      <c r="V3" s="246"/>
      <c r="W3" s="246"/>
      <c r="X3" s="246"/>
      <c r="Y3" s="262">
        <f>'Data Entry'!N6</f>
        <v>0</v>
      </c>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row>
    <row r="4" spans="1:54" ht="17.100000000000001" customHeight="1" x14ac:dyDescent="0.2">
      <c r="A4" s="246"/>
      <c r="B4" s="246"/>
      <c r="C4" s="246"/>
      <c r="D4" s="246"/>
      <c r="E4" s="246"/>
      <c r="F4" s="246"/>
      <c r="G4" s="246"/>
      <c r="H4" s="246"/>
      <c r="I4" s="246"/>
      <c r="J4" s="246"/>
      <c r="K4" s="246"/>
      <c r="L4" s="246"/>
      <c r="M4" s="246"/>
      <c r="N4" s="246"/>
      <c r="O4" s="246"/>
      <c r="P4" s="246"/>
      <c r="Q4" s="246"/>
      <c r="R4" s="246"/>
      <c r="S4" s="246"/>
      <c r="T4" s="246"/>
      <c r="U4" s="246"/>
      <c r="V4" s="246"/>
      <c r="W4" s="246"/>
      <c r="X4" s="246"/>
      <c r="Y4" s="246" t="str">
        <f>IF('Data Entry'!G86=0,"","REPORT REVISION # " &amp; 'Data Entry'!G86)</f>
        <v/>
      </c>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row>
    <row r="5" spans="1:54" ht="17.100000000000001" customHeight="1" x14ac:dyDescent="0.2">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row>
    <row r="6" spans="1:54" ht="17.100000000000001" customHeight="1" x14ac:dyDescent="0.2">
      <c r="A6" s="264" t="s">
        <v>64</v>
      </c>
      <c r="B6" s="265"/>
      <c r="C6" s="265"/>
      <c r="D6" s="265" t="str">
        <f>IF('Data Entry'!N32="","",'Data Entry'!N32)</f>
        <v/>
      </c>
      <c r="E6" s="265"/>
      <c r="F6" s="265"/>
      <c r="G6" s="265"/>
      <c r="H6" s="265"/>
      <c r="I6" s="265"/>
      <c r="J6" s="265"/>
      <c r="K6" s="265"/>
      <c r="L6" s="265"/>
      <c r="M6" s="265"/>
      <c r="N6" s="265"/>
      <c r="O6" s="265"/>
      <c r="P6" s="265"/>
      <c r="Q6" s="265"/>
      <c r="R6" s="265"/>
      <c r="S6" s="265"/>
      <c r="T6" s="265"/>
      <c r="U6" s="265"/>
      <c r="V6" s="266"/>
      <c r="W6" s="246"/>
      <c r="X6" s="278"/>
      <c r="Y6" s="264" t="s">
        <v>66</v>
      </c>
      <c r="Z6" s="265"/>
      <c r="AA6" s="265"/>
      <c r="AB6" s="265"/>
      <c r="AC6" s="265"/>
      <c r="AD6" s="265"/>
      <c r="AE6" s="267" t="s">
        <v>0</v>
      </c>
      <c r="AF6" s="267"/>
      <c r="AG6" s="265" t="str">
        <f>IF('Data Entry'!N6="","",'Data Entry'!N6)</f>
        <v/>
      </c>
      <c r="AH6" s="265"/>
      <c r="AI6" s="265"/>
      <c r="AJ6" s="265"/>
      <c r="AK6" s="265"/>
      <c r="AL6" s="265"/>
      <c r="AM6" s="265"/>
      <c r="AN6" s="265"/>
      <c r="AO6" s="265"/>
      <c r="AP6" s="265"/>
      <c r="AQ6" s="265"/>
      <c r="AR6" s="265"/>
      <c r="AS6" s="265"/>
      <c r="AT6" s="265"/>
      <c r="AU6" s="265"/>
      <c r="AV6" s="265"/>
      <c r="AW6" s="265"/>
      <c r="AX6" s="265"/>
      <c r="AY6" s="265"/>
      <c r="AZ6" s="266"/>
    </row>
    <row r="7" spans="1:54" ht="17.100000000000001" customHeight="1" x14ac:dyDescent="0.2">
      <c r="A7" s="251"/>
      <c r="B7" s="242"/>
      <c r="C7" s="242"/>
      <c r="D7" s="242" t="str">
        <f>IF('Data Entry'!N33="","",'Data Entry'!N33)</f>
        <v/>
      </c>
      <c r="E7" s="242"/>
      <c r="F7" s="242"/>
      <c r="G7" s="242"/>
      <c r="H7" s="242"/>
      <c r="I7" s="242"/>
      <c r="J7" s="242"/>
      <c r="K7" s="242"/>
      <c r="L7" s="242"/>
      <c r="M7" s="242"/>
      <c r="N7" s="242"/>
      <c r="O7" s="242"/>
      <c r="P7" s="242"/>
      <c r="Q7" s="242"/>
      <c r="R7" s="242"/>
      <c r="S7" s="242"/>
      <c r="T7" s="242"/>
      <c r="U7" s="242"/>
      <c r="V7" s="252"/>
      <c r="W7" s="246"/>
      <c r="X7" s="278"/>
      <c r="Y7" s="251" t="s">
        <v>246</v>
      </c>
      <c r="Z7" s="242"/>
      <c r="AA7" s="242"/>
      <c r="AB7" s="242"/>
      <c r="AC7" s="242"/>
      <c r="AD7" s="242"/>
      <c r="AE7" s="246" t="s">
        <v>0</v>
      </c>
      <c r="AF7" s="246"/>
      <c r="AG7" s="242" t="str">
        <f>IF('Data Entry'!N7="","",'Data Entry'!N7)</f>
        <v/>
      </c>
      <c r="AH7" s="242"/>
      <c r="AI7" s="242"/>
      <c r="AJ7" s="242"/>
      <c r="AK7" s="242"/>
      <c r="AL7" s="242"/>
      <c r="AM7" s="242"/>
      <c r="AN7" s="242"/>
      <c r="AO7" s="242"/>
      <c r="AP7" s="242"/>
      <c r="AQ7" s="242"/>
      <c r="AR7" s="242"/>
      <c r="AS7" s="242"/>
      <c r="AT7" s="242"/>
      <c r="AU7" s="242"/>
      <c r="AV7" s="242"/>
      <c r="AW7" s="242"/>
      <c r="AX7" s="242"/>
      <c r="AY7" s="242"/>
      <c r="AZ7" s="252"/>
    </row>
    <row r="8" spans="1:54" ht="17.100000000000001" customHeight="1" x14ac:dyDescent="0.2">
      <c r="A8" s="251"/>
      <c r="B8" s="242"/>
      <c r="C8" s="242"/>
      <c r="D8" s="242" t="str">
        <f>IF('Data Entry'!N34="","",'Data Entry'!N34)</f>
        <v/>
      </c>
      <c r="E8" s="242"/>
      <c r="F8" s="242"/>
      <c r="G8" s="242"/>
      <c r="H8" s="242"/>
      <c r="I8" s="242"/>
      <c r="J8" s="242"/>
      <c r="K8" s="242"/>
      <c r="L8" s="242"/>
      <c r="M8" s="242"/>
      <c r="N8" s="242"/>
      <c r="O8" s="242"/>
      <c r="P8" s="242"/>
      <c r="Q8" s="242"/>
      <c r="R8" s="242"/>
      <c r="S8" s="242"/>
      <c r="T8" s="242"/>
      <c r="U8" s="242"/>
      <c r="V8" s="252"/>
      <c r="W8" s="246"/>
      <c r="X8" s="278"/>
      <c r="Y8" s="251" t="s">
        <v>177</v>
      </c>
      <c r="Z8" s="242"/>
      <c r="AA8" s="242"/>
      <c r="AB8" s="242"/>
      <c r="AC8" s="242"/>
      <c r="AD8" s="242"/>
      <c r="AE8" s="246" t="s">
        <v>0</v>
      </c>
      <c r="AF8" s="246"/>
      <c r="AG8" s="242" t="str">
        <f>IF('Data Entry'!N39="","",'Data Entry'!N39)</f>
        <v>SC17124</v>
      </c>
      <c r="AH8" s="242"/>
      <c r="AI8" s="242"/>
      <c r="AJ8" s="242"/>
      <c r="AK8" s="242"/>
      <c r="AL8" s="242"/>
      <c r="AM8" s="242"/>
      <c r="AN8" s="242"/>
      <c r="AO8" s="242"/>
      <c r="AP8" s="242"/>
      <c r="AQ8" s="242"/>
      <c r="AR8" s="242"/>
      <c r="AS8" s="242"/>
      <c r="AT8" s="242"/>
      <c r="AU8" s="242"/>
      <c r="AV8" s="242"/>
      <c r="AW8" s="242"/>
      <c r="AX8" s="242"/>
      <c r="AY8" s="242"/>
      <c r="AZ8" s="252"/>
    </row>
    <row r="9" spans="1:54" ht="17.100000000000001" customHeight="1" x14ac:dyDescent="0.2">
      <c r="A9" s="284"/>
      <c r="B9" s="246"/>
      <c r="C9" s="246"/>
      <c r="D9" s="246"/>
      <c r="E9" s="246"/>
      <c r="F9" s="246"/>
      <c r="G9" s="246"/>
      <c r="H9" s="246"/>
      <c r="I9" s="246"/>
      <c r="J9" s="246"/>
      <c r="K9" s="246"/>
      <c r="L9" s="246"/>
      <c r="M9" s="246"/>
      <c r="N9" s="246"/>
      <c r="O9" s="246"/>
      <c r="P9" s="246"/>
      <c r="Q9" s="246"/>
      <c r="R9" s="246"/>
      <c r="S9" s="246"/>
      <c r="T9" s="246"/>
      <c r="U9" s="246"/>
      <c r="V9" s="278"/>
      <c r="W9" s="246"/>
      <c r="X9" s="278"/>
      <c r="Y9" s="251" t="s">
        <v>247</v>
      </c>
      <c r="Z9" s="242"/>
      <c r="AA9" s="242"/>
      <c r="AB9" s="242"/>
      <c r="AC9" s="242"/>
      <c r="AD9" s="242"/>
      <c r="AE9" s="246" t="s">
        <v>0</v>
      </c>
      <c r="AF9" s="246"/>
      <c r="AG9" s="242" t="str">
        <f>IF('Data Entry'!N16="","",'Data Entry'!N16)</f>
        <v/>
      </c>
      <c r="AH9" s="242"/>
      <c r="AI9" s="242"/>
      <c r="AJ9" s="242"/>
      <c r="AK9" s="242"/>
      <c r="AL9" s="242"/>
      <c r="AM9" s="242"/>
      <c r="AN9" s="242"/>
      <c r="AO9" s="242"/>
      <c r="AP9" s="242"/>
      <c r="AQ9" s="242"/>
      <c r="AR9" s="242"/>
      <c r="AS9" s="242"/>
      <c r="AT9" s="242"/>
      <c r="AU9" s="242"/>
      <c r="AV9" s="242"/>
      <c r="AW9" s="242"/>
      <c r="AX9" s="242"/>
      <c r="AY9" s="242"/>
      <c r="AZ9" s="252"/>
    </row>
    <row r="10" spans="1:54" ht="17.100000000000001" customHeight="1" x14ac:dyDescent="0.2">
      <c r="A10" s="284"/>
      <c r="B10" s="246"/>
      <c r="C10" s="246"/>
      <c r="D10" s="246"/>
      <c r="E10" s="246"/>
      <c r="F10" s="246"/>
      <c r="G10" s="246"/>
      <c r="H10" s="246"/>
      <c r="I10" s="246"/>
      <c r="J10" s="246"/>
      <c r="K10" s="246"/>
      <c r="L10" s="246"/>
      <c r="M10" s="246"/>
      <c r="N10" s="246"/>
      <c r="O10" s="246"/>
      <c r="P10" s="246"/>
      <c r="Q10" s="246"/>
      <c r="R10" s="246"/>
      <c r="S10" s="246"/>
      <c r="T10" s="246"/>
      <c r="U10" s="246"/>
      <c r="V10" s="278"/>
      <c r="W10" s="246"/>
      <c r="X10" s="278"/>
      <c r="Y10" s="251" t="s">
        <v>69</v>
      </c>
      <c r="Z10" s="242"/>
      <c r="AA10" s="242"/>
      <c r="AB10" s="242"/>
      <c r="AC10" s="242"/>
      <c r="AD10" s="242"/>
      <c r="AE10" s="246" t="s">
        <v>0</v>
      </c>
      <c r="AF10" s="246"/>
      <c r="AG10" s="242" t="str">
        <f>IF('Data Entry'!N17="","",'Data Entry'!N17)</f>
        <v/>
      </c>
      <c r="AH10" s="242"/>
      <c r="AI10" s="242"/>
      <c r="AJ10" s="242"/>
      <c r="AK10" s="242"/>
      <c r="AL10" s="242"/>
      <c r="AM10" s="242"/>
      <c r="AN10" s="242"/>
      <c r="AO10" s="242"/>
      <c r="AP10" s="242"/>
      <c r="AQ10" s="242"/>
      <c r="AR10" s="242"/>
      <c r="AS10" s="242"/>
      <c r="AT10" s="242"/>
      <c r="AU10" s="242"/>
      <c r="AV10" s="242"/>
      <c r="AW10" s="242"/>
      <c r="AX10" s="242"/>
      <c r="AY10" s="242"/>
      <c r="AZ10" s="252"/>
    </row>
    <row r="11" spans="1:54" ht="17.100000000000001" customHeight="1" x14ac:dyDescent="0.2">
      <c r="A11" s="251" t="s">
        <v>65</v>
      </c>
      <c r="B11" s="242"/>
      <c r="C11" s="242"/>
      <c r="D11" s="242" t="str">
        <f>IF('Data Entry'!N35="","",'Data Entry'!N35)</f>
        <v/>
      </c>
      <c r="E11" s="242"/>
      <c r="F11" s="242"/>
      <c r="G11" s="242"/>
      <c r="H11" s="242"/>
      <c r="I11" s="242"/>
      <c r="J11" s="242"/>
      <c r="K11" s="242"/>
      <c r="L11" s="242"/>
      <c r="M11" s="242"/>
      <c r="N11" s="242"/>
      <c r="O11" s="242"/>
      <c r="P11" s="242"/>
      <c r="Q11" s="242"/>
      <c r="R11" s="242"/>
      <c r="S11" s="242"/>
      <c r="T11" s="242"/>
      <c r="U11" s="242"/>
      <c r="V11" s="252"/>
      <c r="W11" s="246"/>
      <c r="X11" s="278"/>
      <c r="Y11" s="251" t="s">
        <v>320</v>
      </c>
      <c r="Z11" s="242"/>
      <c r="AA11" s="242"/>
      <c r="AB11" s="242"/>
      <c r="AC11" s="242"/>
      <c r="AD11" s="242"/>
      <c r="AE11" s="246" t="s">
        <v>0</v>
      </c>
      <c r="AF11" s="246"/>
      <c r="AG11" s="242" t="str">
        <f>IF('Data Entry'!N19="","",'Data Entry'!N19)</f>
        <v/>
      </c>
      <c r="AH11" s="242"/>
      <c r="AI11" s="242"/>
      <c r="AJ11" s="242"/>
      <c r="AK11" s="242"/>
      <c r="AL11" s="242"/>
      <c r="AM11" s="242"/>
      <c r="AN11" s="242"/>
      <c r="AO11" s="242"/>
      <c r="AP11" s="242"/>
      <c r="AQ11" s="242"/>
      <c r="AR11" s="242"/>
      <c r="AS11" s="242"/>
      <c r="AT11" s="242"/>
      <c r="AU11" s="242"/>
      <c r="AV11" s="242"/>
      <c r="AW11" s="242"/>
      <c r="AX11" s="242"/>
      <c r="AY11" s="242"/>
      <c r="AZ11" s="252"/>
    </row>
    <row r="12" spans="1:54" ht="17.100000000000001" customHeight="1" x14ac:dyDescent="0.2">
      <c r="A12" s="251"/>
      <c r="B12" s="242"/>
      <c r="C12" s="242"/>
      <c r="D12" s="242" t="str">
        <f>IF('Data Entry'!N36="","",'Data Entry'!N36)</f>
        <v/>
      </c>
      <c r="E12" s="242"/>
      <c r="F12" s="242"/>
      <c r="G12" s="242"/>
      <c r="H12" s="242"/>
      <c r="I12" s="242"/>
      <c r="J12" s="242"/>
      <c r="K12" s="242"/>
      <c r="L12" s="242"/>
      <c r="M12" s="242"/>
      <c r="N12" s="242"/>
      <c r="O12" s="242"/>
      <c r="P12" s="242"/>
      <c r="Q12" s="242"/>
      <c r="R12" s="242"/>
      <c r="S12" s="242"/>
      <c r="T12" s="242"/>
      <c r="U12" s="242"/>
      <c r="V12" s="252"/>
      <c r="W12" s="246"/>
      <c r="X12" s="278"/>
      <c r="Y12" s="251" t="s">
        <v>67</v>
      </c>
      <c r="Z12" s="242"/>
      <c r="AA12" s="242"/>
      <c r="AB12" s="242"/>
      <c r="AC12" s="242"/>
      <c r="AD12" s="242"/>
      <c r="AE12" s="246" t="s">
        <v>0</v>
      </c>
      <c r="AF12" s="246"/>
      <c r="AG12" s="268" t="str">
        <f>IF('Data Entry'!N15="","",'Data Entry'!N15)</f>
        <v/>
      </c>
      <c r="AH12" s="268"/>
      <c r="AI12" s="268"/>
      <c r="AJ12" s="268"/>
      <c r="AK12" s="268"/>
      <c r="AL12" s="268"/>
      <c r="AM12" s="268"/>
      <c r="AN12" s="268"/>
      <c r="AO12" s="268"/>
      <c r="AP12" s="268"/>
      <c r="AQ12" s="268"/>
      <c r="AR12" s="268"/>
      <c r="AS12" s="268"/>
      <c r="AT12" s="268"/>
      <c r="AU12" s="268"/>
      <c r="AV12" s="268"/>
      <c r="AW12" s="268"/>
      <c r="AX12" s="268"/>
      <c r="AY12" s="268"/>
      <c r="AZ12" s="269"/>
    </row>
    <row r="13" spans="1:54" ht="17.100000000000001" customHeight="1" x14ac:dyDescent="0.2">
      <c r="A13" s="251"/>
      <c r="B13" s="242"/>
      <c r="C13" s="242"/>
      <c r="D13" s="242" t="str">
        <f>IF('Data Entry'!N37="","",'Data Entry'!N37)</f>
        <v/>
      </c>
      <c r="E13" s="242"/>
      <c r="F13" s="242"/>
      <c r="G13" s="242"/>
      <c r="H13" s="242"/>
      <c r="I13" s="242"/>
      <c r="J13" s="242"/>
      <c r="K13" s="242"/>
      <c r="L13" s="242"/>
      <c r="M13" s="242"/>
      <c r="N13" s="242"/>
      <c r="O13" s="242"/>
      <c r="P13" s="242"/>
      <c r="Q13" s="242"/>
      <c r="R13" s="242"/>
      <c r="S13" s="242"/>
      <c r="T13" s="242"/>
      <c r="U13" s="242"/>
      <c r="V13" s="252"/>
      <c r="W13" s="246"/>
      <c r="X13" s="278"/>
      <c r="Y13" s="251" t="s">
        <v>68</v>
      </c>
      <c r="Z13" s="242"/>
      <c r="AA13" s="242"/>
      <c r="AB13" s="242"/>
      <c r="AC13" s="242"/>
      <c r="AD13" s="242"/>
      <c r="AE13" s="246" t="s">
        <v>0</v>
      </c>
      <c r="AF13" s="246"/>
      <c r="AG13" s="242" t="str">
        <f>IF('Data Entry'!N27="","",'Data Entry'!N27)</f>
        <v>İSTANBUL</v>
      </c>
      <c r="AH13" s="242"/>
      <c r="AI13" s="242"/>
      <c r="AJ13" s="242"/>
      <c r="AK13" s="242"/>
      <c r="AL13" s="242"/>
      <c r="AM13" s="242"/>
      <c r="AN13" s="242"/>
      <c r="AO13" s="242"/>
      <c r="AP13" s="242"/>
      <c r="AQ13" s="242"/>
      <c r="AR13" s="242"/>
      <c r="AS13" s="242"/>
      <c r="AT13" s="242"/>
      <c r="AU13" s="242"/>
      <c r="AV13" s="242"/>
      <c r="AW13" s="242"/>
      <c r="AX13" s="242"/>
      <c r="AY13" s="242"/>
      <c r="AZ13" s="252"/>
      <c r="BB13" s="17" t="s">
        <v>95</v>
      </c>
    </row>
    <row r="14" spans="1:54" ht="17.100000000000001" customHeight="1" x14ac:dyDescent="0.2">
      <c r="A14" s="251"/>
      <c r="B14" s="242"/>
      <c r="C14" s="242"/>
      <c r="D14" s="242" t="str">
        <f>IF('Data Entry'!N38="","",'Data Entry'!N38)</f>
        <v/>
      </c>
      <c r="E14" s="242"/>
      <c r="F14" s="242"/>
      <c r="G14" s="242"/>
      <c r="H14" s="242"/>
      <c r="I14" s="242"/>
      <c r="J14" s="242"/>
      <c r="K14" s="242"/>
      <c r="L14" s="242"/>
      <c r="M14" s="242"/>
      <c r="N14" s="242"/>
      <c r="O14" s="242"/>
      <c r="P14" s="242"/>
      <c r="Q14" s="242"/>
      <c r="R14" s="242"/>
      <c r="S14" s="242"/>
      <c r="T14" s="242"/>
      <c r="U14" s="242"/>
      <c r="V14" s="252"/>
      <c r="W14" s="246"/>
      <c r="X14" s="278"/>
      <c r="Y14" s="251" t="s">
        <v>70</v>
      </c>
      <c r="Z14" s="242"/>
      <c r="AA14" s="242"/>
      <c r="AB14" s="242"/>
      <c r="AC14" s="242"/>
      <c r="AD14" s="242"/>
      <c r="AE14" s="246" t="s">
        <v>71</v>
      </c>
      <c r="AF14" s="246"/>
      <c r="AG14" s="242" t="s">
        <v>73</v>
      </c>
      <c r="AH14" s="242"/>
      <c r="AI14" s="242"/>
      <c r="AJ14" s="242"/>
      <c r="AK14" s="242"/>
      <c r="AL14" s="242"/>
      <c r="AM14" s="242"/>
      <c r="AN14" s="246" t="s">
        <v>0</v>
      </c>
      <c r="AO14" s="246"/>
      <c r="AP14" s="549">
        <f>'Bunker Certificate 1'!AP14</f>
        <v>40</v>
      </c>
      <c r="AQ14" s="549"/>
      <c r="AR14" s="549"/>
      <c r="AS14" s="17" t="str">
        <f>"°"</f>
        <v>°</v>
      </c>
      <c r="AT14" s="547">
        <f>'Bunker Certificate 1'!AT14</f>
        <v>56.6</v>
      </c>
      <c r="AU14" s="547"/>
      <c r="AV14" s="547"/>
      <c r="AW14" s="17" t="str">
        <f>"'"</f>
        <v>'</v>
      </c>
      <c r="AX14" s="544" t="str">
        <f>'Bunker Certificate 1'!AX14</f>
        <v>N</v>
      </c>
      <c r="AY14" s="242"/>
      <c r="AZ14" s="252"/>
      <c r="BB14" s="17" t="s">
        <v>96</v>
      </c>
    </row>
    <row r="15" spans="1:54" ht="17.100000000000001" customHeight="1" x14ac:dyDescent="0.2">
      <c r="A15" s="287"/>
      <c r="B15" s="247"/>
      <c r="C15" s="247"/>
      <c r="D15" s="247"/>
      <c r="E15" s="247"/>
      <c r="F15" s="247"/>
      <c r="G15" s="247"/>
      <c r="H15" s="247"/>
      <c r="I15" s="247"/>
      <c r="J15" s="247"/>
      <c r="K15" s="247"/>
      <c r="L15" s="247"/>
      <c r="M15" s="247"/>
      <c r="N15" s="247"/>
      <c r="O15" s="247"/>
      <c r="P15" s="247"/>
      <c r="Q15" s="247"/>
      <c r="R15" s="247"/>
      <c r="S15" s="247"/>
      <c r="T15" s="247"/>
      <c r="U15" s="247"/>
      <c r="V15" s="288"/>
      <c r="W15" s="246"/>
      <c r="X15" s="278"/>
      <c r="Y15" s="248"/>
      <c r="Z15" s="249"/>
      <c r="AA15" s="249"/>
      <c r="AB15" s="249"/>
      <c r="AC15" s="249"/>
      <c r="AD15" s="249"/>
      <c r="AE15" s="249"/>
      <c r="AF15" s="249"/>
      <c r="AG15" s="250" t="s">
        <v>72</v>
      </c>
      <c r="AH15" s="250"/>
      <c r="AI15" s="250"/>
      <c r="AJ15" s="250"/>
      <c r="AK15" s="250"/>
      <c r="AL15" s="250"/>
      <c r="AM15" s="250"/>
      <c r="AN15" s="247" t="s">
        <v>0</v>
      </c>
      <c r="AO15" s="247"/>
      <c r="AP15" s="543">
        <f>'Bunker Certificate 1'!AP15</f>
        <v>28</v>
      </c>
      <c r="AQ15" s="543"/>
      <c r="AR15" s="543"/>
      <c r="AS15" s="18" t="str">
        <f>"°"</f>
        <v>°</v>
      </c>
      <c r="AT15" s="548">
        <f>'Bunker Certificate 1'!AT15</f>
        <v>52.9</v>
      </c>
      <c r="AU15" s="548"/>
      <c r="AV15" s="548"/>
      <c r="AW15" s="18" t="str">
        <f>"'"</f>
        <v>'</v>
      </c>
      <c r="AX15" s="545" t="str">
        <f>'Bunker Certificate 1'!AX15</f>
        <v>E</v>
      </c>
      <c r="AY15" s="249"/>
      <c r="AZ15" s="546"/>
      <c r="BB15" s="17" t="s">
        <v>97</v>
      </c>
    </row>
    <row r="16" spans="1:54" ht="17.100000000000001" customHeight="1" x14ac:dyDescent="0.2">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B16" s="17" t="s">
        <v>98</v>
      </c>
    </row>
    <row r="17" spans="1:54" ht="17.100000000000001" customHeight="1" x14ac:dyDescent="0.2">
      <c r="A17" s="242" t="s">
        <v>255</v>
      </c>
      <c r="B17" s="242"/>
      <c r="C17" s="242"/>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2"/>
      <c r="AI17" s="242"/>
      <c r="AJ17" s="242"/>
      <c r="AK17" s="242"/>
      <c r="AL17" s="242"/>
      <c r="AM17" s="242"/>
      <c r="AN17" s="242"/>
      <c r="AO17" s="242"/>
      <c r="AP17" s="242"/>
      <c r="AQ17" s="242"/>
      <c r="AR17" s="242"/>
      <c r="AS17" s="242"/>
      <c r="AT17" s="242"/>
      <c r="AU17" s="242"/>
      <c r="AV17" s="242"/>
      <c r="AW17" s="242"/>
      <c r="AX17" s="242"/>
      <c r="AY17" s="242"/>
      <c r="AZ17" s="242"/>
    </row>
    <row r="18" spans="1:54" ht="17.100000000000001" customHeight="1" x14ac:dyDescent="0.2">
      <c r="A18" s="242" t="str">
        <f>"This is to certify that the " &amp; AG6 &amp; " has been bunkered with"</f>
        <v>This is to certify that the  has been bunkered with</v>
      </c>
      <c r="B18" s="242"/>
      <c r="C18" s="242"/>
      <c r="D18" s="242"/>
      <c r="E18" s="242"/>
      <c r="F18" s="242"/>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242"/>
      <c r="AU18" s="242"/>
      <c r="AV18" s="242"/>
      <c r="AW18" s="242"/>
      <c r="AX18" s="242"/>
      <c r="AY18" s="242"/>
      <c r="AZ18" s="242"/>
    </row>
    <row r="19" spans="1:54" ht="17.100000000000001" customHeight="1" x14ac:dyDescent="0.2">
      <c r="A19" s="242" t="str">
        <f>AG11 &amp; " from the " &amp; AG10 &amp; " at " &amp; AG13 &amp; "."</f>
        <v xml:space="preserve"> from the  at İSTANBUL.</v>
      </c>
      <c r="B19" s="242"/>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2"/>
      <c r="AI19" s="242"/>
      <c r="AJ19" s="242"/>
      <c r="AK19" s="242"/>
      <c r="AL19" s="242"/>
      <c r="AM19" s="242"/>
      <c r="AN19" s="242"/>
      <c r="AO19" s="242"/>
      <c r="AP19" s="242"/>
      <c r="AQ19" s="242"/>
      <c r="AR19" s="242"/>
      <c r="AS19" s="242"/>
      <c r="AT19" s="242"/>
      <c r="AU19" s="242"/>
      <c r="AV19" s="242"/>
      <c r="AW19" s="242"/>
      <c r="AX19" s="242"/>
      <c r="AY19" s="242"/>
      <c r="AZ19" s="242"/>
    </row>
    <row r="20" spans="1:54" ht="17.100000000000001" customHeight="1" x14ac:dyDescent="0.2">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row>
    <row r="21" spans="1:54" ht="17.100000000000001" customHeight="1" x14ac:dyDescent="0.2">
      <c r="A21" s="241" t="str">
        <f>"CUSTODY TRANSFER  -  BUNKER RECEIPT FOR " &amp; AG11</f>
        <v xml:space="preserve">CUSTODY TRANSFER  -  BUNKER RECEIPT FOR </v>
      </c>
      <c r="B21" s="241"/>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W21" s="241"/>
      <c r="AX21" s="241"/>
      <c r="AY21" s="241"/>
      <c r="AZ21" s="241"/>
    </row>
    <row r="22" spans="1:54" ht="17.100000000000001" customHeight="1" x14ac:dyDescent="0.2">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row>
    <row r="23" spans="1:54" ht="17.100000000000001" customHeight="1" x14ac:dyDescent="0.2">
      <c r="A23" s="243" t="s">
        <v>79</v>
      </c>
      <c r="B23" s="243"/>
      <c r="C23" s="243"/>
      <c r="D23" s="243"/>
      <c r="E23" s="243"/>
      <c r="F23" s="243"/>
      <c r="G23" s="243"/>
      <c r="H23" s="243"/>
      <c r="I23" s="243"/>
      <c r="J23" s="243"/>
      <c r="K23" s="243"/>
      <c r="L23" s="243"/>
      <c r="M23" s="244" t="s">
        <v>356</v>
      </c>
      <c r="N23" s="244"/>
      <c r="O23" s="244"/>
      <c r="P23" s="244"/>
      <c r="Q23" s="244"/>
      <c r="R23" s="244"/>
      <c r="S23" s="244"/>
      <c r="T23" s="244"/>
      <c r="U23" s="244" t="s">
        <v>86</v>
      </c>
      <c r="V23" s="244"/>
      <c r="W23" s="244"/>
      <c r="X23" s="244"/>
      <c r="Y23" s="244"/>
      <c r="Z23" s="244"/>
      <c r="AA23" s="244"/>
      <c r="AB23" s="244"/>
      <c r="AC23" s="244" t="s">
        <v>76</v>
      </c>
      <c r="AD23" s="244"/>
      <c r="AE23" s="244"/>
      <c r="AF23" s="244"/>
      <c r="AG23" s="244"/>
      <c r="AH23" s="244"/>
      <c r="AI23" s="244"/>
      <c r="AJ23" s="244"/>
      <c r="AK23" s="244" t="s">
        <v>78</v>
      </c>
      <c r="AL23" s="244"/>
      <c r="AM23" s="244"/>
      <c r="AN23" s="244"/>
      <c r="AO23" s="244"/>
      <c r="AP23" s="244"/>
      <c r="AQ23" s="244"/>
      <c r="AR23" s="244"/>
      <c r="AS23" s="244" t="s">
        <v>77</v>
      </c>
      <c r="AT23" s="244"/>
      <c r="AU23" s="244"/>
      <c r="AV23" s="244"/>
      <c r="AW23" s="244"/>
      <c r="AX23" s="244"/>
      <c r="AY23" s="244"/>
      <c r="AZ23" s="244"/>
    </row>
    <row r="24" spans="1:54" ht="17.100000000000001" customHeight="1" x14ac:dyDescent="0.2">
      <c r="A24" s="243"/>
      <c r="B24" s="243"/>
      <c r="C24" s="243"/>
      <c r="D24" s="243"/>
      <c r="E24" s="243"/>
      <c r="F24" s="243"/>
      <c r="G24" s="243"/>
      <c r="H24" s="243"/>
      <c r="I24" s="243"/>
      <c r="J24" s="243"/>
      <c r="K24" s="243"/>
      <c r="L24" s="243"/>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c r="AM24" s="244"/>
      <c r="AN24" s="244"/>
      <c r="AO24" s="244"/>
      <c r="AP24" s="244"/>
      <c r="AQ24" s="244"/>
      <c r="AR24" s="244"/>
      <c r="AS24" s="245"/>
      <c r="AT24" s="245"/>
      <c r="AU24" s="245"/>
      <c r="AV24" s="245"/>
      <c r="AW24" s="245"/>
      <c r="AX24" s="245"/>
      <c r="AY24" s="245"/>
      <c r="AZ24" s="245"/>
    </row>
    <row r="25" spans="1:54" ht="17.100000000000001" customHeight="1" x14ac:dyDescent="0.2">
      <c r="A25" s="243" t="s">
        <v>249</v>
      </c>
      <c r="B25" s="243"/>
      <c r="C25" s="243"/>
      <c r="D25" s="243"/>
      <c r="E25" s="243"/>
      <c r="F25" s="243"/>
      <c r="G25" s="243"/>
      <c r="H25" s="243"/>
      <c r="I25" s="243"/>
      <c r="J25" s="243"/>
      <c r="K25" s="243"/>
      <c r="L25" s="243"/>
      <c r="M25" s="256"/>
      <c r="N25" s="256"/>
      <c r="O25" s="256"/>
      <c r="P25" s="256"/>
      <c r="Q25" s="256"/>
      <c r="R25" s="256"/>
      <c r="S25" s="256"/>
      <c r="T25" s="256"/>
      <c r="U25" s="260"/>
      <c r="V25" s="260"/>
      <c r="W25" s="260"/>
      <c r="X25" s="260"/>
      <c r="Y25" s="260"/>
      <c r="Z25" s="260"/>
      <c r="AA25" s="260"/>
      <c r="AB25" s="260"/>
      <c r="AC25" s="256"/>
      <c r="AD25" s="256"/>
      <c r="AE25" s="256"/>
      <c r="AF25" s="256"/>
      <c r="AG25" s="256"/>
      <c r="AH25" s="256"/>
      <c r="AI25" s="256"/>
      <c r="AJ25" s="256"/>
      <c r="AK25" s="258" t="str">
        <f>IF(U25="","",U25-0.0011)</f>
        <v/>
      </c>
      <c r="AL25" s="258"/>
      <c r="AM25" s="258"/>
      <c r="AN25" s="258"/>
      <c r="AO25" s="258"/>
      <c r="AP25" s="258"/>
      <c r="AQ25" s="258"/>
      <c r="AR25" s="259"/>
      <c r="AS25" s="256"/>
      <c r="AT25" s="256"/>
      <c r="AU25" s="256"/>
      <c r="AV25" s="256"/>
      <c r="AW25" s="256"/>
      <c r="AX25" s="256"/>
      <c r="AY25" s="256"/>
      <c r="AZ25" s="256"/>
    </row>
    <row r="26" spans="1:54" ht="17.100000000000001" customHeight="1" x14ac:dyDescent="0.2">
      <c r="A26" s="243"/>
      <c r="B26" s="243"/>
      <c r="C26" s="243"/>
      <c r="D26" s="243"/>
      <c r="E26" s="243"/>
      <c r="F26" s="243"/>
      <c r="G26" s="243"/>
      <c r="H26" s="243"/>
      <c r="I26" s="243"/>
      <c r="J26" s="243"/>
      <c r="K26" s="243"/>
      <c r="L26" s="243"/>
      <c r="M26" s="256"/>
      <c r="N26" s="256"/>
      <c r="O26" s="256"/>
      <c r="P26" s="256"/>
      <c r="Q26" s="256"/>
      <c r="R26" s="256"/>
      <c r="S26" s="256"/>
      <c r="T26" s="256"/>
      <c r="U26" s="260"/>
      <c r="V26" s="260"/>
      <c r="W26" s="260"/>
      <c r="X26" s="260"/>
      <c r="Y26" s="260"/>
      <c r="Z26" s="260"/>
      <c r="AA26" s="260"/>
      <c r="AB26" s="260"/>
      <c r="AC26" s="256"/>
      <c r="AD26" s="256"/>
      <c r="AE26" s="256"/>
      <c r="AF26" s="256"/>
      <c r="AG26" s="256"/>
      <c r="AH26" s="256"/>
      <c r="AI26" s="256"/>
      <c r="AJ26" s="256"/>
      <c r="AK26" s="258"/>
      <c r="AL26" s="258"/>
      <c r="AM26" s="258"/>
      <c r="AN26" s="258"/>
      <c r="AO26" s="258"/>
      <c r="AP26" s="258"/>
      <c r="AQ26" s="258"/>
      <c r="AR26" s="259"/>
      <c r="AS26" s="256"/>
      <c r="AT26" s="256"/>
      <c r="AU26" s="256"/>
      <c r="AV26" s="256"/>
      <c r="AW26" s="256"/>
      <c r="AX26" s="256"/>
      <c r="AY26" s="256"/>
      <c r="AZ26" s="256"/>
    </row>
    <row r="27" spans="1:54" ht="17.100000000000001" customHeight="1" x14ac:dyDescent="0.2">
      <c r="A27" s="243" t="s">
        <v>250</v>
      </c>
      <c r="B27" s="243"/>
      <c r="C27" s="243"/>
      <c r="D27" s="243"/>
      <c r="E27" s="243"/>
      <c r="F27" s="243"/>
      <c r="G27" s="243"/>
      <c r="H27" s="243"/>
      <c r="I27" s="243"/>
      <c r="J27" s="243"/>
      <c r="K27" s="243"/>
      <c r="L27" s="243"/>
      <c r="M27" s="255" t="str">
        <f>IF(OR(AS27="",AK27=""),"",AS27/AK27)</f>
        <v/>
      </c>
      <c r="N27" s="255"/>
      <c r="O27" s="255"/>
      <c r="P27" s="255"/>
      <c r="Q27" s="255"/>
      <c r="R27" s="255"/>
      <c r="S27" s="255"/>
      <c r="T27" s="255"/>
      <c r="U27" s="258" t="str">
        <f>IF(U25="","",U25)</f>
        <v/>
      </c>
      <c r="V27" s="258"/>
      <c r="W27" s="258"/>
      <c r="X27" s="258"/>
      <c r="Y27" s="258"/>
      <c r="Z27" s="258"/>
      <c r="AA27" s="258"/>
      <c r="AB27" s="258"/>
      <c r="AC27" s="255" t="str">
        <f>IF(OR(M27="",U27=""),"",M27*U27)</f>
        <v/>
      </c>
      <c r="AD27" s="255"/>
      <c r="AE27" s="255"/>
      <c r="AF27" s="255"/>
      <c r="AG27" s="255"/>
      <c r="AH27" s="255"/>
      <c r="AI27" s="255"/>
      <c r="AJ27" s="255"/>
      <c r="AK27" s="258" t="str">
        <f>IF(U27="","",U27-0.0011)</f>
        <v/>
      </c>
      <c r="AL27" s="258"/>
      <c r="AM27" s="258"/>
      <c r="AN27" s="258"/>
      <c r="AO27" s="258"/>
      <c r="AP27" s="258"/>
      <c r="AQ27" s="258"/>
      <c r="AR27" s="259"/>
      <c r="AS27" s="254" t="str">
        <f>IF('Barge Survey 2'!BR11="","",'Barge Survey 2'!BR11)</f>
        <v/>
      </c>
      <c r="AT27" s="254"/>
      <c r="AU27" s="254"/>
      <c r="AV27" s="254"/>
      <c r="AW27" s="254"/>
      <c r="AX27" s="254"/>
      <c r="AY27" s="254"/>
      <c r="AZ27" s="254"/>
    </row>
    <row r="28" spans="1:54" ht="17.100000000000001" customHeight="1" x14ac:dyDescent="0.2">
      <c r="A28" s="243"/>
      <c r="B28" s="243"/>
      <c r="C28" s="243"/>
      <c r="D28" s="243"/>
      <c r="E28" s="243"/>
      <c r="F28" s="243"/>
      <c r="G28" s="243"/>
      <c r="H28" s="243"/>
      <c r="I28" s="243"/>
      <c r="J28" s="243"/>
      <c r="K28" s="243"/>
      <c r="L28" s="243"/>
      <c r="M28" s="255"/>
      <c r="N28" s="255"/>
      <c r="O28" s="255"/>
      <c r="P28" s="255"/>
      <c r="Q28" s="255"/>
      <c r="R28" s="255"/>
      <c r="S28" s="255"/>
      <c r="T28" s="255"/>
      <c r="U28" s="258"/>
      <c r="V28" s="258"/>
      <c r="W28" s="258"/>
      <c r="X28" s="258"/>
      <c r="Y28" s="258"/>
      <c r="Z28" s="258"/>
      <c r="AA28" s="258"/>
      <c r="AB28" s="258"/>
      <c r="AC28" s="255"/>
      <c r="AD28" s="255"/>
      <c r="AE28" s="255"/>
      <c r="AF28" s="255"/>
      <c r="AG28" s="255"/>
      <c r="AH28" s="255"/>
      <c r="AI28" s="255"/>
      <c r="AJ28" s="255"/>
      <c r="AK28" s="258"/>
      <c r="AL28" s="258"/>
      <c r="AM28" s="258"/>
      <c r="AN28" s="258"/>
      <c r="AO28" s="258"/>
      <c r="AP28" s="258"/>
      <c r="AQ28" s="258"/>
      <c r="AR28" s="259"/>
      <c r="AS28" s="255"/>
      <c r="AT28" s="255"/>
      <c r="AU28" s="255"/>
      <c r="AV28" s="255"/>
      <c r="AW28" s="255"/>
      <c r="AX28" s="255"/>
      <c r="AY28" s="255"/>
      <c r="AZ28" s="255"/>
    </row>
    <row r="29" spans="1:54" ht="17.100000000000001" customHeight="1" x14ac:dyDescent="0.2">
      <c r="A29" s="243" t="s">
        <v>251</v>
      </c>
      <c r="B29" s="243"/>
      <c r="C29" s="243"/>
      <c r="D29" s="243"/>
      <c r="E29" s="243"/>
      <c r="F29" s="243"/>
      <c r="G29" s="243"/>
      <c r="H29" s="243"/>
      <c r="I29" s="243"/>
      <c r="J29" s="243"/>
      <c r="K29" s="243"/>
      <c r="L29" s="243"/>
      <c r="M29" s="255" t="str">
        <f>IF(OR(AS29="",AK29=""),"",AS29/AK29)</f>
        <v/>
      </c>
      <c r="N29" s="255"/>
      <c r="O29" s="255"/>
      <c r="P29" s="255"/>
      <c r="Q29" s="255"/>
      <c r="R29" s="255"/>
      <c r="S29" s="255"/>
      <c r="T29" s="255"/>
      <c r="U29" s="258" t="str">
        <f>IF(U25="","",U25)</f>
        <v/>
      </c>
      <c r="V29" s="258"/>
      <c r="W29" s="258"/>
      <c r="X29" s="258"/>
      <c r="Y29" s="258"/>
      <c r="Z29" s="258"/>
      <c r="AA29" s="258"/>
      <c r="AB29" s="258"/>
      <c r="AC29" s="255" t="str">
        <f>IF(OR(M29="",U29=""),"",M29*U29)</f>
        <v/>
      </c>
      <c r="AD29" s="255"/>
      <c r="AE29" s="255"/>
      <c r="AF29" s="255"/>
      <c r="AG29" s="255"/>
      <c r="AH29" s="255"/>
      <c r="AI29" s="255"/>
      <c r="AJ29" s="255"/>
      <c r="AK29" s="258" t="str">
        <f>IF(U29="","",U29-0.0011)</f>
        <v/>
      </c>
      <c r="AL29" s="258"/>
      <c r="AM29" s="258"/>
      <c r="AN29" s="258"/>
      <c r="AO29" s="258"/>
      <c r="AP29" s="258"/>
      <c r="AQ29" s="258"/>
      <c r="AR29" s="259"/>
      <c r="AS29" s="254" t="str">
        <f>IF('Vessel Survey 2'!BR11="","",'Vessel Survey 2'!BR11)</f>
        <v/>
      </c>
      <c r="AT29" s="254"/>
      <c r="AU29" s="254"/>
      <c r="AV29" s="254"/>
      <c r="AW29" s="254"/>
      <c r="AX29" s="254"/>
      <c r="AY29" s="254"/>
      <c r="AZ29" s="254"/>
    </row>
    <row r="30" spans="1:54" ht="17.100000000000001" customHeight="1" x14ac:dyDescent="0.2">
      <c r="A30" s="243"/>
      <c r="B30" s="243"/>
      <c r="C30" s="243"/>
      <c r="D30" s="243"/>
      <c r="E30" s="243"/>
      <c r="F30" s="243"/>
      <c r="G30" s="243"/>
      <c r="H30" s="243"/>
      <c r="I30" s="243"/>
      <c r="J30" s="243"/>
      <c r="K30" s="243"/>
      <c r="L30" s="243"/>
      <c r="M30" s="255"/>
      <c r="N30" s="255"/>
      <c r="O30" s="255"/>
      <c r="P30" s="255"/>
      <c r="Q30" s="255"/>
      <c r="R30" s="255"/>
      <c r="S30" s="255"/>
      <c r="T30" s="255"/>
      <c r="U30" s="258"/>
      <c r="V30" s="258"/>
      <c r="W30" s="258"/>
      <c r="X30" s="258"/>
      <c r="Y30" s="258"/>
      <c r="Z30" s="258"/>
      <c r="AA30" s="258"/>
      <c r="AB30" s="258"/>
      <c r="AC30" s="255"/>
      <c r="AD30" s="255"/>
      <c r="AE30" s="255"/>
      <c r="AF30" s="255"/>
      <c r="AG30" s="255"/>
      <c r="AH30" s="255"/>
      <c r="AI30" s="255"/>
      <c r="AJ30" s="255"/>
      <c r="AK30" s="258"/>
      <c r="AL30" s="258"/>
      <c r="AM30" s="258"/>
      <c r="AN30" s="258"/>
      <c r="AO30" s="258"/>
      <c r="AP30" s="258"/>
      <c r="AQ30" s="258"/>
      <c r="AR30" s="259"/>
      <c r="AS30" s="255"/>
      <c r="AT30" s="255"/>
      <c r="AU30" s="255"/>
      <c r="AV30" s="255"/>
      <c r="AW30" s="255"/>
      <c r="AX30" s="255"/>
      <c r="AY30" s="255"/>
      <c r="AZ30" s="255"/>
      <c r="BB30" s="17" t="s">
        <v>248</v>
      </c>
    </row>
    <row r="31" spans="1:54" ht="17.100000000000001" customHeight="1" x14ac:dyDescent="0.2">
      <c r="A31" s="243" t="s">
        <v>252</v>
      </c>
      <c r="B31" s="243"/>
      <c r="C31" s="243"/>
      <c r="D31" s="243"/>
      <c r="E31" s="243"/>
      <c r="F31" s="243"/>
      <c r="G31" s="243"/>
      <c r="H31" s="243"/>
      <c r="I31" s="243"/>
      <c r="J31" s="243"/>
      <c r="K31" s="243"/>
      <c r="L31" s="243"/>
      <c r="M31" s="255" t="str">
        <f>IF(OR(M29="",M25=""),"",M29-M25)</f>
        <v/>
      </c>
      <c r="N31" s="255"/>
      <c r="O31" s="255"/>
      <c r="P31" s="255"/>
      <c r="Q31" s="255"/>
      <c r="R31" s="255"/>
      <c r="S31" s="255"/>
      <c r="T31" s="255"/>
      <c r="U31" s="257"/>
      <c r="V31" s="257"/>
      <c r="W31" s="257"/>
      <c r="X31" s="257"/>
      <c r="Y31" s="257"/>
      <c r="Z31" s="257"/>
      <c r="AA31" s="257"/>
      <c r="AB31" s="257"/>
      <c r="AC31" s="255" t="str">
        <f>IF(OR(AC29="",AC25=""),"",AC29-AC25)</f>
        <v/>
      </c>
      <c r="AD31" s="255"/>
      <c r="AE31" s="255"/>
      <c r="AF31" s="255"/>
      <c r="AG31" s="255"/>
      <c r="AH31" s="255"/>
      <c r="AI31" s="255"/>
      <c r="AJ31" s="255"/>
      <c r="AK31" s="257"/>
      <c r="AL31" s="257"/>
      <c r="AM31" s="257"/>
      <c r="AN31" s="257"/>
      <c r="AO31" s="257"/>
      <c r="AP31" s="257"/>
      <c r="AQ31" s="257"/>
      <c r="AR31" s="257"/>
      <c r="AS31" s="254" t="str">
        <f>IF(OR(AS29="",AS25=""),"",AS29-AS25)</f>
        <v/>
      </c>
      <c r="AT31" s="254"/>
      <c r="AU31" s="254"/>
      <c r="AV31" s="254"/>
      <c r="AW31" s="254"/>
      <c r="AX31" s="254"/>
      <c r="AY31" s="254"/>
      <c r="AZ31" s="254"/>
      <c r="BB31" s="17" t="s">
        <v>186</v>
      </c>
    </row>
    <row r="32" spans="1:54" ht="17.100000000000001" customHeight="1" x14ac:dyDescent="0.2">
      <c r="A32" s="243"/>
      <c r="B32" s="243"/>
      <c r="C32" s="243"/>
      <c r="D32" s="243"/>
      <c r="E32" s="243"/>
      <c r="F32" s="243"/>
      <c r="G32" s="243"/>
      <c r="H32" s="243"/>
      <c r="I32" s="243"/>
      <c r="J32" s="243"/>
      <c r="K32" s="243"/>
      <c r="L32" s="243"/>
      <c r="M32" s="255"/>
      <c r="N32" s="255"/>
      <c r="O32" s="255"/>
      <c r="P32" s="255"/>
      <c r="Q32" s="255"/>
      <c r="R32" s="255"/>
      <c r="S32" s="255"/>
      <c r="T32" s="255"/>
      <c r="U32" s="257"/>
      <c r="V32" s="257"/>
      <c r="W32" s="257"/>
      <c r="X32" s="257"/>
      <c r="Y32" s="257"/>
      <c r="Z32" s="257"/>
      <c r="AA32" s="257"/>
      <c r="AB32" s="257"/>
      <c r="AC32" s="255"/>
      <c r="AD32" s="255"/>
      <c r="AE32" s="255"/>
      <c r="AF32" s="255"/>
      <c r="AG32" s="255"/>
      <c r="AH32" s="255"/>
      <c r="AI32" s="255"/>
      <c r="AJ32" s="255"/>
      <c r="AK32" s="257"/>
      <c r="AL32" s="257"/>
      <c r="AM32" s="257"/>
      <c r="AN32" s="257"/>
      <c r="AO32" s="257"/>
      <c r="AP32" s="257"/>
      <c r="AQ32" s="257"/>
      <c r="AR32" s="257"/>
      <c r="AS32" s="255"/>
      <c r="AT32" s="255"/>
      <c r="AU32" s="255"/>
      <c r="AV32" s="255"/>
      <c r="AW32" s="255"/>
      <c r="AX32" s="255"/>
      <c r="AY32" s="255"/>
      <c r="AZ32" s="255"/>
      <c r="BB32" s="17" t="s">
        <v>187</v>
      </c>
    </row>
    <row r="33" spans="1:54" ht="17.100000000000001" customHeight="1" x14ac:dyDescent="0.2">
      <c r="A33" s="243" t="s">
        <v>253</v>
      </c>
      <c r="B33" s="243"/>
      <c r="C33" s="243"/>
      <c r="D33" s="243"/>
      <c r="E33" s="243"/>
      <c r="F33" s="243"/>
      <c r="G33" s="243"/>
      <c r="H33" s="243"/>
      <c r="I33" s="243"/>
      <c r="J33" s="243"/>
      <c r="K33" s="243"/>
      <c r="L33" s="243"/>
      <c r="M33" s="255" t="str">
        <f>IF(OR(M25="",M29=""),"",((M31/M25)*100))</f>
        <v/>
      </c>
      <c r="N33" s="255"/>
      <c r="O33" s="255"/>
      <c r="P33" s="255"/>
      <c r="Q33" s="255"/>
      <c r="R33" s="255"/>
      <c r="S33" s="255"/>
      <c r="T33" s="255"/>
      <c r="U33" s="257"/>
      <c r="V33" s="257"/>
      <c r="W33" s="257"/>
      <c r="X33" s="257"/>
      <c r="Y33" s="257"/>
      <c r="Z33" s="257"/>
      <c r="AA33" s="257"/>
      <c r="AB33" s="257"/>
      <c r="AC33" s="255" t="str">
        <f>IF(OR(AC25="",AC29=""),"",((AC31/AC25)*100))</f>
        <v/>
      </c>
      <c r="AD33" s="255"/>
      <c r="AE33" s="255"/>
      <c r="AF33" s="255"/>
      <c r="AG33" s="255"/>
      <c r="AH33" s="255"/>
      <c r="AI33" s="255"/>
      <c r="AJ33" s="255"/>
      <c r="AK33" s="257"/>
      <c r="AL33" s="257"/>
      <c r="AM33" s="257"/>
      <c r="AN33" s="257"/>
      <c r="AO33" s="257"/>
      <c r="AP33" s="257"/>
      <c r="AQ33" s="257"/>
      <c r="AR33" s="257"/>
      <c r="AS33" s="255" t="str">
        <f>IF(OR(AS25="",AS29=""),"",((AS31/AS25)*100))</f>
        <v/>
      </c>
      <c r="AT33" s="255"/>
      <c r="AU33" s="255"/>
      <c r="AV33" s="255"/>
      <c r="AW33" s="255"/>
      <c r="AX33" s="255"/>
      <c r="AY33" s="255"/>
      <c r="AZ33" s="255"/>
      <c r="BB33" s="17" t="s">
        <v>188</v>
      </c>
    </row>
    <row r="34" spans="1:54" ht="17.100000000000001" customHeight="1" x14ac:dyDescent="0.2">
      <c r="A34" s="243"/>
      <c r="B34" s="243"/>
      <c r="C34" s="243"/>
      <c r="D34" s="243"/>
      <c r="E34" s="243"/>
      <c r="F34" s="243"/>
      <c r="G34" s="243"/>
      <c r="H34" s="243"/>
      <c r="I34" s="243"/>
      <c r="J34" s="243"/>
      <c r="K34" s="243"/>
      <c r="L34" s="243"/>
      <c r="M34" s="255"/>
      <c r="N34" s="255"/>
      <c r="O34" s="255"/>
      <c r="P34" s="255"/>
      <c r="Q34" s="255"/>
      <c r="R34" s="255"/>
      <c r="S34" s="255"/>
      <c r="T34" s="255"/>
      <c r="U34" s="257"/>
      <c r="V34" s="257"/>
      <c r="W34" s="257"/>
      <c r="X34" s="257"/>
      <c r="Y34" s="257"/>
      <c r="Z34" s="257"/>
      <c r="AA34" s="257"/>
      <c r="AB34" s="257"/>
      <c r="AC34" s="255"/>
      <c r="AD34" s="255"/>
      <c r="AE34" s="255"/>
      <c r="AF34" s="255"/>
      <c r="AG34" s="255"/>
      <c r="AH34" s="255"/>
      <c r="AI34" s="255"/>
      <c r="AJ34" s="255"/>
      <c r="AK34" s="257"/>
      <c r="AL34" s="257"/>
      <c r="AM34" s="257"/>
      <c r="AN34" s="257"/>
      <c r="AO34" s="257"/>
      <c r="AP34" s="257"/>
      <c r="AQ34" s="257"/>
      <c r="AR34" s="257"/>
      <c r="AS34" s="255"/>
      <c r="AT34" s="255"/>
      <c r="AU34" s="255"/>
      <c r="AV34" s="255"/>
      <c r="AW34" s="255"/>
      <c r="AX34" s="255"/>
      <c r="AY34" s="255"/>
      <c r="AZ34" s="255"/>
      <c r="BB34" s="17" t="s">
        <v>248</v>
      </c>
    </row>
    <row r="35" spans="1:54" ht="17.100000000000001" customHeight="1" x14ac:dyDescent="0.2">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B35" s="17" t="s">
        <v>90</v>
      </c>
    </row>
    <row r="36" spans="1:54" ht="17.100000000000001" customHeight="1" x14ac:dyDescent="0.2">
      <c r="A36" s="242" t="s">
        <v>89</v>
      </c>
      <c r="B36" s="242"/>
      <c r="C36" s="242"/>
      <c r="D36" s="242"/>
      <c r="E36" s="242"/>
      <c r="F36" s="242"/>
      <c r="G36" s="242"/>
      <c r="H36" s="242"/>
      <c r="I36" s="242"/>
      <c r="J36" s="242"/>
      <c r="K36" s="242"/>
      <c r="L36" s="242"/>
      <c r="M36" s="242"/>
      <c r="N36" s="242"/>
      <c r="O36" s="242"/>
      <c r="P36" s="253" t="s">
        <v>248</v>
      </c>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c r="AT36" s="253"/>
      <c r="AU36" s="253"/>
      <c r="AV36" s="253"/>
      <c r="AW36" s="253"/>
      <c r="AX36" s="253"/>
      <c r="AY36" s="253"/>
      <c r="AZ36" s="253"/>
      <c r="BB36" s="17" t="s">
        <v>91</v>
      </c>
    </row>
    <row r="37" spans="1:54" ht="17.100000000000001" customHeight="1" x14ac:dyDescent="0.2">
      <c r="A37" s="242" t="s">
        <v>88</v>
      </c>
      <c r="B37" s="242"/>
      <c r="C37" s="242"/>
      <c r="D37" s="242"/>
      <c r="E37" s="242"/>
      <c r="F37" s="242"/>
      <c r="G37" s="242"/>
      <c r="H37" s="242"/>
      <c r="I37" s="242"/>
      <c r="J37" s="242"/>
      <c r="K37" s="242"/>
      <c r="L37" s="242"/>
      <c r="M37" s="242"/>
      <c r="N37" s="242"/>
      <c r="O37" s="242"/>
      <c r="P37" s="253" t="s">
        <v>248</v>
      </c>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c r="AT37" s="253"/>
      <c r="AU37" s="253"/>
      <c r="AV37" s="253"/>
      <c r="AW37" s="253"/>
      <c r="AX37" s="253"/>
      <c r="AY37" s="253"/>
      <c r="AZ37" s="253"/>
      <c r="BB37" s="17" t="s">
        <v>92</v>
      </c>
    </row>
    <row r="38" spans="1:54" ht="17.100000000000001" customHeight="1" x14ac:dyDescent="0.2">
      <c r="A38" s="253"/>
      <c r="B38" s="253"/>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row>
    <row r="39" spans="1:54" ht="17.100000000000001" customHeight="1" x14ac:dyDescent="0.2">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64" t="s">
        <v>80</v>
      </c>
      <c r="Z39" s="265"/>
      <c r="AA39" s="265"/>
      <c r="AB39" s="265"/>
      <c r="AC39" s="265"/>
      <c r="AD39" s="265"/>
      <c r="AE39" s="265"/>
      <c r="AF39" s="267" t="s">
        <v>0</v>
      </c>
      <c r="AG39" s="267"/>
      <c r="AH39" s="281" t="s">
        <v>185</v>
      </c>
      <c r="AI39" s="281"/>
      <c r="AJ39" s="281"/>
      <c r="AK39" s="281"/>
      <c r="AL39" s="281"/>
      <c r="AM39" s="281"/>
      <c r="AN39" s="281"/>
      <c r="AO39" s="281"/>
      <c r="AP39" s="281"/>
      <c r="AQ39" s="281"/>
      <c r="AR39" s="281"/>
      <c r="AS39" s="281"/>
      <c r="AT39" s="281"/>
      <c r="AU39" s="281"/>
      <c r="AV39" s="281"/>
      <c r="AW39" s="281"/>
      <c r="AX39" s="281"/>
      <c r="AY39" s="281"/>
      <c r="AZ39" s="282"/>
    </row>
    <row r="40" spans="1:54" ht="17.100000000000001" customHeight="1" x14ac:dyDescent="0.2">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51" t="s">
        <v>74</v>
      </c>
      <c r="Z40" s="242"/>
      <c r="AA40" s="242"/>
      <c r="AB40" s="242"/>
      <c r="AC40" s="242"/>
      <c r="AD40" s="242"/>
      <c r="AE40" s="242"/>
      <c r="AF40" s="246" t="s">
        <v>0</v>
      </c>
      <c r="AG40" s="246"/>
      <c r="AH40" s="253" t="str">
        <f>IF('Data Entry'!N29="","",'Data Entry'!N29)&amp;IF(OR('Data Entry'!N29="",'Data Entry'!N30=""),""," / Licence No")&amp; IF('Data Entry'!N30="","",'Data Entry'!N30)</f>
        <v>MEHMET EROĞLU</v>
      </c>
      <c r="AI40" s="253"/>
      <c r="AJ40" s="253"/>
      <c r="AK40" s="253"/>
      <c r="AL40" s="253"/>
      <c r="AM40" s="253"/>
      <c r="AN40" s="253"/>
      <c r="AO40" s="253"/>
      <c r="AP40" s="253"/>
      <c r="AQ40" s="253"/>
      <c r="AR40" s="253"/>
      <c r="AS40" s="253"/>
      <c r="AT40" s="253"/>
      <c r="AU40" s="253"/>
      <c r="AV40" s="253"/>
      <c r="AW40" s="253"/>
      <c r="AX40" s="253"/>
      <c r="AY40" s="253"/>
      <c r="AZ40" s="280"/>
    </row>
    <row r="41" spans="1:54" ht="17.100000000000001" customHeight="1" x14ac:dyDescent="0.2">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84"/>
      <c r="Z41" s="246"/>
      <c r="AA41" s="246"/>
      <c r="AB41" s="246"/>
      <c r="AC41" s="246"/>
      <c r="AD41" s="246"/>
      <c r="AE41" s="246"/>
      <c r="AF41" s="246"/>
      <c r="AG41" s="246"/>
      <c r="AH41" s="285" t="s">
        <v>528</v>
      </c>
      <c r="AI41" s="285"/>
      <c r="AJ41" s="285"/>
      <c r="AK41" s="285"/>
      <c r="AL41" s="285"/>
      <c r="AM41" s="285"/>
      <c r="AN41" s="285"/>
      <c r="AO41" s="285"/>
      <c r="AP41" s="285"/>
      <c r="AQ41" s="285"/>
      <c r="AR41" s="285"/>
      <c r="AS41" s="285"/>
      <c r="AT41" s="285"/>
      <c r="AU41" s="285"/>
      <c r="AV41" s="285"/>
      <c r="AW41" s="285"/>
      <c r="AX41" s="285"/>
      <c r="AY41" s="285"/>
      <c r="AZ41" s="278"/>
      <c r="BB41" s="19"/>
    </row>
    <row r="42" spans="1:54" ht="17.100000000000001" customHeight="1" x14ac:dyDescent="0.2">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51" t="s">
        <v>75</v>
      </c>
      <c r="Z42" s="242"/>
      <c r="AA42" s="242"/>
      <c r="AB42" s="242"/>
      <c r="AC42" s="242"/>
      <c r="AD42" s="242"/>
      <c r="AE42" s="242"/>
      <c r="AF42" s="246" t="s">
        <v>0</v>
      </c>
      <c r="AG42" s="246"/>
      <c r="AH42" s="286"/>
      <c r="AI42" s="286"/>
      <c r="AJ42" s="286"/>
      <c r="AK42" s="286"/>
      <c r="AL42" s="286"/>
      <c r="AM42" s="286"/>
      <c r="AN42" s="286"/>
      <c r="AO42" s="286"/>
      <c r="AP42" s="286"/>
      <c r="AQ42" s="286"/>
      <c r="AR42" s="286"/>
      <c r="AS42" s="286"/>
      <c r="AT42" s="286"/>
      <c r="AU42" s="286"/>
      <c r="AV42" s="286"/>
      <c r="AW42" s="286"/>
      <c r="AX42" s="286"/>
      <c r="AY42" s="286"/>
      <c r="AZ42" s="278"/>
    </row>
    <row r="43" spans="1:54" ht="17.100000000000001" customHeight="1" x14ac:dyDescent="0.2">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8" t="s">
        <v>67</v>
      </c>
      <c r="Z43" s="249"/>
      <c r="AA43" s="249"/>
      <c r="AB43" s="249"/>
      <c r="AC43" s="249"/>
      <c r="AD43" s="249"/>
      <c r="AE43" s="249"/>
      <c r="AF43" s="247" t="s">
        <v>0</v>
      </c>
      <c r="AG43" s="247"/>
      <c r="AH43" s="283" t="str">
        <f>IF('Data Entry'!N15="","",'Data Entry'!N15)</f>
        <v/>
      </c>
      <c r="AI43" s="283"/>
      <c r="AJ43" s="283"/>
      <c r="AK43" s="283"/>
      <c r="AL43" s="283"/>
      <c r="AM43" s="283"/>
      <c r="AN43" s="283"/>
      <c r="AO43" s="283"/>
      <c r="AP43" s="249"/>
      <c r="AQ43" s="249"/>
      <c r="AR43" s="249"/>
      <c r="AS43" s="249"/>
      <c r="AT43" s="247"/>
      <c r="AU43" s="247"/>
      <c r="AV43" s="279"/>
      <c r="AW43" s="279"/>
      <c r="AX43" s="279"/>
      <c r="AY43" s="279"/>
      <c r="AZ43" s="275"/>
    </row>
    <row r="44" spans="1:54" ht="12" customHeight="1" x14ac:dyDescent="0.2">
      <c r="A44" s="148" t="s">
        <v>154</v>
      </c>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t="str">
        <f>'Data Entry'!AK9</f>
        <v>LTS-CUS-F-01 rev 2.0</v>
      </c>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row>
  </sheetData>
  <sheetProtection selectLockedCells="1"/>
  <mergeCells count="133">
    <mergeCell ref="A38:AZ38"/>
    <mergeCell ref="AS31:AZ32"/>
    <mergeCell ref="M31:T32"/>
    <mergeCell ref="U31:AB32"/>
    <mergeCell ref="AC31:AJ32"/>
    <mergeCell ref="AX14:AZ14"/>
    <mergeCell ref="AX15:AZ15"/>
    <mergeCell ref="AT14:AV14"/>
    <mergeCell ref="AT15:AV15"/>
    <mergeCell ref="A23:L24"/>
    <mergeCell ref="U23:AB24"/>
    <mergeCell ref="AC23:AJ24"/>
    <mergeCell ref="AK23:AR24"/>
    <mergeCell ref="AS23:AZ24"/>
    <mergeCell ref="AP14:AR14"/>
    <mergeCell ref="AE14:AF14"/>
    <mergeCell ref="AN14:AO14"/>
    <mergeCell ref="A16:AZ16"/>
    <mergeCell ref="A17:AZ17"/>
    <mergeCell ref="A18:AZ18"/>
    <mergeCell ref="AG14:AM14"/>
    <mergeCell ref="Y14:AD14"/>
    <mergeCell ref="A33:L34"/>
    <mergeCell ref="AK27:AR28"/>
    <mergeCell ref="Y1:AZ1"/>
    <mergeCell ref="Y2:AZ2"/>
    <mergeCell ref="Y3:AZ3"/>
    <mergeCell ref="Y4:AZ4"/>
    <mergeCell ref="A1:X4"/>
    <mergeCell ref="Y10:AD10"/>
    <mergeCell ref="Y6:AD6"/>
    <mergeCell ref="A5:AZ5"/>
    <mergeCell ref="D7:V7"/>
    <mergeCell ref="W6:X15"/>
    <mergeCell ref="AN15:AO15"/>
    <mergeCell ref="Y15:AF15"/>
    <mergeCell ref="AG15:AM15"/>
    <mergeCell ref="AP15:AR15"/>
    <mergeCell ref="D15:V15"/>
    <mergeCell ref="A6:C6"/>
    <mergeCell ref="A8:C8"/>
    <mergeCell ref="A11:C11"/>
    <mergeCell ref="D6:V6"/>
    <mergeCell ref="D8:V8"/>
    <mergeCell ref="A7:C7"/>
    <mergeCell ref="D11:V11"/>
    <mergeCell ref="A9:C9"/>
    <mergeCell ref="A10:C10"/>
    <mergeCell ref="AG6:AZ6"/>
    <mergeCell ref="AG10:AZ10"/>
    <mergeCell ref="AG11:AZ11"/>
    <mergeCell ref="AG12:AZ12"/>
    <mergeCell ref="AG13:AZ13"/>
    <mergeCell ref="AE6:AF6"/>
    <mergeCell ref="AG7:AZ7"/>
    <mergeCell ref="AG9:AZ9"/>
    <mergeCell ref="AG8:AZ8"/>
    <mergeCell ref="AE10:AF10"/>
    <mergeCell ref="AE11:AF11"/>
    <mergeCell ref="AE8:AF8"/>
    <mergeCell ref="AE13:AF13"/>
    <mergeCell ref="Y41:AG41"/>
    <mergeCell ref="Y42:AE42"/>
    <mergeCell ref="AH41:AY42"/>
    <mergeCell ref="A12:C12"/>
    <mergeCell ref="D12:V12"/>
    <mergeCell ref="AE12:AF12"/>
    <mergeCell ref="A13:C13"/>
    <mergeCell ref="A14:C14"/>
    <mergeCell ref="A15:C15"/>
    <mergeCell ref="D13:V13"/>
    <mergeCell ref="D14:V14"/>
    <mergeCell ref="A21:AZ21"/>
    <mergeCell ref="A19:AZ19"/>
    <mergeCell ref="A20:AZ20"/>
    <mergeCell ref="AK31:AR32"/>
    <mergeCell ref="AS27:AZ28"/>
    <mergeCell ref="M29:T30"/>
    <mergeCell ref="U29:AB30"/>
    <mergeCell ref="AC29:AJ30"/>
    <mergeCell ref="AK29:AR30"/>
    <mergeCell ref="AS29:AZ30"/>
    <mergeCell ref="M27:T28"/>
    <mergeCell ref="U27:AB28"/>
    <mergeCell ref="AC27:AJ28"/>
    <mergeCell ref="A44:Z44"/>
    <mergeCell ref="AA44:AZ44"/>
    <mergeCell ref="A36:O36"/>
    <mergeCell ref="A37:O37"/>
    <mergeCell ref="P36:AZ36"/>
    <mergeCell ref="P37:AZ37"/>
    <mergeCell ref="AP43:AS43"/>
    <mergeCell ref="A31:L32"/>
    <mergeCell ref="AF42:AG42"/>
    <mergeCell ref="AF39:AG39"/>
    <mergeCell ref="AF40:AG40"/>
    <mergeCell ref="Y43:AE43"/>
    <mergeCell ref="AH43:AO43"/>
    <mergeCell ref="A35:AZ35"/>
    <mergeCell ref="Y39:AE39"/>
    <mergeCell ref="AH40:AZ40"/>
    <mergeCell ref="AH39:AZ39"/>
    <mergeCell ref="AZ41:AZ42"/>
    <mergeCell ref="Y40:AE40"/>
    <mergeCell ref="A39:X43"/>
    <mergeCell ref="AV43:AZ43"/>
    <mergeCell ref="AF43:AG43"/>
    <mergeCell ref="AT43:AU43"/>
    <mergeCell ref="AK33:AR34"/>
    <mergeCell ref="D10:V10"/>
    <mergeCell ref="Y7:AD7"/>
    <mergeCell ref="AE7:AF7"/>
    <mergeCell ref="Y9:AD9"/>
    <mergeCell ref="AE9:AF9"/>
    <mergeCell ref="U33:AB34"/>
    <mergeCell ref="AC33:AJ34"/>
    <mergeCell ref="M33:T34"/>
    <mergeCell ref="M23:T24"/>
    <mergeCell ref="A22:AZ22"/>
    <mergeCell ref="AS33:AZ34"/>
    <mergeCell ref="D9:V9"/>
    <mergeCell ref="Y8:AD8"/>
    <mergeCell ref="Y11:AD11"/>
    <mergeCell ref="Y12:AD12"/>
    <mergeCell ref="Y13:AD13"/>
    <mergeCell ref="AS25:AZ26"/>
    <mergeCell ref="M25:T26"/>
    <mergeCell ref="U25:AB26"/>
    <mergeCell ref="A25:L26"/>
    <mergeCell ref="A27:L28"/>
    <mergeCell ref="A29:L30"/>
    <mergeCell ref="AC25:AJ26"/>
    <mergeCell ref="AK25:AR26"/>
  </mergeCells>
  <phoneticPr fontId="2" type="noConversion"/>
  <conditionalFormatting sqref="M25:AJ26 AS25:AZ26">
    <cfRule type="cellIs" dxfId="82" priority="3" stopIfTrue="1" operator="equal">
      <formula>""</formula>
    </cfRule>
  </conditionalFormatting>
  <conditionalFormatting sqref="D6:V6 AG6:AZ13 AK25:AR30 M27:AJ30 M31:T34 AC31:AJ34 AS27:AZ34 AH40:AZ40 AH43:AO43">
    <cfRule type="containsBlanks" dxfId="81" priority="2" stopIfTrue="1">
      <formula>LEN(TRIM(D6))=0</formula>
    </cfRule>
  </conditionalFormatting>
  <dataValidations count="6">
    <dataValidation type="list" allowBlank="1" showInputMessage="1" showErrorMessage="1" sqref="M38:AZ38" xr:uid="{00000000-0002-0000-0D00-000000000000}">
      <formula1>$BB$31:$BB$35</formula1>
    </dataValidation>
    <dataValidation type="list" allowBlank="1" showInputMessage="1" showErrorMessage="1" sqref="P37:AZ37" xr:uid="{00000000-0002-0000-0D00-000001000000}">
      <formula1>$BB$34:$BB$37</formula1>
    </dataValidation>
    <dataValidation type="list" allowBlank="1" showInputMessage="1" showErrorMessage="1" sqref="P36:AZ36" xr:uid="{00000000-0002-0000-0D00-000002000000}">
      <formula1>$BB$30:$BB$33</formula1>
    </dataValidation>
    <dataValidation allowBlank="1" showInputMessage="1" showErrorMessage="1" promptTitle="Volume (m³ @ 15°C)" prompt="Please enter the volume as stated on the bunker receipt in m³ at 15°C" sqref="M25:T26" xr:uid="{00000000-0002-0000-0D00-000003000000}"/>
    <dataValidation allowBlank="1" showInputMessage="1" showErrorMessage="1" promptTitle="Density (kg/L @ 15°C)" prompt="Please enter the density as stated on the bunker receipt in kg/L at 15°C" sqref="U25:AB26 AC25:AJ26" xr:uid="{00000000-0002-0000-0D00-000004000000}"/>
    <dataValidation allowBlank="1" showInputMessage="1" showErrorMessage="1" promptTitle="Metric Tons in Air" prompt="Please enter the Metric Tons in Air as per the bunker receipt" sqref="AS25:AZ26" xr:uid="{00000000-0002-0000-0D00-000005000000}"/>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FFFF00"/>
    <pageSetUpPr fitToPage="1"/>
  </sheetPr>
  <dimension ref="A1:EB71"/>
  <sheetViews>
    <sheetView zoomScaleNormal="100" workbookViewId="0">
      <selection activeCell="AT19" sqref="AT19:AX19"/>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5" t="s">
        <v>280</v>
      </c>
      <c r="BM1" s="155"/>
      <c r="BN1" s="155"/>
      <c r="BO1" s="155"/>
      <c r="BP1" s="155"/>
      <c r="BQ1" s="90" t="s">
        <v>0</v>
      </c>
      <c r="BR1" s="155" t="str">
        <f>IF('Data Entry'!N28="","",'Data Entry'!N28)</f>
        <v/>
      </c>
      <c r="BS1" s="155"/>
      <c r="BT1" s="155"/>
      <c r="BU1" s="155"/>
      <c r="BV1" s="155"/>
      <c r="BW1" s="155"/>
      <c r="BX1" s="155"/>
      <c r="BY1" s="155"/>
      <c r="BZ1" s="155"/>
      <c r="CA1" s="155"/>
      <c r="CB1" s="155"/>
      <c r="CC1" s="155"/>
      <c r="CD1" s="155"/>
      <c r="CE1" s="155"/>
      <c r="CF1" s="155"/>
      <c r="CG1" s="155"/>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164" t="s">
        <v>537</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55" t="s">
        <v>281</v>
      </c>
      <c r="BM2" s="155"/>
      <c r="BN2" s="155"/>
      <c r="BO2" s="155"/>
      <c r="BP2" s="155"/>
      <c r="BQ2" s="90" t="s">
        <v>0</v>
      </c>
      <c r="BR2" s="155" t="str">
        <f>IF('Data Entry'!N39="","",'Data Entry'!N39)</f>
        <v>SC17124</v>
      </c>
      <c r="BS2" s="155"/>
      <c r="BT2" s="155"/>
      <c r="BU2" s="155"/>
      <c r="BV2" s="155"/>
      <c r="BW2" s="155"/>
      <c r="BX2" s="155"/>
      <c r="BY2" s="155"/>
      <c r="BZ2" s="155"/>
      <c r="CA2" s="155"/>
      <c r="CB2" s="155"/>
      <c r="CC2" s="155"/>
      <c r="CD2" s="155"/>
      <c r="CE2" s="155"/>
      <c r="CF2" s="155"/>
      <c r="CG2" s="155"/>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92" t="str">
        <f>IF('Data Entry'!N15="","",'Data Entry'!N15)</f>
        <v/>
      </c>
      <c r="Z4" s="392"/>
      <c r="AA4" s="392"/>
      <c r="AB4" s="392"/>
      <c r="AC4" s="392"/>
      <c r="AD4" s="392"/>
      <c r="AE4" s="155" t="s">
        <v>25</v>
      </c>
      <c r="AF4" s="155"/>
      <c r="AG4" s="155"/>
      <c r="AH4" s="90" t="s">
        <v>0</v>
      </c>
      <c r="AI4" s="155" t="str">
        <f>IF('Data Entry'!N19="","",'Data Entry'!N19)</f>
        <v/>
      </c>
      <c r="AJ4" s="155"/>
      <c r="AK4" s="155"/>
      <c r="AL4" s="155"/>
      <c r="AM4" s="155"/>
      <c r="AN4" s="155"/>
      <c r="AO4" s="155"/>
      <c r="AP4" s="155"/>
      <c r="AQ4" s="155" t="s">
        <v>421</v>
      </c>
      <c r="AR4" s="155"/>
      <c r="AS4" s="155"/>
      <c r="AT4" s="155"/>
      <c r="AU4" s="155"/>
      <c r="AV4" s="155"/>
      <c r="AW4" s="155"/>
      <c r="AX4" s="155"/>
      <c r="AY4" s="155"/>
      <c r="AZ4" s="155"/>
      <c r="BA4" s="90" t="s">
        <v>0</v>
      </c>
      <c r="BB4" s="155"/>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Entry'!N17="","",'Data Entry'!N17)</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92"/>
      <c r="BC5" s="392"/>
      <c r="BD5" s="392"/>
      <c r="BE5" s="392"/>
      <c r="BF5" s="392"/>
      <c r="BG5" s="392"/>
      <c r="BH5" s="392"/>
      <c r="BI5" s="392"/>
      <c r="BJ5" s="392"/>
      <c r="BK5" s="392"/>
      <c r="BL5" s="392"/>
      <c r="BM5" s="155" t="s">
        <v>424</v>
      </c>
      <c r="BN5" s="155"/>
      <c r="BO5" s="155"/>
      <c r="BP5" s="155"/>
      <c r="BQ5" s="155"/>
      <c r="BR5" s="155"/>
      <c r="BS5" s="155"/>
      <c r="BT5" s="155"/>
      <c r="BU5" s="155"/>
      <c r="BV5" s="155"/>
      <c r="BW5" s="90" t="s">
        <v>0</v>
      </c>
      <c r="BX5" s="155"/>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219" t="s">
        <v>3</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I7" s="323" t="s">
        <v>169</v>
      </c>
      <c r="CJ7" s="324"/>
      <c r="CK7" s="324"/>
      <c r="CL7" s="325"/>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367"/>
      <c r="AC8" s="195" t="s">
        <v>515</v>
      </c>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367"/>
      <c r="BC8" s="195" t="s">
        <v>348</v>
      </c>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I8" s="326"/>
      <c r="CJ8" s="327"/>
      <c r="CK8" s="327"/>
      <c r="CL8" s="328"/>
      <c r="CN8" s="107" t="s">
        <v>192</v>
      </c>
    </row>
    <row r="9" spans="1:132" ht="11.45" customHeight="1" x14ac:dyDescent="0.2">
      <c r="A9" s="155" t="s">
        <v>4</v>
      </c>
      <c r="B9" s="155"/>
      <c r="C9" s="155"/>
      <c r="D9" s="155"/>
      <c r="E9" s="155"/>
      <c r="F9" s="155"/>
      <c r="G9" s="155"/>
      <c r="H9" s="155"/>
      <c r="I9" s="155"/>
      <c r="J9" s="155"/>
      <c r="K9" s="91" t="s">
        <v>0</v>
      </c>
      <c r="L9" s="182"/>
      <c r="M9" s="182"/>
      <c r="N9" s="182"/>
      <c r="O9" s="182"/>
      <c r="P9" s="182"/>
      <c r="Q9" s="182"/>
      <c r="R9" s="182"/>
      <c r="S9" s="182"/>
      <c r="T9" s="182"/>
      <c r="U9" s="182"/>
      <c r="V9" s="182"/>
      <c r="W9" s="182"/>
      <c r="X9" s="182"/>
      <c r="Y9" s="182"/>
      <c r="Z9" s="182"/>
      <c r="AA9" s="182"/>
      <c r="AB9" s="182"/>
      <c r="AC9" s="330" t="s">
        <v>189</v>
      </c>
      <c r="AD9" s="155"/>
      <c r="AE9" s="155"/>
      <c r="AF9" s="155"/>
      <c r="AG9" s="155"/>
      <c r="AH9" s="155"/>
      <c r="AI9" s="155"/>
      <c r="AJ9" s="155"/>
      <c r="AK9" s="155"/>
      <c r="AL9" s="155"/>
      <c r="AM9" s="155"/>
      <c r="AN9" s="155"/>
      <c r="AO9" s="155"/>
      <c r="AP9" s="91" t="s">
        <v>0</v>
      </c>
      <c r="AQ9" s="364"/>
      <c r="AR9" s="364"/>
      <c r="AS9" s="364"/>
      <c r="AT9" s="364"/>
      <c r="AU9" s="364"/>
      <c r="AV9" s="364"/>
      <c r="AW9" s="364"/>
      <c r="AX9" s="364"/>
      <c r="AY9" s="155" t="s">
        <v>173</v>
      </c>
      <c r="AZ9" s="155"/>
      <c r="BA9" s="155"/>
      <c r="BB9" s="366"/>
      <c r="BC9" s="330" t="s">
        <v>231</v>
      </c>
      <c r="BD9" s="155"/>
      <c r="BE9" s="155"/>
      <c r="BF9" s="155"/>
      <c r="BG9" s="155"/>
      <c r="BH9" s="155"/>
      <c r="BI9" s="155"/>
      <c r="BJ9" s="155"/>
      <c r="BK9" s="155"/>
      <c r="BL9" s="155"/>
      <c r="BM9" s="155"/>
      <c r="BN9" s="155"/>
      <c r="BO9" s="155"/>
      <c r="BP9" s="155"/>
      <c r="BQ9" s="91" t="s">
        <v>0</v>
      </c>
      <c r="BR9" s="335" t="str">
        <f>IF(OR(BX30="",BX49=""),"",ABS(ROUND(BX30-BX49,3)))</f>
        <v/>
      </c>
      <c r="BS9" s="335"/>
      <c r="BT9" s="335"/>
      <c r="BU9" s="335"/>
      <c r="BV9" s="335"/>
      <c r="BW9" s="335"/>
      <c r="BX9" s="335"/>
      <c r="BY9" s="335"/>
      <c r="BZ9" s="155" t="s">
        <v>173</v>
      </c>
      <c r="CA9" s="155"/>
      <c r="CB9" s="155"/>
      <c r="CC9" s="155"/>
      <c r="CD9" s="155"/>
      <c r="CE9" s="155"/>
      <c r="CF9" s="155"/>
      <c r="CG9" s="155"/>
      <c r="CI9" s="329" t="s">
        <v>168</v>
      </c>
      <c r="CJ9" s="159"/>
      <c r="CK9" s="20" t="e">
        <f>((AP32+BB32)-(AP13+BB13))*24</f>
        <v>#VALUE!</v>
      </c>
      <c r="CL9" s="21" t="s">
        <v>172</v>
      </c>
      <c r="CN9" s="2" t="s">
        <v>193</v>
      </c>
    </row>
    <row r="10" spans="1:132" ht="11.45" customHeight="1" x14ac:dyDescent="0.2">
      <c r="A10" s="155" t="s">
        <v>26</v>
      </c>
      <c r="B10" s="155"/>
      <c r="C10" s="155"/>
      <c r="D10" s="155"/>
      <c r="E10" s="155"/>
      <c r="F10" s="155"/>
      <c r="G10" s="155"/>
      <c r="H10" s="155"/>
      <c r="I10" s="155"/>
      <c r="J10" s="155"/>
      <c r="K10" s="91" t="s">
        <v>0</v>
      </c>
      <c r="L10" s="236"/>
      <c r="M10" s="236"/>
      <c r="N10" s="236"/>
      <c r="O10" s="236"/>
      <c r="P10" s="236"/>
      <c r="Q10" s="236"/>
      <c r="R10" s="236"/>
      <c r="S10" s="315" t="s">
        <v>16</v>
      </c>
      <c r="T10" s="315"/>
      <c r="U10" s="315"/>
      <c r="V10" s="91" t="s">
        <v>0</v>
      </c>
      <c r="W10" s="156"/>
      <c r="X10" s="156"/>
      <c r="Y10" s="156"/>
      <c r="Z10" s="156"/>
      <c r="AA10" s="156"/>
      <c r="AB10" s="156"/>
      <c r="AC10" s="330" t="s">
        <v>190</v>
      </c>
      <c r="AD10" s="155"/>
      <c r="AE10" s="155"/>
      <c r="AF10" s="155"/>
      <c r="AG10" s="155"/>
      <c r="AH10" s="155"/>
      <c r="AI10" s="155"/>
      <c r="AJ10" s="155"/>
      <c r="AK10" s="155"/>
      <c r="AL10" s="155"/>
      <c r="AM10" s="155"/>
      <c r="AN10" s="155"/>
      <c r="AO10" s="155"/>
      <c r="AP10" s="91" t="s">
        <v>0</v>
      </c>
      <c r="AQ10" s="364"/>
      <c r="AR10" s="364"/>
      <c r="AS10" s="364"/>
      <c r="AT10" s="364"/>
      <c r="AU10" s="364"/>
      <c r="AV10" s="364"/>
      <c r="AW10" s="364"/>
      <c r="AX10" s="364"/>
      <c r="AY10" s="155" t="s">
        <v>173</v>
      </c>
      <c r="AZ10" s="155"/>
      <c r="BA10" s="155"/>
      <c r="BB10" s="366"/>
      <c r="BC10" s="330" t="s">
        <v>194</v>
      </c>
      <c r="BD10" s="155"/>
      <c r="BE10" s="155"/>
      <c r="BF10" s="155"/>
      <c r="BG10" s="155"/>
      <c r="BH10" s="155"/>
      <c r="BI10" s="155"/>
      <c r="BJ10" s="155"/>
      <c r="BK10" s="155"/>
      <c r="BL10" s="155"/>
      <c r="BM10" s="155"/>
      <c r="BN10" s="155"/>
      <c r="BO10" s="155"/>
      <c r="BP10" s="155"/>
      <c r="BQ10" s="91" t="s">
        <v>0</v>
      </c>
      <c r="BR10" s="364">
        <v>1E-4</v>
      </c>
      <c r="BS10" s="364"/>
      <c r="BT10" s="364"/>
      <c r="BU10" s="364"/>
      <c r="BV10" s="364"/>
      <c r="BW10" s="364"/>
      <c r="BX10" s="364"/>
      <c r="BY10" s="364"/>
      <c r="BZ10" s="155" t="s">
        <v>173</v>
      </c>
      <c r="CA10" s="155"/>
      <c r="CB10" s="155"/>
      <c r="CC10" s="155"/>
      <c r="CD10" s="155"/>
      <c r="CE10" s="155"/>
      <c r="CF10" s="155"/>
      <c r="CG10" s="155"/>
      <c r="CI10" s="330" t="s">
        <v>178</v>
      </c>
      <c r="CJ10" s="155"/>
      <c r="CK10" s="22">
        <f>AQ11</f>
        <v>0</v>
      </c>
      <c r="CL10" s="7" t="s">
        <v>173</v>
      </c>
    </row>
    <row r="11" spans="1:132" ht="11.45" customHeight="1" x14ac:dyDescent="0.2">
      <c r="A11" s="155" t="s">
        <v>5</v>
      </c>
      <c r="B11" s="155"/>
      <c r="C11" s="155"/>
      <c r="D11" s="155"/>
      <c r="E11" s="155"/>
      <c r="F11" s="155"/>
      <c r="G11" s="155"/>
      <c r="H11" s="155"/>
      <c r="I11" s="155"/>
      <c r="J11" s="155"/>
      <c r="K11" s="155"/>
      <c r="L11" s="155"/>
      <c r="M11" s="155"/>
      <c r="N11" s="91" t="s">
        <v>0</v>
      </c>
      <c r="O11" s="364"/>
      <c r="P11" s="364"/>
      <c r="Q11" s="364"/>
      <c r="R11" s="364"/>
      <c r="S11" s="364"/>
      <c r="T11" s="364"/>
      <c r="U11" s="364"/>
      <c r="V11" s="364"/>
      <c r="W11" s="155" t="s">
        <v>173</v>
      </c>
      <c r="X11" s="155"/>
      <c r="Y11" s="155"/>
      <c r="Z11" s="155"/>
      <c r="AA11" s="155"/>
      <c r="AB11" s="366"/>
      <c r="AC11" s="330" t="s">
        <v>191</v>
      </c>
      <c r="AD11" s="155"/>
      <c r="AE11" s="155"/>
      <c r="AF11" s="155"/>
      <c r="AG11" s="155"/>
      <c r="AH11" s="155"/>
      <c r="AI11" s="155"/>
      <c r="AJ11" s="155"/>
      <c r="AK11" s="155"/>
      <c r="AL11" s="155"/>
      <c r="AM11" s="155"/>
      <c r="AN11" s="155"/>
      <c r="AO11" s="155"/>
      <c r="AP11" s="91" t="s">
        <v>0</v>
      </c>
      <c r="AQ11" s="364"/>
      <c r="AR11" s="364"/>
      <c r="AS11" s="364"/>
      <c r="AT11" s="364"/>
      <c r="AU11" s="364"/>
      <c r="AV11" s="364"/>
      <c r="AW11" s="364"/>
      <c r="AX11" s="364"/>
      <c r="AY11" s="155" t="s">
        <v>173</v>
      </c>
      <c r="AZ11" s="155"/>
      <c r="BA11" s="155"/>
      <c r="BB11" s="366"/>
      <c r="BC11" s="330" t="s">
        <v>195</v>
      </c>
      <c r="BD11" s="155"/>
      <c r="BE11" s="155"/>
      <c r="BF11" s="155"/>
      <c r="BG11" s="155"/>
      <c r="BH11" s="155"/>
      <c r="BI11" s="155"/>
      <c r="BJ11" s="155"/>
      <c r="BK11" s="155"/>
      <c r="BL11" s="155"/>
      <c r="BM11" s="155"/>
      <c r="BN11" s="155"/>
      <c r="BO11" s="155"/>
      <c r="BP11" s="155"/>
      <c r="BQ11" s="91" t="s">
        <v>0</v>
      </c>
      <c r="BR11" s="382" t="str">
        <f>IF(OR(BR9="",BR10=""),"",ROUND(BR9+BR10,3))</f>
        <v/>
      </c>
      <c r="BS11" s="383"/>
      <c r="BT11" s="383"/>
      <c r="BU11" s="383"/>
      <c r="BV11" s="383"/>
      <c r="BW11" s="383"/>
      <c r="BX11" s="383"/>
      <c r="BY11" s="383"/>
      <c r="BZ11" s="155" t="s">
        <v>173</v>
      </c>
      <c r="CA11" s="155"/>
      <c r="CB11" s="155"/>
      <c r="CC11" s="155"/>
      <c r="CD11" s="155"/>
      <c r="CE11" s="155"/>
      <c r="CF11" s="155"/>
      <c r="CG11" s="155"/>
      <c r="CI11" s="331" t="s">
        <v>167</v>
      </c>
      <c r="CJ11" s="162"/>
      <c r="CK11" s="23" t="e">
        <f>CK10*(CK9/24)</f>
        <v>#VALUE!</v>
      </c>
      <c r="CL11" s="11" t="s">
        <v>173</v>
      </c>
    </row>
    <row r="12" spans="1:132" ht="11.45" customHeight="1" thickBot="1" x14ac:dyDescent="0.25">
      <c r="A12" s="381"/>
      <c r="B12" s="381"/>
      <c r="C12" s="381"/>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381"/>
      <c r="BB12" s="381"/>
      <c r="BC12" s="381"/>
      <c r="BD12" s="381"/>
      <c r="BE12" s="381"/>
      <c r="BF12" s="381"/>
      <c r="BG12" s="381"/>
      <c r="BH12" s="381"/>
      <c r="BI12" s="381"/>
      <c r="BJ12" s="381"/>
      <c r="BK12" s="381"/>
      <c r="BL12" s="381"/>
      <c r="BM12" s="381"/>
      <c r="BN12" s="381"/>
      <c r="BO12" s="381"/>
      <c r="BP12" s="381"/>
      <c r="BQ12" s="381"/>
      <c r="BR12" s="381"/>
      <c r="BS12" s="381"/>
      <c r="BT12" s="381"/>
      <c r="BU12" s="381"/>
      <c r="BV12" s="381"/>
      <c r="BW12" s="381"/>
      <c r="BX12" s="381"/>
      <c r="BY12" s="381"/>
      <c r="BZ12" s="381"/>
      <c r="CA12" s="381"/>
      <c r="CB12" s="381"/>
      <c r="CC12" s="381"/>
      <c r="CD12" s="381"/>
      <c r="CE12" s="381"/>
      <c r="CF12" s="381"/>
      <c r="CG12" s="381"/>
      <c r="CN12" s="1" t="s">
        <v>224</v>
      </c>
      <c r="CO12" s="91"/>
    </row>
    <row r="13" spans="1:132" ht="11.45" customHeight="1" x14ac:dyDescent="0.2">
      <c r="A13" s="336" t="s">
        <v>27</v>
      </c>
      <c r="B13" s="336"/>
      <c r="C13" s="336"/>
      <c r="D13" s="336"/>
      <c r="E13" s="336"/>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6"/>
      <c r="AH13" s="336"/>
      <c r="AI13" s="336"/>
      <c r="AJ13" s="336"/>
      <c r="AK13" s="336"/>
      <c r="AL13" s="343" t="s">
        <v>2</v>
      </c>
      <c r="AM13" s="343"/>
      <c r="AN13" s="343"/>
      <c r="AO13" s="95" t="s">
        <v>0</v>
      </c>
      <c r="AP13" s="393" t="str">
        <f>IF('Data Entry'!N15="","",'Data Entry'!N15)</f>
        <v/>
      </c>
      <c r="AQ13" s="393"/>
      <c r="AR13" s="393"/>
      <c r="AS13" s="393"/>
      <c r="AT13" s="393"/>
      <c r="AU13" s="393"/>
      <c r="AV13" s="393"/>
      <c r="AW13" s="393"/>
      <c r="AX13" s="343" t="s">
        <v>16</v>
      </c>
      <c r="AY13" s="343"/>
      <c r="AZ13" s="343"/>
      <c r="BA13" s="95" t="s">
        <v>0</v>
      </c>
      <c r="BB13" s="365"/>
      <c r="BC13" s="365"/>
      <c r="BD13" s="365"/>
      <c r="BE13" s="365"/>
      <c r="BF13" s="365"/>
      <c r="BG13" s="365"/>
      <c r="BH13" s="365"/>
      <c r="BI13" s="365"/>
      <c r="BJ13" s="343" t="s">
        <v>425</v>
      </c>
      <c r="BK13" s="343"/>
      <c r="BL13" s="343"/>
      <c r="BM13" s="343"/>
      <c r="BN13" s="343"/>
      <c r="BO13" s="343"/>
      <c r="BP13" s="343"/>
      <c r="BQ13" s="95" t="s">
        <v>0</v>
      </c>
      <c r="BR13" s="343" t="s">
        <v>430</v>
      </c>
      <c r="BS13" s="343"/>
      <c r="BT13" s="343"/>
      <c r="BU13" s="343"/>
      <c r="BV13" s="343"/>
      <c r="BW13" s="343"/>
      <c r="BX13" s="343"/>
      <c r="BY13" s="343"/>
      <c r="BZ13" s="343"/>
      <c r="CA13" s="343"/>
      <c r="CB13" s="343"/>
      <c r="CC13" s="343"/>
      <c r="CD13" s="343"/>
      <c r="CE13" s="343"/>
      <c r="CF13" s="343"/>
      <c r="CG13" s="343"/>
      <c r="CN13" s="107" t="s">
        <v>93</v>
      </c>
      <c r="CO13" s="91"/>
      <c r="CP13" s="91"/>
      <c r="CQ13" s="91"/>
    </row>
    <row r="14" spans="1:132" ht="11.45" customHeight="1" x14ac:dyDescent="0.2">
      <c r="A14" s="155"/>
      <c r="B14" s="155"/>
      <c r="C14" s="155"/>
      <c r="D14" s="155"/>
      <c r="E14" s="155"/>
      <c r="F14" s="155"/>
      <c r="G14" s="155" t="s">
        <v>196</v>
      </c>
      <c r="H14" s="155"/>
      <c r="I14" s="155"/>
      <c r="J14" s="155"/>
      <c r="K14" s="155"/>
      <c r="L14" s="155"/>
      <c r="M14" s="90" t="s">
        <v>0</v>
      </c>
      <c r="N14" s="340">
        <v>4</v>
      </c>
      <c r="O14" s="340"/>
      <c r="P14" s="340"/>
      <c r="Q14" s="340"/>
      <c r="R14" s="340"/>
      <c r="S14" s="340"/>
      <c r="T14" s="340" t="s">
        <v>192</v>
      </c>
      <c r="U14" s="340"/>
      <c r="V14" s="340"/>
      <c r="W14" s="340"/>
      <c r="X14" s="350"/>
      <c r="Y14" s="350"/>
      <c r="Z14" s="350"/>
      <c r="AA14" s="350"/>
      <c r="AB14" s="350"/>
      <c r="AC14" s="350"/>
      <c r="AD14" s="352" t="s">
        <v>427</v>
      </c>
      <c r="AE14" s="352"/>
      <c r="AF14" s="352"/>
      <c r="AG14" s="90" t="s">
        <v>0</v>
      </c>
      <c r="AH14" s="340">
        <f>IF(OR(N14="",N15=""),"",(N15-N14))</f>
        <v>3.25</v>
      </c>
      <c r="AI14" s="340"/>
      <c r="AJ14" s="340"/>
      <c r="AK14" s="340"/>
      <c r="AL14" s="340"/>
      <c r="AM14" s="342" t="str">
        <f>T14</f>
        <v xml:space="preserve"> M</v>
      </c>
      <c r="AN14" s="342"/>
      <c r="AO14" s="342"/>
      <c r="AP14" s="342"/>
      <c r="AQ14" s="155"/>
      <c r="AR14" s="155"/>
      <c r="AS14" s="155"/>
      <c r="AT14" s="155"/>
      <c r="AU14" s="155"/>
      <c r="AV14" s="155"/>
      <c r="AW14" s="340" t="s">
        <v>434</v>
      </c>
      <c r="AX14" s="340"/>
      <c r="AY14" s="340"/>
      <c r="AZ14" s="340"/>
      <c r="BA14" s="340"/>
      <c r="BB14" s="340"/>
      <c r="BC14" s="340"/>
      <c r="BD14" s="340"/>
      <c r="BE14" s="340"/>
      <c r="BF14" s="340"/>
      <c r="BG14" s="340"/>
      <c r="BH14" s="340"/>
      <c r="BI14" s="340"/>
      <c r="BJ14" s="340"/>
      <c r="BK14" s="340"/>
      <c r="BL14" s="340"/>
      <c r="BM14" s="103" t="s">
        <v>0</v>
      </c>
      <c r="BN14" s="155" t="s">
        <v>93</v>
      </c>
      <c r="BO14" s="155"/>
      <c r="BP14" s="155"/>
      <c r="BQ14" s="155"/>
      <c r="BR14" s="155"/>
      <c r="BS14" s="155"/>
      <c r="BT14" s="155"/>
      <c r="BU14" s="155"/>
      <c r="BV14" s="155"/>
      <c r="BW14" s="155"/>
      <c r="BX14" s="155"/>
      <c r="BY14" s="155"/>
      <c r="BZ14" s="155"/>
      <c r="CA14" s="155"/>
      <c r="CB14" s="155"/>
      <c r="CC14" s="155"/>
      <c r="CD14" s="155"/>
      <c r="CE14" s="155"/>
      <c r="CF14" s="155"/>
      <c r="CG14" s="155"/>
      <c r="CN14" s="2" t="s">
        <v>94</v>
      </c>
      <c r="CZ14" s="91"/>
      <c r="DA14" s="91"/>
      <c r="DB14" s="91"/>
      <c r="DC14" s="91"/>
      <c r="DD14" s="91"/>
    </row>
    <row r="15" spans="1:132" ht="11.45" customHeight="1" x14ac:dyDescent="0.2">
      <c r="A15" s="162"/>
      <c r="B15" s="162"/>
      <c r="C15" s="162"/>
      <c r="D15" s="162"/>
      <c r="E15" s="162"/>
      <c r="F15" s="162"/>
      <c r="G15" s="162" t="s">
        <v>426</v>
      </c>
      <c r="H15" s="162"/>
      <c r="I15" s="162"/>
      <c r="J15" s="162"/>
      <c r="K15" s="162"/>
      <c r="L15" s="162"/>
      <c r="M15" s="90" t="s">
        <v>0</v>
      </c>
      <c r="N15" s="355">
        <v>7.25</v>
      </c>
      <c r="O15" s="355"/>
      <c r="P15" s="355"/>
      <c r="Q15" s="355"/>
      <c r="R15" s="355"/>
      <c r="S15" s="355"/>
      <c r="T15" s="358" t="str">
        <f>T14</f>
        <v xml:space="preserve"> M</v>
      </c>
      <c r="U15" s="358"/>
      <c r="V15" s="358"/>
      <c r="W15" s="358"/>
      <c r="X15" s="351"/>
      <c r="Y15" s="351"/>
      <c r="Z15" s="351"/>
      <c r="AA15" s="351"/>
      <c r="AB15" s="351"/>
      <c r="AC15" s="351"/>
      <c r="AD15" s="353" t="s">
        <v>428</v>
      </c>
      <c r="AE15" s="353"/>
      <c r="AF15" s="353"/>
      <c r="AG15" s="90" t="s">
        <v>0</v>
      </c>
      <c r="AH15" s="162">
        <v>0</v>
      </c>
      <c r="AI15" s="162"/>
      <c r="AJ15" s="162"/>
      <c r="AK15" s="162"/>
      <c r="AL15" s="162"/>
      <c r="AM15" s="162"/>
      <c r="AN15" s="162"/>
      <c r="AO15" s="162"/>
      <c r="AP15" s="162"/>
      <c r="AQ15" s="162"/>
      <c r="AR15" s="162"/>
      <c r="AS15" s="162"/>
      <c r="AT15" s="162"/>
      <c r="AU15" s="162"/>
      <c r="AV15" s="162"/>
      <c r="AW15" s="355" t="s">
        <v>435</v>
      </c>
      <c r="AX15" s="355"/>
      <c r="AY15" s="355"/>
      <c r="AZ15" s="355"/>
      <c r="BA15" s="355"/>
      <c r="BB15" s="355"/>
      <c r="BC15" s="355"/>
      <c r="BD15" s="355"/>
      <c r="BE15" s="355"/>
      <c r="BF15" s="355"/>
      <c r="BG15" s="355"/>
      <c r="BH15" s="355"/>
      <c r="BI15" s="355"/>
      <c r="BJ15" s="355"/>
      <c r="BK15" s="355"/>
      <c r="BL15" s="355"/>
      <c r="BM15" s="103" t="s">
        <v>0</v>
      </c>
      <c r="BN15" s="162" t="s">
        <v>93</v>
      </c>
      <c r="BO15" s="162"/>
      <c r="BP15" s="162"/>
      <c r="BQ15" s="162"/>
      <c r="BR15" s="162"/>
      <c r="BS15" s="162"/>
      <c r="BT15" s="162"/>
      <c r="BU15" s="162"/>
      <c r="BV15" s="162"/>
      <c r="BW15" s="162"/>
      <c r="BX15" s="162"/>
      <c r="BY15" s="162"/>
      <c r="BZ15" s="162"/>
      <c r="CA15" s="162"/>
      <c r="CB15" s="162"/>
      <c r="CC15" s="162"/>
      <c r="CD15" s="162"/>
      <c r="CE15" s="162"/>
      <c r="CF15" s="162"/>
      <c r="CG15" s="162"/>
    </row>
    <row r="16" spans="1:132" ht="11.45" customHeight="1" x14ac:dyDescent="0.2">
      <c r="A16" s="359" t="s">
        <v>7</v>
      </c>
      <c r="B16" s="360"/>
      <c r="C16" s="360"/>
      <c r="D16" s="360"/>
      <c r="E16" s="360"/>
      <c r="F16" s="360"/>
      <c r="G16" s="360"/>
      <c r="H16" s="388"/>
      <c r="I16" s="329" t="s">
        <v>197</v>
      </c>
      <c r="J16" s="376"/>
      <c r="K16" s="376"/>
      <c r="L16" s="376"/>
      <c r="M16" s="376"/>
      <c r="N16" s="376"/>
      <c r="O16" s="377"/>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378"/>
      <c r="J17" s="379"/>
      <c r="K17" s="379"/>
      <c r="L17" s="379"/>
      <c r="M17" s="379"/>
      <c r="N17" s="379"/>
      <c r="O17" s="380"/>
      <c r="P17" s="333" t="str">
        <f>IF(P16=$CN$18,"@ 60°F",IF(P16=$CN$19,"@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c r="B18" s="317"/>
      <c r="C18" s="317"/>
      <c r="D18" s="317"/>
      <c r="E18" s="317"/>
      <c r="F18" s="317"/>
      <c r="G18" s="317"/>
      <c r="H18" s="317"/>
      <c r="I18" s="345"/>
      <c r="J18" s="345"/>
      <c r="K18" s="345"/>
      <c r="L18" s="345"/>
      <c r="M18" s="345"/>
      <c r="N18" s="345"/>
      <c r="O18" s="345"/>
      <c r="P18" s="313"/>
      <c r="Q18" s="313"/>
      <c r="R18" s="313"/>
      <c r="S18" s="313"/>
      <c r="T18" s="313"/>
      <c r="U18" s="308"/>
      <c r="V18" s="308"/>
      <c r="W18" s="308"/>
      <c r="X18" s="308"/>
      <c r="Y18" s="308"/>
      <c r="Z18" s="308"/>
      <c r="AA18" s="308"/>
      <c r="AB18" s="308"/>
      <c r="AC18" s="309"/>
      <c r="AD18" s="308"/>
      <c r="AE18" s="308"/>
      <c r="AF18" s="308"/>
      <c r="AG18" s="308"/>
      <c r="AH18" s="309"/>
      <c r="AI18" s="308"/>
      <c r="AJ18" s="308"/>
      <c r="AK18" s="308"/>
      <c r="AL18" s="308"/>
      <c r="AM18" s="308"/>
      <c r="AN18" s="308"/>
      <c r="AO18" s="308"/>
      <c r="AP18" s="308"/>
      <c r="AQ18" s="308"/>
      <c r="AR18" s="308"/>
      <c r="AS18" s="308"/>
      <c r="AT18" s="308"/>
      <c r="AU18" s="308"/>
      <c r="AV18" s="308"/>
      <c r="AW18" s="308"/>
      <c r="AX18" s="308"/>
      <c r="AY18" s="312"/>
      <c r="AZ18" s="312"/>
      <c r="BA18" s="312"/>
      <c r="BB18" s="312"/>
      <c r="BC18" s="312"/>
      <c r="BD18" s="311" t="str">
        <f>IF(OR(AJ18="",AT18=""),"",AJ18-AT18)</f>
        <v/>
      </c>
      <c r="BE18" s="311"/>
      <c r="BF18" s="311"/>
      <c r="BG18" s="311"/>
      <c r="BH18" s="311"/>
      <c r="BI18" s="423" t="str">
        <f t="shared" ref="BI18:BI29" si="0">IF(OR(AY18="",P18=""),"",IF($CN$53=1,DW18,IF($CN$53=2,DY18,IF($CN$53=3,EA18,IF($CN$53=4,DX18,IF($CN$53=5,DZ18,IF($CN$53=6,EB18)))))))</f>
        <v/>
      </c>
      <c r="BJ18" s="423"/>
      <c r="BK18" s="423"/>
      <c r="BL18" s="423"/>
      <c r="BM18" s="423"/>
      <c r="BN18" s="311" t="str">
        <f t="shared" ref="BN18:BN29" si="1">IF(OR(BD18="",BI18=""),"",BD18*BI18)</f>
        <v/>
      </c>
      <c r="BO18" s="311"/>
      <c r="BP18" s="311"/>
      <c r="BQ18" s="311"/>
      <c r="BR18" s="311"/>
      <c r="BS18" s="332" t="str">
        <f t="shared" ref="BS18:BS29" si="2">IF(OR(BD18="",P18="",BI18=""),"",ROUND((DS18-0.0011),4))</f>
        <v/>
      </c>
      <c r="BT18" s="332"/>
      <c r="BU18" s="332"/>
      <c r="BV18" s="332"/>
      <c r="BW18" s="332"/>
      <c r="BX18" s="311" t="str">
        <f t="shared" ref="BX18:BX29" si="3">IF(OR(BD18="",P18="",BI18=""),"",IF($AJ$17=$CN$34,ROUND(BN18*BS18,3),ROUND(CS18*BI18*BS18,3)))</f>
        <v/>
      </c>
      <c r="BY18" s="311"/>
      <c r="BZ18" s="311"/>
      <c r="CA18" s="311"/>
      <c r="CB18" s="311"/>
      <c r="CC18" s="311" t="str">
        <f t="shared" ref="CC18:CC29" si="4">IF(OR(BD18="",P18="",BI18=""),"",IF($AJ$17=$CN$34,ROUND(BN18*DQ18,3),ROUND(CS18*BI18*DQ18,3)))</f>
        <v/>
      </c>
      <c r="CD18" s="311"/>
      <c r="CE18" s="311"/>
      <c r="CF18" s="311"/>
      <c r="CG18" s="311"/>
      <c r="CN18" s="107" t="s">
        <v>13</v>
      </c>
      <c r="CP18" s="107">
        <f t="shared" ref="CP18:CP29" si="5">IF(OR(AY18="",BD18=""),0,AY18*BD18)</f>
        <v>0</v>
      </c>
      <c r="CR18" s="28" t="e">
        <f t="shared" ref="CR18:CR29" si="6">IF($BD$17=$CN$35,BD18,(BD18*6.28981))</f>
        <v>#VALUE!</v>
      </c>
      <c r="CS18" s="29" t="str">
        <f t="shared" ref="CS18:CS29" si="7">IF($BD$17=$CN$34,BD18,(BD18/6.28981))</f>
        <v/>
      </c>
      <c r="CU18" s="30">
        <f t="shared" ref="CU18:CU29" si="8">IF($AY$17=$CN$40,AY18,(AY18*1.8+32))</f>
        <v>32</v>
      </c>
      <c r="CV18" s="31">
        <f t="shared" ref="CV18:CV29" si="9">ROUND(CU18*2,0)/2</f>
        <v>32</v>
      </c>
      <c r="CW18" s="32">
        <f>ROUND(CU18,1)</f>
        <v>32</v>
      </c>
      <c r="CX18" s="33">
        <f>(1.8*((((CW18-32)/1.8)-((-0.148759+((-0.267408+((1.08076+((1.269056+((-4.089591+((-1.871251+((7.438081+(-3.536296*(((CW18-32)/1.8)/630)))*(((CW18-32)/1.8)/630)))*(((CW18-32)/1.8)/630)))*(((CW18-32)/1.8)/630)))*(((CW18-32)/1.8)/630)))*(((CW18-32)/1.8)/630)))*(((CW18-32)/1.8)/630)))*(((CW18-32)/1.8)/630)))))+32</f>
        <v>32</v>
      </c>
      <c r="CY18" s="26"/>
      <c r="CZ18" s="30">
        <f t="shared" ref="CZ18:CZ29" si="10">IF($AY$17=$CN$39,AY18,(AY18-32)/1.8)</f>
        <v>0</v>
      </c>
      <c r="DA18" s="28">
        <f t="shared" ref="DA18:DA29" si="11">ROUND(CZ18*4,0)/4</f>
        <v>0</v>
      </c>
      <c r="DB18" s="34">
        <f>ROUND(CZ18,1)</f>
        <v>0</v>
      </c>
      <c r="DC18" s="33">
        <f>DB18-((-0.148759+((-0.267408+((1.08076+((1.269056+((-4.089591+((-1.871251+((7.438081+(-3.536296*(DB18/630)))*(DB18/630)))*(DB18/630)))*(DB18/630)))*(DB18/630)))*(DB18/630)))*(DB18/630)))*(DB18/630))</f>
        <v>0</v>
      </c>
      <c r="DD18" s="35"/>
      <c r="DE18" s="30" t="e">
        <f t="shared" ref="DE18:DE29" si="12">IF($P$16=$CN$18,P18,(141.5/DK18)-131.5)</f>
        <v>#DIV/0!</v>
      </c>
      <c r="DF18" s="31" t="e">
        <f t="shared" ref="DF18:DF29" si="13">ROUND(DE18*2,0)/2</f>
        <v>#DIV/0!</v>
      </c>
      <c r="DG18" s="32" t="e">
        <f>ROUND(DE18,1)</f>
        <v>#DIV/0!</v>
      </c>
      <c r="DH18" s="33" t="e">
        <f>(141.5/(DG18+131.5))*999.016</f>
        <v>#DIV/0!</v>
      </c>
      <c r="DI18" s="33" t="e">
        <f>DH18*(1+((EXP(((0.01374979547/2)*(((103.872/DH18)+0.2701)*(1/DH18)))*(1+(0.8*((0.01374979547/2)*(((103.872/DH18)+0.2701)*(1/DH18))))))-1)/(1+(((0.01374979547/2)*(((103.872/DH18)+0.2701)*(1/DH18)))*(1+(1.6*((0.01374979547/2)*(((103.872/DH18)+0.2701)*(1/DH18)))))*(((2*103.872)+(0.2701+DH18))/(103.872+(0.2701*DH18)))))))</f>
        <v>#DIV/0!</v>
      </c>
      <c r="DK18" s="36" t="e">
        <f t="shared" ref="DK18:DK29" si="14">IF($P$16=$CN$19,P18,IF($P$16=$CN$18,141.5/(P18+131.5),DQ18*ROUND(EXP(-(186.9696/(((TRUNC(5*(DQ18*100)+0.5)/5)*0.01)*1000)^2+0.4862/(((TRUNC(5*(DQ18*100)+0.5)/5)*0.01)*1000))*(0.56)*(1+0.8*(186.9696/(((TRUNC(5*(DQ18*100)+0.5)/5)*0.01)*1000)^2+0.4862/(((TRUNC(5*(DQ18*100)+0.5)/5)*0.01)*1000))*0.56)),4)/0.999012))</f>
        <v>#DIV/0!</v>
      </c>
      <c r="DL18" s="37" t="e">
        <f>ROUND(DK18*5,2)/5</f>
        <v>#DIV/0!</v>
      </c>
      <c r="DM18" s="38" t="e">
        <f>ROUND(DK18,4)</f>
        <v>#DIV/0!</v>
      </c>
      <c r="DN18" s="33" t="e">
        <f>DM18*999.016</f>
        <v>#DIV/0!</v>
      </c>
      <c r="DO18" s="33" t="e">
        <f>DN18*(1+((EXP(((0.01374979547/2)*(((103.872/DN18)+0.2701)*(1/DN18)))*(1+(0.8*((0.01374979547/2)*(((103.872/DN18)+0.2701)*(1/DN18))))))-1)/(1+(((0.01374979547/2)*(((103.872/DN18)+0.2701)*(1/DN18)))*(1+(1.6*((0.01374979547/2)*(((103.872/DN18)+0.2701)*(1/DN18)))))*(((2*103.872)+(0.2701+DN18))/(103.872+(0.2701*DN18)))))))</f>
        <v>#DIV/0!</v>
      </c>
      <c r="DQ18" s="36">
        <f t="shared" ref="DQ18:DQ29" si="15">IF($P$16=$CN$20,P18,DK18*0.999012*ROUND(EXP(-((103.872/((((TRUNC(5*(DK18*100)+0.5)/5)*0.01)*999.012)^2))+(0.2701/(((TRUNC(5*(DK18*100)+0.5)/5)*0.01)*999.012)))*(-1)*(1+(0.8*((103.872/((((TRUNC(5*(DK18*100)+0.5)/5)*0.01)*999.012)^2))+(0.2701/(((TRUNC(5*(DK18*100)+0.5)/5)*0.01)*999.012)))*(-1)))),4))</f>
        <v>0</v>
      </c>
      <c r="DR18" s="39">
        <f>ROUND(DQ18*5,2)/5</f>
        <v>0</v>
      </c>
      <c r="DS18" s="38">
        <f>ROUND(DQ18,4)</f>
        <v>0</v>
      </c>
      <c r="DT18" s="33">
        <f>DS18*1000</f>
        <v>0</v>
      </c>
      <c r="DU18" s="33" t="e">
        <f>DT18*(1+((EXP(((0.01374979547/2)*(((186.9696/DT18)+0.4862)*(1/DT18)))*(1+(0.8*((0.01374979547/2)*(((186.9696/DT18)+0.4862)*(1/DT18))))))-1)/(1+(((0.01374979547/2)*(((186.9696/DT18)+0.4862)*(1/DT18)))*(1+(1.6*((0.01374979547/2)*(((186.9696/DT18)+0.4862)*(1/DT18)))))*(((2*186.9696)+(0.4862+DT18))/(186.9696+(0.4862*DT18)))))))</f>
        <v>#DIV/0!</v>
      </c>
      <c r="DW18" s="38" t="e">
        <f>ROUND(EXP(-((103.872/(((141.5/(DF18+131.5))*999.012)^2))+(0.2701/((141.5/(DF18+131.5))*999.012)))*(CV18-60)*(1+(0.8*((103.872/(((141.5/(DF18+131.5))*999.012)^2))+(0.2701/((141.5/(DF18+131.5))*999.012)))*(CV18-60)))),4)</f>
        <v>#DIV/0!</v>
      </c>
      <c r="DX18" s="40" t="e">
        <f>ROUND(EXP(-(((103.872/DI18)+0.2701)*(1/DI18))*(CX18-60.0068749)*(1+(0.8*(((103.872/DI18)+0.2701)*(1/DI18))*((CX18-60.0068749)+0.01374979547)))),5)</f>
        <v>#DIV/0!</v>
      </c>
      <c r="DY18" s="36" t="e">
        <f>ROUND(EXP(-((103.872/((DL18*999.012)^2))+(0.2701/(DL18*999.012)))*(CV18-60)*(1+(0.8*((103.872/((DL18*999.012)^2))+(0.2701/(DL18*999.012)))*(CV18-60)))),4)</f>
        <v>#DIV/0!</v>
      </c>
      <c r="DZ18" s="40" t="e">
        <f>ROUND(EXP(-(((103.872/DO18)+0.2701)*(1/DO18))*(CX18-60.0068749)*(1+(0.8*(((103.872/DO18)+0.2701)*(1/DO18))*((CX18-60.0068749)+0.01374979547)))),5)</f>
        <v>#DIV/0!</v>
      </c>
      <c r="EA18" s="36" t="e">
        <f>ROUND(EXP(-((186.9696/((DR18*1000)^2))+(0.4862/(DR18*1000)))*(DA18-15)*(1+(0.8*((186.9696/((DR18*1000)^2))+(0.4862/(DR18*1000)))*(DA18-15)))),4)</f>
        <v>#DIV/0!</v>
      </c>
      <c r="EB18" s="40" t="e">
        <f>ROUND(EXP(-((((186.9696/DU18)+0.4862)*(1/DU18)))*(DC18-15.00367851)*(1+(0.8*((((186.9696/DU18)+0.4862)*(1/DU18)))*((DC18-15.00367851)+0.01374979547)))),5)</f>
        <v>#DIV/0!</v>
      </c>
    </row>
    <row r="19" spans="1:132" ht="11.45" customHeight="1" x14ac:dyDescent="0.2">
      <c r="A19" s="550"/>
      <c r="B19" s="550"/>
      <c r="C19" s="550"/>
      <c r="D19" s="550"/>
      <c r="E19" s="550"/>
      <c r="F19" s="550"/>
      <c r="G19" s="550"/>
      <c r="H19" s="550"/>
      <c r="I19" s="345"/>
      <c r="J19" s="345"/>
      <c r="K19" s="345"/>
      <c r="L19" s="345"/>
      <c r="M19" s="345"/>
      <c r="N19" s="345"/>
      <c r="O19" s="345"/>
      <c r="P19" s="313"/>
      <c r="Q19" s="313"/>
      <c r="R19" s="313"/>
      <c r="S19" s="313"/>
      <c r="T19" s="313"/>
      <c r="U19" s="308"/>
      <c r="V19" s="308"/>
      <c r="W19" s="308"/>
      <c r="X19" s="308"/>
      <c r="Y19" s="308"/>
      <c r="Z19" s="308"/>
      <c r="AA19" s="308"/>
      <c r="AB19" s="308"/>
      <c r="AC19" s="309"/>
      <c r="AD19" s="308"/>
      <c r="AE19" s="308"/>
      <c r="AF19" s="308"/>
      <c r="AG19" s="308"/>
      <c r="AH19" s="309"/>
      <c r="AI19" s="308"/>
      <c r="AJ19" s="308"/>
      <c r="AK19" s="308"/>
      <c r="AL19" s="308"/>
      <c r="AM19" s="308"/>
      <c r="AN19" s="308"/>
      <c r="AO19" s="308"/>
      <c r="AP19" s="308"/>
      <c r="AQ19" s="308"/>
      <c r="AR19" s="308"/>
      <c r="AS19" s="308"/>
      <c r="AT19" s="308"/>
      <c r="AU19" s="308"/>
      <c r="AV19" s="308"/>
      <c r="AW19" s="308"/>
      <c r="AX19" s="308"/>
      <c r="AY19" s="312"/>
      <c r="AZ19" s="312"/>
      <c r="BA19" s="312"/>
      <c r="BB19" s="312"/>
      <c r="BC19" s="312"/>
      <c r="BD19" s="311" t="str">
        <f t="shared" ref="BD19:BD29" si="16">IF(OR(AJ19="",AT19=""),"",AJ19-AT19)</f>
        <v/>
      </c>
      <c r="BE19" s="311"/>
      <c r="BF19" s="311"/>
      <c r="BG19" s="311"/>
      <c r="BH19" s="311"/>
      <c r="BI19" s="423" t="str">
        <f t="shared" si="0"/>
        <v/>
      </c>
      <c r="BJ19" s="423"/>
      <c r="BK19" s="423"/>
      <c r="BL19" s="423"/>
      <c r="BM19" s="423"/>
      <c r="BN19" s="311" t="str">
        <f t="shared" si="1"/>
        <v/>
      </c>
      <c r="BO19" s="311"/>
      <c r="BP19" s="311"/>
      <c r="BQ19" s="311"/>
      <c r="BR19" s="311"/>
      <c r="BS19" s="332" t="str">
        <f t="shared" si="2"/>
        <v/>
      </c>
      <c r="BT19" s="332"/>
      <c r="BU19" s="332"/>
      <c r="BV19" s="332"/>
      <c r="BW19" s="332"/>
      <c r="BX19" s="311" t="str">
        <f t="shared" si="3"/>
        <v/>
      </c>
      <c r="BY19" s="311"/>
      <c r="BZ19" s="311"/>
      <c r="CA19" s="311"/>
      <c r="CB19" s="311"/>
      <c r="CC19" s="311" t="str">
        <f t="shared" si="4"/>
        <v/>
      </c>
      <c r="CD19" s="311"/>
      <c r="CE19" s="311"/>
      <c r="CF19" s="311"/>
      <c r="CG19" s="311"/>
      <c r="CN19" s="87" t="s">
        <v>85</v>
      </c>
      <c r="CP19" s="87">
        <f t="shared" si="5"/>
        <v>0</v>
      </c>
      <c r="CR19" s="28" t="e">
        <f t="shared" si="6"/>
        <v>#VALUE!</v>
      </c>
      <c r="CS19" s="29" t="str">
        <f t="shared" si="7"/>
        <v/>
      </c>
      <c r="CU19" s="28">
        <f t="shared" si="8"/>
        <v>32</v>
      </c>
      <c r="CV19" s="31">
        <f t="shared" si="9"/>
        <v>32</v>
      </c>
      <c r="CW19" s="32">
        <f>ROUND(CU19,1)</f>
        <v>32</v>
      </c>
      <c r="CX19" s="32">
        <f t="shared" ref="CX19:CX29" si="17">(1.8*((((CW19-32)/1.8)-((-0.148759+((-0.267408+((1.08076+((1.269056+((-4.089591+((-1.871251+((7.438081+(-3.536296*(((CW19-32)/1.8)/630)))*(((CW19-32)/1.8)/630)))*(((CW19-32)/1.8)/630)))*(((CW19-32)/1.8)/630)))*(((CW19-32)/1.8)/630)))*(((CW19-32)/1.8)/630)))*(((CW19-32)/1.8)/630)))*(((CW19-32)/1.8)/630)))))+32</f>
        <v>32</v>
      </c>
      <c r="CY19" s="26"/>
      <c r="CZ19" s="28">
        <f t="shared" si="10"/>
        <v>0</v>
      </c>
      <c r="DA19" s="28">
        <f t="shared" si="11"/>
        <v>0</v>
      </c>
      <c r="DB19" s="34">
        <f>ROUND(CZ19,1)</f>
        <v>0</v>
      </c>
      <c r="DC19" s="32">
        <f t="shared" ref="DC19:DC29" si="18">DB19-((-0.148759+((-0.267408+((1.08076+((1.269056+((-4.089591+((-1.871251+((7.438081+(-3.536296*(DB19/630)))*(DB19/630)))*(DB19/630)))*(DB19/630)))*(DB19/630)))*(DB19/630)))*(DB19/630)))*(DB19/630))</f>
        <v>0</v>
      </c>
      <c r="DD19" s="35"/>
      <c r="DE19" s="28" t="e">
        <f t="shared" si="12"/>
        <v>#DIV/0!</v>
      </c>
      <c r="DF19" s="31" t="e">
        <f t="shared" si="13"/>
        <v>#DIV/0!</v>
      </c>
      <c r="DG19" s="32" t="e">
        <f>ROUND(DE19,1)</f>
        <v>#DIV/0!</v>
      </c>
      <c r="DH19" s="32" t="e">
        <f t="shared" ref="DH19:DH29" si="19">(141.5/(DG19+131.5))*999.016</f>
        <v>#DIV/0!</v>
      </c>
      <c r="DI19" s="32" t="e">
        <f t="shared" ref="DI19:DI29" si="20">DH19*(1+((EXP(((0.01374979547/2)*(((103.872/DH19)+0.2701)*(1/DH19)))*(1+(0.8*((0.01374979547/2)*(((103.872/DH19)+0.2701)*(1/DH19))))))-1)/(1+(((0.01374979547/2)*(((103.872/DH19)+0.2701)*(1/DH19)))*(1+(1.6*((0.01374979547/2)*(((103.872/DH19)+0.2701)*(1/DH19)))))*(((2*103.872)+(0.2701+DH19))/(103.872+(0.2701*DH19)))))))</f>
        <v>#DIV/0!</v>
      </c>
      <c r="DK19" s="38" t="e">
        <f t="shared" si="14"/>
        <v>#DIV/0!</v>
      </c>
      <c r="DL19" s="41" t="e">
        <f>ROUND(DK19*5,2)/5</f>
        <v>#DIV/0!</v>
      </c>
      <c r="DM19" s="38" t="e">
        <f>ROUND(DK19,4)</f>
        <v>#DIV/0!</v>
      </c>
      <c r="DN19" s="32" t="e">
        <f t="shared" ref="DN19:DN29" si="21">DM19*999.016</f>
        <v>#DIV/0!</v>
      </c>
      <c r="DO19" s="32" t="e">
        <f>DN19*(1+((EXP(((0.01374979547/2)*(((103.872/DN19)+0.2701)*(1/DN19)))*(1+(0.8*((0.01374979547/2)*(((103.872/DN19)+0.2701)*(1/DN19))))))-1)/(1+(((0.01374979547/2)*(((103.872/DN19)+0.2701)*(1/DN19)))*(1+(1.6*((0.01374979547/2)*(((103.872/DN19)+0.2701)*(1/DN19)))))*(((2*103.872)+(0.2701+DN19))/(103.872+(0.2701*DN19)))))))</f>
        <v>#DIV/0!</v>
      </c>
      <c r="DQ19" s="38">
        <f t="shared" si="15"/>
        <v>0</v>
      </c>
      <c r="DR19" s="29">
        <f>ROUND(DQ19*5,2)/5</f>
        <v>0</v>
      </c>
      <c r="DS19" s="38">
        <f>ROUND(DQ19,4)</f>
        <v>0</v>
      </c>
      <c r="DT19" s="32">
        <f t="shared" ref="DT19:DT29" si="22">DS19*1000</f>
        <v>0</v>
      </c>
      <c r="DU19" s="32" t="e">
        <f t="shared" ref="DU19:DU29" si="23">DT19*(1+((EXP(((0.01374979547/2)*(((186.9696/DT19)+0.4862)*(1/DT19)))*(1+(0.8*((0.01374979547/2)*(((186.9696/DT19)+0.4862)*(1/DT19))))))-1)/(1+(((0.01374979547/2)*(((186.9696/DT19)+0.4862)*(1/DT19)))*(1+(1.6*((0.01374979547/2)*(((186.9696/DT19)+0.4862)*(1/DT19)))))*(((2*186.9696)+(0.4862+DT19))/(186.9696+(0.4862*DT19)))))))</f>
        <v>#DIV/0!</v>
      </c>
      <c r="DW19" s="38" t="e">
        <f>ROUND(EXP(-((103.872/(((141.5/(DF19+131.5))*999.012)^2))+(0.2701/((141.5/(DF19+131.5))*999.012)))*(CV19-60)*(1+(0.8*((103.872/(((141.5/(DF19+131.5))*999.012)^2))+(0.2701/((141.5/(DF19+131.5))*999.012)))*(CV19-60)))),4)</f>
        <v>#DIV/0!</v>
      </c>
      <c r="DX19" s="42" t="e">
        <f>ROUND(EXP(-(((103.872/DI19)+0.2701)*(1/DI19))*(CX19-60.0068749)*(1+(0.8*(((103.872/DI19)+0.2701)*(1/DI19))*((CX19-60.0068749)+0.01374979547)))),5)</f>
        <v>#DIV/0!</v>
      </c>
      <c r="DY19" s="38" t="e">
        <f>ROUND(EXP(-((103.872/((DL19*999.012)^2))+(0.2701/(DL19*999.012)))*(CV19-60)*(1+(0.8*((103.872/((DL19*999.012)^2))+(0.2701/(DL19*999.012)))*(CV19-60)))),4)</f>
        <v>#DIV/0!</v>
      </c>
      <c r="DZ19" s="42" t="e">
        <f>ROUND(EXP(-(((103.872/DO19)+0.2701)*(1/DO19))*(CX19-60.0068749)*(1+(0.8*(((103.872/DO19)+0.2701)*(1/DO19))*((CX19-60.0068749)+0.01374979547)))),5)</f>
        <v>#DIV/0!</v>
      </c>
      <c r="EA19" s="38" t="e">
        <f>ROUND(EXP(-((186.9696/((DR19*1000)^2))+(0.4862/(DR19*1000)))*(DA19-15)*(1+(0.8*((186.9696/((DR19*1000)^2))+(0.4862/(DR19*1000)))*(DA19-15)))),4)</f>
        <v>#DIV/0!</v>
      </c>
      <c r="EB19" s="42" t="e">
        <f>ROUND(EXP(-((((186.9696/DU19)+0.4862)*(1/DU19)))*(DC19-15.00367851)*(1+(0.8*((((186.9696/DU19)+0.4862)*(1/DU19)))*((DC19-15.00367851)+0.01374979547)))),5)</f>
        <v>#DIV/0!</v>
      </c>
    </row>
    <row r="20" spans="1:132" ht="11.45" customHeight="1" x14ac:dyDescent="0.2">
      <c r="A20" s="550"/>
      <c r="B20" s="550"/>
      <c r="C20" s="550"/>
      <c r="D20" s="550"/>
      <c r="E20" s="550"/>
      <c r="F20" s="550"/>
      <c r="G20" s="550"/>
      <c r="H20" s="550"/>
      <c r="I20" s="345"/>
      <c r="J20" s="345"/>
      <c r="K20" s="345"/>
      <c r="L20" s="345"/>
      <c r="M20" s="345"/>
      <c r="N20" s="345"/>
      <c r="O20" s="345"/>
      <c r="P20" s="313"/>
      <c r="Q20" s="313"/>
      <c r="R20" s="313"/>
      <c r="S20" s="313"/>
      <c r="T20" s="313"/>
      <c r="U20" s="308"/>
      <c r="V20" s="308"/>
      <c r="W20" s="308"/>
      <c r="X20" s="308"/>
      <c r="Y20" s="308"/>
      <c r="Z20" s="308"/>
      <c r="AA20" s="308"/>
      <c r="AB20" s="308"/>
      <c r="AC20" s="309"/>
      <c r="AD20" s="308"/>
      <c r="AE20" s="308"/>
      <c r="AF20" s="308"/>
      <c r="AG20" s="308"/>
      <c r="AH20" s="309"/>
      <c r="AI20" s="308"/>
      <c r="AJ20" s="308"/>
      <c r="AK20" s="308"/>
      <c r="AL20" s="308"/>
      <c r="AM20" s="308"/>
      <c r="AN20" s="308"/>
      <c r="AO20" s="308"/>
      <c r="AP20" s="308"/>
      <c r="AQ20" s="308"/>
      <c r="AR20" s="308"/>
      <c r="AS20" s="308"/>
      <c r="AT20" s="308"/>
      <c r="AU20" s="308"/>
      <c r="AV20" s="308"/>
      <c r="AW20" s="308"/>
      <c r="AX20" s="308"/>
      <c r="AY20" s="312"/>
      <c r="AZ20" s="312"/>
      <c r="BA20" s="312"/>
      <c r="BB20" s="312"/>
      <c r="BC20" s="312"/>
      <c r="BD20" s="311" t="str">
        <f t="shared" si="16"/>
        <v/>
      </c>
      <c r="BE20" s="311"/>
      <c r="BF20" s="311"/>
      <c r="BG20" s="311"/>
      <c r="BH20" s="311"/>
      <c r="BI20" s="423" t="str">
        <f t="shared" si="0"/>
        <v/>
      </c>
      <c r="BJ20" s="423"/>
      <c r="BK20" s="423"/>
      <c r="BL20" s="423"/>
      <c r="BM20" s="423"/>
      <c r="BN20" s="311" t="str">
        <f t="shared" si="1"/>
        <v/>
      </c>
      <c r="BO20" s="311"/>
      <c r="BP20" s="311"/>
      <c r="BQ20" s="311"/>
      <c r="BR20" s="311"/>
      <c r="BS20" s="332" t="str">
        <f t="shared" si="2"/>
        <v/>
      </c>
      <c r="BT20" s="332"/>
      <c r="BU20" s="332"/>
      <c r="BV20" s="332"/>
      <c r="BW20" s="332"/>
      <c r="BX20" s="311" t="str">
        <f t="shared" si="3"/>
        <v/>
      </c>
      <c r="BY20" s="311"/>
      <c r="BZ20" s="311"/>
      <c r="CA20" s="311"/>
      <c r="CB20" s="311"/>
      <c r="CC20" s="311" t="str">
        <f t="shared" si="4"/>
        <v/>
      </c>
      <c r="CD20" s="311"/>
      <c r="CE20" s="311"/>
      <c r="CF20" s="311"/>
      <c r="CG20" s="311"/>
      <c r="CN20" s="2" t="s">
        <v>84</v>
      </c>
      <c r="CP20" s="87">
        <f t="shared" si="5"/>
        <v>0</v>
      </c>
      <c r="CR20" s="28" t="e">
        <f t="shared" si="6"/>
        <v>#VALUE!</v>
      </c>
      <c r="CS20" s="29" t="str">
        <f t="shared" si="7"/>
        <v/>
      </c>
      <c r="CU20" s="28">
        <f t="shared" si="8"/>
        <v>32</v>
      </c>
      <c r="CV20" s="31">
        <f t="shared" si="9"/>
        <v>32</v>
      </c>
      <c r="CW20" s="32">
        <f t="shared" ref="CW20:CW28" si="24">ROUND(CU20,1)</f>
        <v>32</v>
      </c>
      <c r="CX20" s="32">
        <f t="shared" si="17"/>
        <v>32</v>
      </c>
      <c r="CY20" s="26"/>
      <c r="CZ20" s="28">
        <f t="shared" si="10"/>
        <v>0</v>
      </c>
      <c r="DA20" s="28">
        <f t="shared" si="11"/>
        <v>0</v>
      </c>
      <c r="DB20" s="34">
        <f t="shared" ref="DB20:DB28" si="25">ROUND(CZ20,1)</f>
        <v>0</v>
      </c>
      <c r="DC20" s="32">
        <f t="shared" si="18"/>
        <v>0</v>
      </c>
      <c r="DD20" s="35"/>
      <c r="DE20" s="28" t="e">
        <f t="shared" si="12"/>
        <v>#DIV/0!</v>
      </c>
      <c r="DF20" s="31" t="e">
        <f t="shared" si="13"/>
        <v>#DIV/0!</v>
      </c>
      <c r="DG20" s="32" t="e">
        <f t="shared" ref="DG20:DG28" si="26">ROUND(DE20,1)</f>
        <v>#DIV/0!</v>
      </c>
      <c r="DH20" s="32" t="e">
        <f t="shared" si="19"/>
        <v>#DIV/0!</v>
      </c>
      <c r="DI20" s="32" t="e">
        <f t="shared" si="20"/>
        <v>#DIV/0!</v>
      </c>
      <c r="DK20" s="38" t="e">
        <f t="shared" si="14"/>
        <v>#DIV/0!</v>
      </c>
      <c r="DL20" s="41" t="e">
        <f t="shared" ref="DL20:DL28" si="27">ROUND(DK20*5,2)/5</f>
        <v>#DIV/0!</v>
      </c>
      <c r="DM20" s="38" t="e">
        <f t="shared" ref="DM20:DM28" si="28">ROUND(DK20,4)</f>
        <v>#DIV/0!</v>
      </c>
      <c r="DN20" s="32" t="e">
        <f t="shared" si="21"/>
        <v>#DIV/0!</v>
      </c>
      <c r="DO20" s="32" t="e">
        <f t="shared" ref="DO20:DO28" si="29">DN20*(1+((EXP(((0.01374979547/2)*(((103.872/DN20)+0.2701)*(1/DN20)))*(1+(0.8*((0.01374979547/2)*(((103.872/DN20)+0.2701)*(1/DN20))))))-1)/(1+(((0.01374979547/2)*(((103.872/DN20)+0.2701)*(1/DN20)))*(1+(1.6*((0.01374979547/2)*(((103.872/DN20)+0.2701)*(1/DN20)))))*(((2*103.872)+(0.2701+DN20))/(103.872+(0.2701*DN20)))))))</f>
        <v>#DIV/0!</v>
      </c>
      <c r="DQ20" s="38">
        <f t="shared" si="15"/>
        <v>0</v>
      </c>
      <c r="DR20" s="29">
        <f t="shared" ref="DR20:DR28" si="30">ROUND(DQ20*5,2)/5</f>
        <v>0</v>
      </c>
      <c r="DS20" s="38">
        <f t="shared" ref="DS20:DS28" si="31">ROUND(DQ20,4)</f>
        <v>0</v>
      </c>
      <c r="DT20" s="32">
        <f t="shared" si="22"/>
        <v>0</v>
      </c>
      <c r="DU20" s="32" t="e">
        <f t="shared" si="23"/>
        <v>#DIV/0!</v>
      </c>
      <c r="DW20" s="38" t="e">
        <f t="shared" ref="DW20:DW28" si="32">ROUND(EXP(-((103.872/(((141.5/(DF20+131.5))*999.012)^2))+(0.2701/((141.5/(DF20+131.5))*999.012)))*(CV20-60)*(1+(0.8*((103.872/(((141.5/(DF20+131.5))*999.012)^2))+(0.2701/((141.5/(DF20+131.5))*999.012)))*(CV20-60)))),4)</f>
        <v>#DIV/0!</v>
      </c>
      <c r="DX20" s="42" t="e">
        <f t="shared" ref="DX20:DX28" si="33">ROUND(EXP(-(((103.872/DI20)+0.2701)*(1/DI20))*(CX20-60.0068749)*(1+(0.8*(((103.872/DI20)+0.2701)*(1/DI20))*((CX20-60.0068749)+0.01374979547)))),5)</f>
        <v>#DIV/0!</v>
      </c>
      <c r="DY20" s="38" t="e">
        <f t="shared" ref="DY20:DY28" si="34">ROUND(EXP(-((103.872/((DL20*999.012)^2))+(0.2701/(DL20*999.012)))*(CV20-60)*(1+(0.8*((103.872/((DL20*999.012)^2))+(0.2701/(DL20*999.012)))*(CV20-60)))),4)</f>
        <v>#DIV/0!</v>
      </c>
      <c r="DZ20" s="42" t="e">
        <f t="shared" ref="DZ20:DZ28" si="35">ROUND(EXP(-(((103.872/DO20)+0.2701)*(1/DO20))*(CX20-60.0068749)*(1+(0.8*(((103.872/DO20)+0.2701)*(1/DO20))*((CX20-60.0068749)+0.01374979547)))),5)</f>
        <v>#DIV/0!</v>
      </c>
      <c r="EA20" s="38" t="e">
        <f t="shared" ref="EA20:EA28" si="36">ROUND(EXP(-((186.9696/((DR20*1000)^2))+(0.4862/(DR20*1000)))*(DA20-15)*(1+(0.8*((186.9696/((DR20*1000)^2))+(0.4862/(DR20*1000)))*(DA20-15)))),4)</f>
        <v>#DIV/0!</v>
      </c>
      <c r="EB20" s="42" t="e">
        <f t="shared" ref="EB20:EB28" si="37">ROUND(EXP(-((((186.9696/DU20)+0.4862)*(1/DU20)))*(DC20-15.00367851)*(1+(0.8*((((186.9696/DU20)+0.4862)*(1/DU20)))*((DC20-15.00367851)+0.01374979547)))),5)</f>
        <v>#DIV/0!</v>
      </c>
    </row>
    <row r="21" spans="1:132" ht="11.45" customHeight="1" x14ac:dyDescent="0.2">
      <c r="A21" s="550"/>
      <c r="B21" s="550"/>
      <c r="C21" s="550"/>
      <c r="D21" s="550"/>
      <c r="E21" s="550"/>
      <c r="F21" s="550"/>
      <c r="G21" s="550"/>
      <c r="H21" s="550"/>
      <c r="I21" s="345"/>
      <c r="J21" s="345"/>
      <c r="K21" s="345"/>
      <c r="L21" s="345"/>
      <c r="M21" s="345"/>
      <c r="N21" s="345"/>
      <c r="O21" s="345"/>
      <c r="P21" s="313"/>
      <c r="Q21" s="313"/>
      <c r="R21" s="313"/>
      <c r="S21" s="313"/>
      <c r="T21" s="313"/>
      <c r="U21" s="308"/>
      <c r="V21" s="308"/>
      <c r="W21" s="308"/>
      <c r="X21" s="308"/>
      <c r="Y21" s="308"/>
      <c r="Z21" s="308"/>
      <c r="AA21" s="308"/>
      <c r="AB21" s="308"/>
      <c r="AC21" s="309"/>
      <c r="AD21" s="308"/>
      <c r="AE21" s="308"/>
      <c r="AF21" s="308"/>
      <c r="AG21" s="308"/>
      <c r="AH21" s="309"/>
      <c r="AI21" s="308"/>
      <c r="AJ21" s="308"/>
      <c r="AK21" s="308"/>
      <c r="AL21" s="308"/>
      <c r="AM21" s="308"/>
      <c r="AN21" s="308"/>
      <c r="AO21" s="308"/>
      <c r="AP21" s="308"/>
      <c r="AQ21" s="308"/>
      <c r="AR21" s="308"/>
      <c r="AS21" s="308"/>
      <c r="AT21" s="308"/>
      <c r="AU21" s="308"/>
      <c r="AV21" s="308"/>
      <c r="AW21" s="308"/>
      <c r="AX21" s="308"/>
      <c r="AY21" s="312"/>
      <c r="AZ21" s="312"/>
      <c r="BA21" s="312"/>
      <c r="BB21" s="312"/>
      <c r="BC21" s="312"/>
      <c r="BD21" s="311" t="str">
        <f t="shared" si="16"/>
        <v/>
      </c>
      <c r="BE21" s="311"/>
      <c r="BF21" s="311"/>
      <c r="BG21" s="311"/>
      <c r="BH21" s="311"/>
      <c r="BI21" s="423" t="str">
        <f t="shared" si="0"/>
        <v/>
      </c>
      <c r="BJ21" s="423"/>
      <c r="BK21" s="423"/>
      <c r="BL21" s="423"/>
      <c r="BM21" s="423"/>
      <c r="BN21" s="311" t="str">
        <f t="shared" si="1"/>
        <v/>
      </c>
      <c r="BO21" s="311"/>
      <c r="BP21" s="311"/>
      <c r="BQ21" s="311"/>
      <c r="BR21" s="311"/>
      <c r="BS21" s="332" t="str">
        <f t="shared" si="2"/>
        <v/>
      </c>
      <c r="BT21" s="332"/>
      <c r="BU21" s="332"/>
      <c r="BV21" s="332"/>
      <c r="BW21" s="332"/>
      <c r="BX21" s="311" t="str">
        <f t="shared" si="3"/>
        <v/>
      </c>
      <c r="BY21" s="311"/>
      <c r="BZ21" s="311"/>
      <c r="CA21" s="311"/>
      <c r="CB21" s="311"/>
      <c r="CC21" s="311" t="str">
        <f t="shared" si="4"/>
        <v/>
      </c>
      <c r="CD21" s="311"/>
      <c r="CE21" s="311"/>
      <c r="CF21" s="311"/>
      <c r="CG21" s="311"/>
      <c r="CI21" s="323" t="s">
        <v>175</v>
      </c>
      <c r="CJ21" s="324"/>
      <c r="CK21" s="324"/>
      <c r="CL21" s="325"/>
      <c r="CP21" s="87">
        <f t="shared" si="5"/>
        <v>0</v>
      </c>
      <c r="CR21" s="28" t="e">
        <f t="shared" si="6"/>
        <v>#VALUE!</v>
      </c>
      <c r="CS21" s="29" t="str">
        <f t="shared" si="7"/>
        <v/>
      </c>
      <c r="CU21" s="28">
        <f t="shared" si="8"/>
        <v>32</v>
      </c>
      <c r="CV21" s="31">
        <f t="shared" si="9"/>
        <v>32</v>
      </c>
      <c r="CW21" s="32">
        <f t="shared" si="24"/>
        <v>32</v>
      </c>
      <c r="CX21" s="32">
        <f t="shared" si="17"/>
        <v>32</v>
      </c>
      <c r="CY21" s="26"/>
      <c r="CZ21" s="28">
        <f t="shared" si="10"/>
        <v>0</v>
      </c>
      <c r="DA21" s="28">
        <f t="shared" si="11"/>
        <v>0</v>
      </c>
      <c r="DB21" s="34">
        <f t="shared" si="25"/>
        <v>0</v>
      </c>
      <c r="DC21" s="32">
        <f t="shared" si="18"/>
        <v>0</v>
      </c>
      <c r="DD21" s="35"/>
      <c r="DE21" s="28" t="e">
        <f t="shared" si="12"/>
        <v>#DIV/0!</v>
      </c>
      <c r="DF21" s="31" t="e">
        <f t="shared" si="13"/>
        <v>#DIV/0!</v>
      </c>
      <c r="DG21" s="32" t="e">
        <f t="shared" si="26"/>
        <v>#DIV/0!</v>
      </c>
      <c r="DH21" s="32" t="e">
        <f t="shared" si="19"/>
        <v>#DIV/0!</v>
      </c>
      <c r="DI21" s="32" t="e">
        <f t="shared" si="20"/>
        <v>#DIV/0!</v>
      </c>
      <c r="DK21" s="38" t="e">
        <f t="shared" si="14"/>
        <v>#DIV/0!</v>
      </c>
      <c r="DL21" s="41" t="e">
        <f t="shared" si="27"/>
        <v>#DIV/0!</v>
      </c>
      <c r="DM21" s="38" t="e">
        <f t="shared" si="28"/>
        <v>#DIV/0!</v>
      </c>
      <c r="DN21" s="32" t="e">
        <f t="shared" si="21"/>
        <v>#DIV/0!</v>
      </c>
      <c r="DO21" s="32" t="e">
        <f t="shared" si="29"/>
        <v>#DIV/0!</v>
      </c>
      <c r="DQ21" s="38">
        <f t="shared" si="15"/>
        <v>0</v>
      </c>
      <c r="DR21" s="29">
        <f t="shared" si="30"/>
        <v>0</v>
      </c>
      <c r="DS21" s="38">
        <f t="shared" si="31"/>
        <v>0</v>
      </c>
      <c r="DT21" s="32">
        <f t="shared" si="22"/>
        <v>0</v>
      </c>
      <c r="DU21" s="32" t="e">
        <f t="shared" si="23"/>
        <v>#DIV/0!</v>
      </c>
      <c r="DW21" s="38" t="e">
        <f t="shared" si="32"/>
        <v>#DIV/0!</v>
      </c>
      <c r="DX21" s="42" t="e">
        <f t="shared" si="33"/>
        <v>#DIV/0!</v>
      </c>
      <c r="DY21" s="38" t="e">
        <f t="shared" si="34"/>
        <v>#DIV/0!</v>
      </c>
      <c r="DZ21" s="42" t="e">
        <f t="shared" si="35"/>
        <v>#DIV/0!</v>
      </c>
      <c r="EA21" s="38" t="e">
        <f t="shared" si="36"/>
        <v>#DIV/0!</v>
      </c>
      <c r="EB21" s="42" t="e">
        <f t="shared" si="37"/>
        <v>#DIV/0!</v>
      </c>
    </row>
    <row r="22" spans="1:132" ht="11.45" customHeight="1" x14ac:dyDescent="0.2">
      <c r="A22" s="317"/>
      <c r="B22" s="317"/>
      <c r="C22" s="317"/>
      <c r="D22" s="317"/>
      <c r="E22" s="317"/>
      <c r="F22" s="317"/>
      <c r="G22" s="317"/>
      <c r="H22" s="317"/>
      <c r="I22" s="345"/>
      <c r="J22" s="345"/>
      <c r="K22" s="345"/>
      <c r="L22" s="345"/>
      <c r="M22" s="345"/>
      <c r="N22" s="345"/>
      <c r="O22" s="345"/>
      <c r="P22" s="313"/>
      <c r="Q22" s="313"/>
      <c r="R22" s="313"/>
      <c r="S22" s="313"/>
      <c r="T22" s="313"/>
      <c r="U22" s="308"/>
      <c r="V22" s="308"/>
      <c r="W22" s="308"/>
      <c r="X22" s="308"/>
      <c r="Y22" s="308"/>
      <c r="Z22" s="308"/>
      <c r="AA22" s="308"/>
      <c r="AB22" s="308"/>
      <c r="AC22" s="309"/>
      <c r="AD22" s="308"/>
      <c r="AE22" s="308"/>
      <c r="AF22" s="308"/>
      <c r="AG22" s="308"/>
      <c r="AH22" s="309"/>
      <c r="AI22" s="308"/>
      <c r="AJ22" s="308"/>
      <c r="AK22" s="308"/>
      <c r="AL22" s="308"/>
      <c r="AM22" s="308"/>
      <c r="AN22" s="308"/>
      <c r="AO22" s="308"/>
      <c r="AP22" s="308"/>
      <c r="AQ22" s="308"/>
      <c r="AR22" s="308"/>
      <c r="AS22" s="308"/>
      <c r="AT22" s="308"/>
      <c r="AU22" s="308"/>
      <c r="AV22" s="308"/>
      <c r="AW22" s="308"/>
      <c r="AX22" s="308"/>
      <c r="AY22" s="312"/>
      <c r="AZ22" s="312"/>
      <c r="BA22" s="312"/>
      <c r="BB22" s="312"/>
      <c r="BC22" s="312"/>
      <c r="BD22" s="311" t="str">
        <f t="shared" si="16"/>
        <v/>
      </c>
      <c r="BE22" s="311"/>
      <c r="BF22" s="311"/>
      <c r="BG22" s="311"/>
      <c r="BH22" s="311"/>
      <c r="BI22" s="423" t="str">
        <f t="shared" si="0"/>
        <v/>
      </c>
      <c r="BJ22" s="423"/>
      <c r="BK22" s="423"/>
      <c r="BL22" s="423"/>
      <c r="BM22" s="423"/>
      <c r="BN22" s="311" t="str">
        <f t="shared" si="1"/>
        <v/>
      </c>
      <c r="BO22" s="311"/>
      <c r="BP22" s="311"/>
      <c r="BQ22" s="311"/>
      <c r="BR22" s="311"/>
      <c r="BS22" s="332" t="str">
        <f t="shared" si="2"/>
        <v/>
      </c>
      <c r="BT22" s="332"/>
      <c r="BU22" s="332"/>
      <c r="BV22" s="332"/>
      <c r="BW22" s="332"/>
      <c r="BX22" s="311" t="str">
        <f t="shared" si="3"/>
        <v/>
      </c>
      <c r="BY22" s="311"/>
      <c r="BZ22" s="311"/>
      <c r="CA22" s="311"/>
      <c r="CB22" s="311"/>
      <c r="CC22" s="311" t="str">
        <f t="shared" si="4"/>
        <v/>
      </c>
      <c r="CD22" s="311"/>
      <c r="CE22" s="311"/>
      <c r="CF22" s="311"/>
      <c r="CG22" s="311"/>
      <c r="CI22" s="326"/>
      <c r="CJ22" s="327"/>
      <c r="CK22" s="327"/>
      <c r="CL22" s="328"/>
      <c r="CP22" s="87">
        <f t="shared" si="5"/>
        <v>0</v>
      </c>
      <c r="CR22" s="28" t="e">
        <f t="shared" si="6"/>
        <v>#VALUE!</v>
      </c>
      <c r="CS22" s="29" t="str">
        <f t="shared" si="7"/>
        <v/>
      </c>
      <c r="CU22" s="28">
        <f t="shared" si="8"/>
        <v>32</v>
      </c>
      <c r="CV22" s="31">
        <f t="shared" si="9"/>
        <v>32</v>
      </c>
      <c r="CW22" s="32">
        <f t="shared" si="24"/>
        <v>32</v>
      </c>
      <c r="CX22" s="32">
        <f t="shared" si="17"/>
        <v>32</v>
      </c>
      <c r="CY22" s="26"/>
      <c r="CZ22" s="28">
        <f t="shared" si="10"/>
        <v>0</v>
      </c>
      <c r="DA22" s="28">
        <f t="shared" si="11"/>
        <v>0</v>
      </c>
      <c r="DB22" s="34">
        <f t="shared" si="25"/>
        <v>0</v>
      </c>
      <c r="DC22" s="32">
        <f t="shared" si="18"/>
        <v>0</v>
      </c>
      <c r="DD22" s="35"/>
      <c r="DE22" s="28" t="e">
        <f t="shared" si="12"/>
        <v>#DIV/0!</v>
      </c>
      <c r="DF22" s="31" t="e">
        <f t="shared" si="13"/>
        <v>#DIV/0!</v>
      </c>
      <c r="DG22" s="32" t="e">
        <f t="shared" si="26"/>
        <v>#DIV/0!</v>
      </c>
      <c r="DH22" s="32" t="e">
        <f t="shared" si="19"/>
        <v>#DIV/0!</v>
      </c>
      <c r="DI22" s="32" t="e">
        <f t="shared" si="20"/>
        <v>#DIV/0!</v>
      </c>
      <c r="DK22" s="38" t="e">
        <f t="shared" si="14"/>
        <v>#DIV/0!</v>
      </c>
      <c r="DL22" s="41" t="e">
        <f t="shared" si="27"/>
        <v>#DIV/0!</v>
      </c>
      <c r="DM22" s="38" t="e">
        <f t="shared" si="28"/>
        <v>#DIV/0!</v>
      </c>
      <c r="DN22" s="32" t="e">
        <f t="shared" si="21"/>
        <v>#DIV/0!</v>
      </c>
      <c r="DO22" s="32" t="e">
        <f t="shared" si="29"/>
        <v>#DIV/0!</v>
      </c>
      <c r="DQ22" s="38">
        <f t="shared" si="15"/>
        <v>0</v>
      </c>
      <c r="DR22" s="29">
        <f t="shared" si="30"/>
        <v>0</v>
      </c>
      <c r="DS22" s="38">
        <f t="shared" si="31"/>
        <v>0</v>
      </c>
      <c r="DT22" s="32">
        <f t="shared" si="22"/>
        <v>0</v>
      </c>
      <c r="DU22" s="32" t="e">
        <f t="shared" si="23"/>
        <v>#DIV/0!</v>
      </c>
      <c r="DW22" s="38" t="e">
        <f t="shared" si="32"/>
        <v>#DIV/0!</v>
      </c>
      <c r="DX22" s="42" t="e">
        <f t="shared" si="33"/>
        <v>#DIV/0!</v>
      </c>
      <c r="DY22" s="38" t="e">
        <f t="shared" si="34"/>
        <v>#DIV/0!</v>
      </c>
      <c r="DZ22" s="42" t="e">
        <f t="shared" si="35"/>
        <v>#DIV/0!</v>
      </c>
      <c r="EA22" s="38" t="e">
        <f t="shared" si="36"/>
        <v>#DIV/0!</v>
      </c>
      <c r="EB22" s="42" t="e">
        <f t="shared" si="37"/>
        <v>#DIV/0!</v>
      </c>
    </row>
    <row r="23" spans="1:132" ht="11.45" customHeight="1" x14ac:dyDescent="0.2">
      <c r="A23" s="317"/>
      <c r="B23" s="317"/>
      <c r="C23" s="317"/>
      <c r="D23" s="317"/>
      <c r="E23" s="317"/>
      <c r="F23" s="317"/>
      <c r="G23" s="317"/>
      <c r="H23" s="317"/>
      <c r="I23" s="345"/>
      <c r="J23" s="345"/>
      <c r="K23" s="345"/>
      <c r="L23" s="345"/>
      <c r="M23" s="345"/>
      <c r="N23" s="345"/>
      <c r="O23" s="345"/>
      <c r="P23" s="313"/>
      <c r="Q23" s="313"/>
      <c r="R23" s="313"/>
      <c r="S23" s="313"/>
      <c r="T23" s="313"/>
      <c r="U23" s="308"/>
      <c r="V23" s="308"/>
      <c r="W23" s="308"/>
      <c r="X23" s="308"/>
      <c r="Y23" s="308"/>
      <c r="Z23" s="308"/>
      <c r="AA23" s="308"/>
      <c r="AB23" s="308"/>
      <c r="AC23" s="309"/>
      <c r="AD23" s="308"/>
      <c r="AE23" s="308"/>
      <c r="AF23" s="308"/>
      <c r="AG23" s="308"/>
      <c r="AH23" s="309"/>
      <c r="AI23" s="308"/>
      <c r="AJ23" s="308"/>
      <c r="AK23" s="308"/>
      <c r="AL23" s="308"/>
      <c r="AM23" s="308"/>
      <c r="AN23" s="308"/>
      <c r="AO23" s="308"/>
      <c r="AP23" s="308"/>
      <c r="AQ23" s="308"/>
      <c r="AR23" s="308"/>
      <c r="AS23" s="308"/>
      <c r="AT23" s="308"/>
      <c r="AU23" s="308"/>
      <c r="AV23" s="308"/>
      <c r="AW23" s="308"/>
      <c r="AX23" s="308"/>
      <c r="AY23" s="312"/>
      <c r="AZ23" s="312"/>
      <c r="BA23" s="312"/>
      <c r="BB23" s="312"/>
      <c r="BC23" s="312"/>
      <c r="BD23" s="311" t="str">
        <f t="shared" si="16"/>
        <v/>
      </c>
      <c r="BE23" s="311"/>
      <c r="BF23" s="311"/>
      <c r="BG23" s="311"/>
      <c r="BH23" s="311"/>
      <c r="BI23" s="423" t="str">
        <f t="shared" si="0"/>
        <v/>
      </c>
      <c r="BJ23" s="423"/>
      <c r="BK23" s="423"/>
      <c r="BL23" s="423"/>
      <c r="BM23" s="423"/>
      <c r="BN23" s="311" t="str">
        <f t="shared" si="1"/>
        <v/>
      </c>
      <c r="BO23" s="311"/>
      <c r="BP23" s="311"/>
      <c r="BQ23" s="311"/>
      <c r="BR23" s="311"/>
      <c r="BS23" s="332" t="str">
        <f t="shared" si="2"/>
        <v/>
      </c>
      <c r="BT23" s="332"/>
      <c r="BU23" s="332"/>
      <c r="BV23" s="332"/>
      <c r="BW23" s="332"/>
      <c r="BX23" s="311" t="str">
        <f t="shared" si="3"/>
        <v/>
      </c>
      <c r="BY23" s="311"/>
      <c r="BZ23" s="311"/>
      <c r="CA23" s="311"/>
      <c r="CB23" s="311"/>
      <c r="CC23" s="311" t="str">
        <f t="shared" si="4"/>
        <v/>
      </c>
      <c r="CD23" s="311"/>
      <c r="CE23" s="311"/>
      <c r="CF23" s="311"/>
      <c r="CG23" s="311"/>
      <c r="CI23" s="108" t="s">
        <v>170</v>
      </c>
      <c r="CJ23" s="109"/>
      <c r="CK23" s="43" t="e">
        <f>AVERAGE(AY18:BC29)</f>
        <v>#DIV/0!</v>
      </c>
      <c r="CL23" s="21" t="s">
        <v>174</v>
      </c>
      <c r="CN23" s="1" t="s">
        <v>217</v>
      </c>
      <c r="CP23" s="87">
        <f t="shared" si="5"/>
        <v>0</v>
      </c>
      <c r="CR23" s="28" t="e">
        <f t="shared" si="6"/>
        <v>#VALUE!</v>
      </c>
      <c r="CS23" s="29" t="str">
        <f t="shared" si="7"/>
        <v/>
      </c>
      <c r="CU23" s="28">
        <f t="shared" si="8"/>
        <v>32</v>
      </c>
      <c r="CV23" s="31">
        <f t="shared" si="9"/>
        <v>32</v>
      </c>
      <c r="CW23" s="32">
        <f>ROUND(CU23,1)</f>
        <v>32</v>
      </c>
      <c r="CX23" s="32">
        <f t="shared" si="17"/>
        <v>32</v>
      </c>
      <c r="CY23" s="26"/>
      <c r="CZ23" s="28">
        <f t="shared" si="10"/>
        <v>0</v>
      </c>
      <c r="DA23" s="28">
        <f t="shared" si="11"/>
        <v>0</v>
      </c>
      <c r="DB23" s="34">
        <f>ROUND(CZ23,1)</f>
        <v>0</v>
      </c>
      <c r="DC23" s="32">
        <f t="shared" si="18"/>
        <v>0</v>
      </c>
      <c r="DD23" s="35"/>
      <c r="DE23" s="28" t="e">
        <f t="shared" si="12"/>
        <v>#DIV/0!</v>
      </c>
      <c r="DF23" s="31" t="e">
        <f t="shared" si="13"/>
        <v>#DIV/0!</v>
      </c>
      <c r="DG23" s="32" t="e">
        <f>ROUND(DE23,1)</f>
        <v>#DIV/0!</v>
      </c>
      <c r="DH23" s="32" t="e">
        <f t="shared" si="19"/>
        <v>#DIV/0!</v>
      </c>
      <c r="DI23" s="32" t="e">
        <f t="shared" si="20"/>
        <v>#DIV/0!</v>
      </c>
      <c r="DK23" s="38" t="e">
        <f t="shared" si="14"/>
        <v>#DIV/0!</v>
      </c>
      <c r="DL23" s="41" t="e">
        <f t="shared" si="27"/>
        <v>#DIV/0!</v>
      </c>
      <c r="DM23" s="38" t="e">
        <f>ROUND(DK23,4)</f>
        <v>#DIV/0!</v>
      </c>
      <c r="DN23" s="32" t="e">
        <f t="shared" si="21"/>
        <v>#DIV/0!</v>
      </c>
      <c r="DO23" s="32" t="e">
        <f t="shared" si="29"/>
        <v>#DIV/0!</v>
      </c>
      <c r="DQ23" s="38">
        <f t="shared" si="15"/>
        <v>0</v>
      </c>
      <c r="DR23" s="29">
        <f t="shared" si="30"/>
        <v>0</v>
      </c>
      <c r="DS23" s="38">
        <f>ROUND(DQ23,4)</f>
        <v>0</v>
      </c>
      <c r="DT23" s="32">
        <f t="shared" si="22"/>
        <v>0</v>
      </c>
      <c r="DU23" s="32" t="e">
        <f t="shared" si="23"/>
        <v>#DIV/0!</v>
      </c>
      <c r="DW23" s="38" t="e">
        <f>ROUND(EXP(-((103.872/(((141.5/(DF23+131.5))*999.012)^2))+(0.2701/((141.5/(DF23+131.5))*999.012)))*(CV23-60)*(1+(0.8*((103.872/(((141.5/(DF23+131.5))*999.012)^2))+(0.2701/((141.5/(DF23+131.5))*999.012)))*(CV23-60)))),4)</f>
        <v>#DIV/0!</v>
      </c>
      <c r="DX23" s="42" t="e">
        <f>ROUND(EXP(-(((103.872/DI23)+0.2701)*(1/DI23))*(CX23-60.0068749)*(1+(0.8*(((103.872/DI23)+0.2701)*(1/DI23))*((CX23-60.0068749)+0.01374979547)))),5)</f>
        <v>#DIV/0!</v>
      </c>
      <c r="DY23" s="38" t="e">
        <f>ROUND(EXP(-((103.872/((DL23*999.012)^2))+(0.2701/(DL23*999.012)))*(CV23-60)*(1+(0.8*((103.872/((DL23*999.012)^2))+(0.2701/(DL23*999.012)))*(CV23-60)))),4)</f>
        <v>#DIV/0!</v>
      </c>
      <c r="DZ23" s="42" t="e">
        <f>ROUND(EXP(-(((103.872/DO23)+0.2701)*(1/DO23))*(CX23-60.0068749)*(1+(0.8*(((103.872/DO23)+0.2701)*(1/DO23))*((CX23-60.0068749)+0.01374979547)))),5)</f>
        <v>#DIV/0!</v>
      </c>
      <c r="EA23" s="38" t="e">
        <f>ROUND(EXP(-((186.9696/((DR23*1000)^2))+(0.4862/(DR23*1000)))*(DA23-15)*(1+(0.8*((186.9696/((DR23*1000)^2))+(0.4862/(DR23*1000)))*(DA23-15)))),4)</f>
        <v>#DIV/0!</v>
      </c>
      <c r="EB23" s="42" t="e">
        <f>ROUND(EXP(-((((186.9696/DU23)+0.4862)*(1/DU23)))*(DC23-15.00367851)*(1+(0.8*((((186.9696/DU23)+0.4862)*(1/DU23)))*((DC23-15.00367851)+0.01374979547)))),5)</f>
        <v>#DIV/0!</v>
      </c>
    </row>
    <row r="24" spans="1:132" ht="11.45" customHeight="1" x14ac:dyDescent="0.2">
      <c r="A24" s="317"/>
      <c r="B24" s="317"/>
      <c r="C24" s="317"/>
      <c r="D24" s="317"/>
      <c r="E24" s="317"/>
      <c r="F24" s="317"/>
      <c r="G24" s="317"/>
      <c r="H24" s="317"/>
      <c r="I24" s="345"/>
      <c r="J24" s="345"/>
      <c r="K24" s="345"/>
      <c r="L24" s="345"/>
      <c r="M24" s="345"/>
      <c r="N24" s="345"/>
      <c r="O24" s="345"/>
      <c r="P24" s="313"/>
      <c r="Q24" s="313"/>
      <c r="R24" s="313"/>
      <c r="S24" s="313"/>
      <c r="T24" s="313"/>
      <c r="U24" s="308"/>
      <c r="V24" s="308"/>
      <c r="W24" s="308"/>
      <c r="X24" s="308"/>
      <c r="Y24" s="308"/>
      <c r="Z24" s="308"/>
      <c r="AA24" s="308"/>
      <c r="AB24" s="308"/>
      <c r="AC24" s="309"/>
      <c r="AD24" s="308"/>
      <c r="AE24" s="308"/>
      <c r="AF24" s="308"/>
      <c r="AG24" s="308"/>
      <c r="AH24" s="309"/>
      <c r="AI24" s="308"/>
      <c r="AJ24" s="308"/>
      <c r="AK24" s="308"/>
      <c r="AL24" s="308"/>
      <c r="AM24" s="308"/>
      <c r="AN24" s="308"/>
      <c r="AO24" s="308"/>
      <c r="AP24" s="308"/>
      <c r="AQ24" s="308"/>
      <c r="AR24" s="308"/>
      <c r="AS24" s="308"/>
      <c r="AT24" s="308"/>
      <c r="AU24" s="308"/>
      <c r="AV24" s="308"/>
      <c r="AW24" s="308"/>
      <c r="AX24" s="308"/>
      <c r="AY24" s="312"/>
      <c r="AZ24" s="312"/>
      <c r="BA24" s="312"/>
      <c r="BB24" s="312"/>
      <c r="BC24" s="312"/>
      <c r="BD24" s="311" t="str">
        <f t="shared" si="16"/>
        <v/>
      </c>
      <c r="BE24" s="311"/>
      <c r="BF24" s="311"/>
      <c r="BG24" s="311"/>
      <c r="BH24" s="311"/>
      <c r="BI24" s="423" t="str">
        <f t="shared" si="0"/>
        <v/>
      </c>
      <c r="BJ24" s="423"/>
      <c r="BK24" s="423"/>
      <c r="BL24" s="423"/>
      <c r="BM24" s="423"/>
      <c r="BN24" s="311" t="str">
        <f t="shared" si="1"/>
        <v/>
      </c>
      <c r="BO24" s="311"/>
      <c r="BP24" s="311"/>
      <c r="BQ24" s="311"/>
      <c r="BR24" s="311"/>
      <c r="BS24" s="332" t="str">
        <f t="shared" si="2"/>
        <v/>
      </c>
      <c r="BT24" s="332"/>
      <c r="BU24" s="332"/>
      <c r="BV24" s="332"/>
      <c r="BW24" s="332"/>
      <c r="BX24" s="311" t="str">
        <f t="shared" si="3"/>
        <v/>
      </c>
      <c r="BY24" s="311"/>
      <c r="BZ24" s="311"/>
      <c r="CA24" s="311"/>
      <c r="CB24" s="311"/>
      <c r="CC24" s="311" t="str">
        <f t="shared" si="4"/>
        <v/>
      </c>
      <c r="CD24" s="311"/>
      <c r="CE24" s="311"/>
      <c r="CF24" s="311"/>
      <c r="CG24" s="311"/>
      <c r="CI24" s="9" t="s">
        <v>171</v>
      </c>
      <c r="CJ24" s="10"/>
      <c r="CK24" s="44" t="e">
        <f>SUM(CP18:CP29)/BD30</f>
        <v>#VALUE!</v>
      </c>
      <c r="CL24" s="11" t="s">
        <v>174</v>
      </c>
      <c r="CN24" s="107" t="s">
        <v>459</v>
      </c>
      <c r="CP24" s="87">
        <f t="shared" si="5"/>
        <v>0</v>
      </c>
      <c r="CR24" s="28" t="e">
        <f t="shared" si="6"/>
        <v>#VALUE!</v>
      </c>
      <c r="CS24" s="29" t="str">
        <f t="shared" si="7"/>
        <v/>
      </c>
      <c r="CU24" s="28">
        <f t="shared" si="8"/>
        <v>32</v>
      </c>
      <c r="CV24" s="31">
        <f t="shared" si="9"/>
        <v>32</v>
      </c>
      <c r="CW24" s="32">
        <f>ROUND(CU24,1)</f>
        <v>32</v>
      </c>
      <c r="CX24" s="32">
        <f t="shared" si="17"/>
        <v>32</v>
      </c>
      <c r="CY24" s="26"/>
      <c r="CZ24" s="28">
        <f t="shared" si="10"/>
        <v>0</v>
      </c>
      <c r="DA24" s="28">
        <f t="shared" si="11"/>
        <v>0</v>
      </c>
      <c r="DB24" s="34">
        <f>ROUND(CZ24,1)</f>
        <v>0</v>
      </c>
      <c r="DC24" s="32">
        <f t="shared" si="18"/>
        <v>0</v>
      </c>
      <c r="DD24" s="35"/>
      <c r="DE24" s="28" t="e">
        <f t="shared" si="12"/>
        <v>#DIV/0!</v>
      </c>
      <c r="DF24" s="31" t="e">
        <f t="shared" si="13"/>
        <v>#DIV/0!</v>
      </c>
      <c r="DG24" s="32" t="e">
        <f>ROUND(DE24,1)</f>
        <v>#DIV/0!</v>
      </c>
      <c r="DH24" s="32" t="e">
        <f t="shared" si="19"/>
        <v>#DIV/0!</v>
      </c>
      <c r="DI24" s="32" t="e">
        <f t="shared" si="20"/>
        <v>#DIV/0!</v>
      </c>
      <c r="DK24" s="38" t="e">
        <f t="shared" si="14"/>
        <v>#DIV/0!</v>
      </c>
      <c r="DL24" s="41" t="e">
        <f t="shared" si="27"/>
        <v>#DIV/0!</v>
      </c>
      <c r="DM24" s="38" t="e">
        <f>ROUND(DK24,4)</f>
        <v>#DIV/0!</v>
      </c>
      <c r="DN24" s="32" t="e">
        <f t="shared" si="21"/>
        <v>#DIV/0!</v>
      </c>
      <c r="DO24" s="32" t="e">
        <f t="shared" si="29"/>
        <v>#DIV/0!</v>
      </c>
      <c r="DQ24" s="38">
        <f t="shared" si="15"/>
        <v>0</v>
      </c>
      <c r="DR24" s="29">
        <f t="shared" si="30"/>
        <v>0</v>
      </c>
      <c r="DS24" s="38">
        <f>ROUND(DQ24,4)</f>
        <v>0</v>
      </c>
      <c r="DT24" s="32">
        <f t="shared" si="22"/>
        <v>0</v>
      </c>
      <c r="DU24" s="32" t="e">
        <f t="shared" si="23"/>
        <v>#DIV/0!</v>
      </c>
      <c r="DW24" s="38" t="e">
        <f>ROUND(EXP(-((103.872/(((141.5/(DF24+131.5))*999.012)^2))+(0.2701/((141.5/(DF24+131.5))*999.012)))*(CV24-60)*(1+(0.8*((103.872/(((141.5/(DF24+131.5))*999.012)^2))+(0.2701/((141.5/(DF24+131.5))*999.012)))*(CV24-60)))),4)</f>
        <v>#DIV/0!</v>
      </c>
      <c r="DX24" s="42" t="e">
        <f>ROUND(EXP(-(((103.872/DI24)+0.2701)*(1/DI24))*(CX24-60.0068749)*(1+(0.8*(((103.872/DI24)+0.2701)*(1/DI24))*((CX24-60.0068749)+0.01374979547)))),5)</f>
        <v>#DIV/0!</v>
      </c>
      <c r="DY24" s="38" t="e">
        <f>ROUND(EXP(-((103.872/((DL24*999.012)^2))+(0.2701/(DL24*999.012)))*(CV24-60)*(1+(0.8*((103.872/((DL24*999.012)^2))+(0.2701/(DL24*999.012)))*(CV24-60)))),4)</f>
        <v>#DIV/0!</v>
      </c>
      <c r="DZ24" s="42" t="e">
        <f>ROUND(EXP(-(((103.872/DO24)+0.2701)*(1/DO24))*(CX24-60.0068749)*(1+(0.8*(((103.872/DO24)+0.2701)*(1/DO24))*((CX24-60.0068749)+0.01374979547)))),5)</f>
        <v>#DIV/0!</v>
      </c>
      <c r="EA24" s="38" t="e">
        <f>ROUND(EXP(-((186.9696/((DR24*1000)^2))+(0.4862/(DR24*1000)))*(DA24-15)*(1+(0.8*((186.9696/((DR24*1000)^2))+(0.4862/(DR24*1000)))*(DA24-15)))),4)</f>
        <v>#DIV/0!</v>
      </c>
      <c r="EB24" s="42" t="e">
        <f>ROUND(EXP(-((((186.9696/DU24)+0.4862)*(1/DU24)))*(DC24-15.00367851)*(1+(0.8*((((186.9696/DU24)+0.4862)*(1/DU24)))*((DC24-15.00367851)+0.01374979547)))),5)</f>
        <v>#DIV/0!</v>
      </c>
    </row>
    <row r="25" spans="1:132" ht="11.45" customHeight="1" x14ac:dyDescent="0.2">
      <c r="A25" s="317"/>
      <c r="B25" s="317"/>
      <c r="C25" s="317"/>
      <c r="D25" s="317"/>
      <c r="E25" s="317"/>
      <c r="F25" s="317"/>
      <c r="G25" s="317"/>
      <c r="H25" s="317"/>
      <c r="I25" s="345"/>
      <c r="J25" s="345"/>
      <c r="K25" s="345"/>
      <c r="L25" s="345"/>
      <c r="M25" s="345"/>
      <c r="N25" s="345"/>
      <c r="O25" s="345"/>
      <c r="P25" s="313"/>
      <c r="Q25" s="313"/>
      <c r="R25" s="313"/>
      <c r="S25" s="313"/>
      <c r="T25" s="313"/>
      <c r="U25" s="308"/>
      <c r="V25" s="308"/>
      <c r="W25" s="308"/>
      <c r="X25" s="308"/>
      <c r="Y25" s="308"/>
      <c r="Z25" s="308"/>
      <c r="AA25" s="308"/>
      <c r="AB25" s="308"/>
      <c r="AC25" s="309"/>
      <c r="AD25" s="308"/>
      <c r="AE25" s="308"/>
      <c r="AF25" s="308"/>
      <c r="AG25" s="308"/>
      <c r="AH25" s="309"/>
      <c r="AI25" s="308"/>
      <c r="AJ25" s="308"/>
      <c r="AK25" s="308"/>
      <c r="AL25" s="308"/>
      <c r="AM25" s="308"/>
      <c r="AN25" s="308"/>
      <c r="AO25" s="308"/>
      <c r="AP25" s="308"/>
      <c r="AQ25" s="308"/>
      <c r="AR25" s="308"/>
      <c r="AS25" s="308"/>
      <c r="AT25" s="308"/>
      <c r="AU25" s="308"/>
      <c r="AV25" s="308"/>
      <c r="AW25" s="308"/>
      <c r="AX25" s="308"/>
      <c r="AY25" s="312"/>
      <c r="AZ25" s="312"/>
      <c r="BA25" s="312"/>
      <c r="BB25" s="312"/>
      <c r="BC25" s="312"/>
      <c r="BD25" s="311" t="str">
        <f t="shared" si="16"/>
        <v/>
      </c>
      <c r="BE25" s="311"/>
      <c r="BF25" s="311"/>
      <c r="BG25" s="311"/>
      <c r="BH25" s="311"/>
      <c r="BI25" s="423" t="str">
        <f t="shared" si="0"/>
        <v/>
      </c>
      <c r="BJ25" s="423"/>
      <c r="BK25" s="423"/>
      <c r="BL25" s="423"/>
      <c r="BM25" s="423"/>
      <c r="BN25" s="311" t="str">
        <f t="shared" si="1"/>
        <v/>
      </c>
      <c r="BO25" s="311"/>
      <c r="BP25" s="311"/>
      <c r="BQ25" s="311"/>
      <c r="BR25" s="311"/>
      <c r="BS25" s="332" t="str">
        <f t="shared" si="2"/>
        <v/>
      </c>
      <c r="BT25" s="332"/>
      <c r="BU25" s="332"/>
      <c r="BV25" s="332"/>
      <c r="BW25" s="332"/>
      <c r="BX25" s="311" t="str">
        <f t="shared" si="3"/>
        <v/>
      </c>
      <c r="BY25" s="311"/>
      <c r="BZ25" s="311"/>
      <c r="CA25" s="311"/>
      <c r="CB25" s="311"/>
      <c r="CC25" s="311" t="str">
        <f t="shared" si="4"/>
        <v/>
      </c>
      <c r="CD25" s="311"/>
      <c r="CE25" s="311"/>
      <c r="CF25" s="311"/>
      <c r="CG25" s="311"/>
      <c r="CN25" s="2" t="s">
        <v>55</v>
      </c>
      <c r="CP25" s="87">
        <f t="shared" si="5"/>
        <v>0</v>
      </c>
      <c r="CR25" s="28" t="e">
        <f t="shared" si="6"/>
        <v>#VALUE!</v>
      </c>
      <c r="CS25" s="29" t="str">
        <f t="shared" si="7"/>
        <v/>
      </c>
      <c r="CU25" s="28">
        <f t="shared" si="8"/>
        <v>32</v>
      </c>
      <c r="CV25" s="31">
        <f t="shared" si="9"/>
        <v>32</v>
      </c>
      <c r="CW25" s="32">
        <f t="shared" si="24"/>
        <v>32</v>
      </c>
      <c r="CX25" s="32">
        <f t="shared" si="17"/>
        <v>32</v>
      </c>
      <c r="CY25" s="26"/>
      <c r="CZ25" s="28">
        <f t="shared" si="10"/>
        <v>0</v>
      </c>
      <c r="DA25" s="28">
        <f t="shared" si="11"/>
        <v>0</v>
      </c>
      <c r="DB25" s="34">
        <f t="shared" si="25"/>
        <v>0</v>
      </c>
      <c r="DC25" s="32">
        <f t="shared" si="18"/>
        <v>0</v>
      </c>
      <c r="DD25" s="35"/>
      <c r="DE25" s="28" t="e">
        <f t="shared" si="12"/>
        <v>#DIV/0!</v>
      </c>
      <c r="DF25" s="31" t="e">
        <f t="shared" si="13"/>
        <v>#DIV/0!</v>
      </c>
      <c r="DG25" s="32" t="e">
        <f t="shared" si="26"/>
        <v>#DIV/0!</v>
      </c>
      <c r="DH25" s="32" t="e">
        <f t="shared" si="19"/>
        <v>#DIV/0!</v>
      </c>
      <c r="DI25" s="32" t="e">
        <f t="shared" si="20"/>
        <v>#DIV/0!</v>
      </c>
      <c r="DK25" s="38" t="e">
        <f t="shared" si="14"/>
        <v>#DIV/0!</v>
      </c>
      <c r="DL25" s="41" t="e">
        <f t="shared" si="27"/>
        <v>#DIV/0!</v>
      </c>
      <c r="DM25" s="38" t="e">
        <f t="shared" si="28"/>
        <v>#DIV/0!</v>
      </c>
      <c r="DN25" s="32" t="e">
        <f t="shared" si="21"/>
        <v>#DIV/0!</v>
      </c>
      <c r="DO25" s="32" t="e">
        <f t="shared" si="29"/>
        <v>#DIV/0!</v>
      </c>
      <c r="DQ25" s="38">
        <f t="shared" si="15"/>
        <v>0</v>
      </c>
      <c r="DR25" s="29">
        <f t="shared" si="30"/>
        <v>0</v>
      </c>
      <c r="DS25" s="38">
        <f t="shared" si="31"/>
        <v>0</v>
      </c>
      <c r="DT25" s="32">
        <f t="shared" si="22"/>
        <v>0</v>
      </c>
      <c r="DU25" s="32" t="e">
        <f t="shared" si="23"/>
        <v>#DIV/0!</v>
      </c>
      <c r="DW25" s="38" t="e">
        <f t="shared" si="32"/>
        <v>#DIV/0!</v>
      </c>
      <c r="DX25" s="42" t="e">
        <f t="shared" si="33"/>
        <v>#DIV/0!</v>
      </c>
      <c r="DY25" s="38" t="e">
        <f t="shared" si="34"/>
        <v>#DIV/0!</v>
      </c>
      <c r="DZ25" s="42" t="e">
        <f t="shared" si="35"/>
        <v>#DIV/0!</v>
      </c>
      <c r="EA25" s="38" t="e">
        <f t="shared" si="36"/>
        <v>#DIV/0!</v>
      </c>
      <c r="EB25" s="42" t="e">
        <f t="shared" si="37"/>
        <v>#DIV/0!</v>
      </c>
    </row>
    <row r="26" spans="1:132" ht="11.45" customHeight="1" x14ac:dyDescent="0.2">
      <c r="A26" s="317"/>
      <c r="B26" s="317"/>
      <c r="C26" s="317"/>
      <c r="D26" s="317"/>
      <c r="E26" s="317"/>
      <c r="F26" s="317"/>
      <c r="G26" s="317"/>
      <c r="H26" s="317"/>
      <c r="I26" s="345"/>
      <c r="J26" s="345"/>
      <c r="K26" s="345"/>
      <c r="L26" s="345"/>
      <c r="M26" s="345"/>
      <c r="N26" s="345"/>
      <c r="O26" s="345"/>
      <c r="P26" s="313"/>
      <c r="Q26" s="313"/>
      <c r="R26" s="313"/>
      <c r="S26" s="313"/>
      <c r="T26" s="313"/>
      <c r="U26" s="308"/>
      <c r="V26" s="308"/>
      <c r="W26" s="308"/>
      <c r="X26" s="308"/>
      <c r="Y26" s="308"/>
      <c r="Z26" s="308"/>
      <c r="AA26" s="308"/>
      <c r="AB26" s="308"/>
      <c r="AC26" s="309"/>
      <c r="AD26" s="308"/>
      <c r="AE26" s="308"/>
      <c r="AF26" s="308"/>
      <c r="AG26" s="308"/>
      <c r="AH26" s="309"/>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6"/>
        <v/>
      </c>
      <c r="BE26" s="311"/>
      <c r="BF26" s="311"/>
      <c r="BG26" s="311"/>
      <c r="BH26" s="311"/>
      <c r="BI26" s="423" t="str">
        <f t="shared" si="0"/>
        <v/>
      </c>
      <c r="BJ26" s="423"/>
      <c r="BK26" s="423"/>
      <c r="BL26" s="423"/>
      <c r="BM26" s="423"/>
      <c r="BN26" s="311" t="str">
        <f t="shared" si="1"/>
        <v/>
      </c>
      <c r="BO26" s="311"/>
      <c r="BP26" s="311"/>
      <c r="BQ26" s="311"/>
      <c r="BR26" s="311"/>
      <c r="BS26" s="332" t="str">
        <f t="shared" si="2"/>
        <v/>
      </c>
      <c r="BT26" s="332"/>
      <c r="BU26" s="332"/>
      <c r="BV26" s="332"/>
      <c r="BW26" s="332"/>
      <c r="BX26" s="311" t="str">
        <f t="shared" si="3"/>
        <v/>
      </c>
      <c r="BY26" s="311"/>
      <c r="BZ26" s="311"/>
      <c r="CA26" s="311"/>
      <c r="CB26" s="311"/>
      <c r="CC26" s="311" t="str">
        <f t="shared" si="4"/>
        <v/>
      </c>
      <c r="CD26" s="311"/>
      <c r="CE26" s="311"/>
      <c r="CF26" s="311"/>
      <c r="CG26" s="311"/>
      <c r="CP26" s="87">
        <f t="shared" si="5"/>
        <v>0</v>
      </c>
      <c r="CR26" s="28" t="e">
        <f t="shared" si="6"/>
        <v>#VALUE!</v>
      </c>
      <c r="CS26" s="29" t="str">
        <f t="shared" si="7"/>
        <v/>
      </c>
      <c r="CU26" s="28">
        <f t="shared" si="8"/>
        <v>32</v>
      </c>
      <c r="CV26" s="31">
        <f t="shared" si="9"/>
        <v>32</v>
      </c>
      <c r="CW26" s="32">
        <f t="shared" si="24"/>
        <v>32</v>
      </c>
      <c r="CX26" s="32">
        <f t="shared" si="17"/>
        <v>32</v>
      </c>
      <c r="CY26" s="26"/>
      <c r="CZ26" s="28">
        <f t="shared" si="10"/>
        <v>0</v>
      </c>
      <c r="DA26" s="28">
        <f t="shared" si="11"/>
        <v>0</v>
      </c>
      <c r="DB26" s="34">
        <f t="shared" si="25"/>
        <v>0</v>
      </c>
      <c r="DC26" s="32">
        <f t="shared" si="18"/>
        <v>0</v>
      </c>
      <c r="DD26" s="35"/>
      <c r="DE26" s="28" t="e">
        <f t="shared" si="12"/>
        <v>#DIV/0!</v>
      </c>
      <c r="DF26" s="31" t="e">
        <f t="shared" si="13"/>
        <v>#DIV/0!</v>
      </c>
      <c r="DG26" s="32" t="e">
        <f t="shared" si="26"/>
        <v>#DIV/0!</v>
      </c>
      <c r="DH26" s="32" t="e">
        <f t="shared" si="19"/>
        <v>#DIV/0!</v>
      </c>
      <c r="DI26" s="32" t="e">
        <f t="shared" si="20"/>
        <v>#DIV/0!</v>
      </c>
      <c r="DK26" s="38" t="e">
        <f t="shared" si="14"/>
        <v>#DIV/0!</v>
      </c>
      <c r="DL26" s="41" t="e">
        <f t="shared" si="27"/>
        <v>#DIV/0!</v>
      </c>
      <c r="DM26" s="38" t="e">
        <f t="shared" si="28"/>
        <v>#DIV/0!</v>
      </c>
      <c r="DN26" s="32" t="e">
        <f t="shared" si="21"/>
        <v>#DIV/0!</v>
      </c>
      <c r="DO26" s="32" t="e">
        <f t="shared" si="29"/>
        <v>#DIV/0!</v>
      </c>
      <c r="DQ26" s="38">
        <f t="shared" si="15"/>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313"/>
      <c r="Q27" s="313"/>
      <c r="R27" s="313"/>
      <c r="S27" s="313"/>
      <c r="T27" s="3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6"/>
        <v/>
      </c>
      <c r="BE27" s="311"/>
      <c r="BF27" s="311"/>
      <c r="BG27" s="311"/>
      <c r="BH27" s="311"/>
      <c r="BI27" s="423" t="str">
        <f t="shared" si="0"/>
        <v/>
      </c>
      <c r="BJ27" s="423"/>
      <c r="BK27" s="423"/>
      <c r="BL27" s="423"/>
      <c r="BM27" s="423"/>
      <c r="BN27" s="311" t="str">
        <f t="shared" si="1"/>
        <v/>
      </c>
      <c r="BO27" s="311"/>
      <c r="BP27" s="311"/>
      <c r="BQ27" s="311"/>
      <c r="BR27" s="311"/>
      <c r="BS27" s="332" t="str">
        <f t="shared" si="2"/>
        <v/>
      </c>
      <c r="BT27" s="332"/>
      <c r="BU27" s="332"/>
      <c r="BV27" s="332"/>
      <c r="BW27" s="332"/>
      <c r="BX27" s="311" t="str">
        <f t="shared" si="3"/>
        <v/>
      </c>
      <c r="BY27" s="311"/>
      <c r="BZ27" s="311"/>
      <c r="CA27" s="311"/>
      <c r="CB27" s="311"/>
      <c r="CC27" s="311" t="str">
        <f t="shared" si="4"/>
        <v/>
      </c>
      <c r="CD27" s="311"/>
      <c r="CE27" s="311"/>
      <c r="CF27" s="311"/>
      <c r="CG27" s="311"/>
      <c r="CP27" s="87">
        <f t="shared" si="5"/>
        <v>0</v>
      </c>
      <c r="CR27" s="28" t="e">
        <f t="shared" si="6"/>
        <v>#VALUE!</v>
      </c>
      <c r="CS27" s="29" t="str">
        <f t="shared" si="7"/>
        <v/>
      </c>
      <c r="CU27" s="28">
        <f t="shared" si="8"/>
        <v>32</v>
      </c>
      <c r="CV27" s="31">
        <f t="shared" si="9"/>
        <v>32</v>
      </c>
      <c r="CW27" s="32">
        <f t="shared" si="24"/>
        <v>32</v>
      </c>
      <c r="CX27" s="32">
        <f t="shared" si="17"/>
        <v>32</v>
      </c>
      <c r="CY27" s="26"/>
      <c r="CZ27" s="28">
        <f t="shared" si="10"/>
        <v>0</v>
      </c>
      <c r="DA27" s="28">
        <f t="shared" si="11"/>
        <v>0</v>
      </c>
      <c r="DB27" s="34">
        <f t="shared" si="25"/>
        <v>0</v>
      </c>
      <c r="DC27" s="32">
        <f t="shared" si="18"/>
        <v>0</v>
      </c>
      <c r="DD27" s="35"/>
      <c r="DE27" s="28" t="e">
        <f t="shared" si="12"/>
        <v>#DIV/0!</v>
      </c>
      <c r="DF27" s="31" t="e">
        <f t="shared" si="13"/>
        <v>#DIV/0!</v>
      </c>
      <c r="DG27" s="32" t="e">
        <f t="shared" si="26"/>
        <v>#DIV/0!</v>
      </c>
      <c r="DH27" s="32" t="e">
        <f t="shared" si="19"/>
        <v>#DIV/0!</v>
      </c>
      <c r="DI27" s="32" t="e">
        <f t="shared" si="20"/>
        <v>#DIV/0!</v>
      </c>
      <c r="DK27" s="38" t="e">
        <f t="shared" si="14"/>
        <v>#DIV/0!</v>
      </c>
      <c r="DL27" s="41" t="e">
        <f t="shared" si="27"/>
        <v>#DIV/0!</v>
      </c>
      <c r="DM27" s="38" t="e">
        <f t="shared" si="28"/>
        <v>#DIV/0!</v>
      </c>
      <c r="DN27" s="32" t="e">
        <f t="shared" si="21"/>
        <v>#DIV/0!</v>
      </c>
      <c r="DO27" s="32" t="e">
        <f t="shared" si="29"/>
        <v>#DIV/0!</v>
      </c>
      <c r="DQ27" s="38">
        <f t="shared" si="15"/>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6"/>
        <v/>
      </c>
      <c r="BE28" s="311"/>
      <c r="BF28" s="311"/>
      <c r="BG28" s="311"/>
      <c r="BH28" s="311"/>
      <c r="BI28" s="423" t="str">
        <f t="shared" si="0"/>
        <v/>
      </c>
      <c r="BJ28" s="423"/>
      <c r="BK28" s="423"/>
      <c r="BL28" s="423"/>
      <c r="BM28" s="423"/>
      <c r="BN28" s="311" t="str">
        <f t="shared" si="1"/>
        <v/>
      </c>
      <c r="BO28" s="311"/>
      <c r="BP28" s="311"/>
      <c r="BQ28" s="311"/>
      <c r="BR28" s="311"/>
      <c r="BS28" s="332" t="str">
        <f t="shared" si="2"/>
        <v/>
      </c>
      <c r="BT28" s="332"/>
      <c r="BU28" s="332"/>
      <c r="BV28" s="332"/>
      <c r="BW28" s="332"/>
      <c r="BX28" s="311" t="str">
        <f t="shared" si="3"/>
        <v/>
      </c>
      <c r="BY28" s="311"/>
      <c r="BZ28" s="311"/>
      <c r="CA28" s="311"/>
      <c r="CB28" s="311"/>
      <c r="CC28" s="311" t="str">
        <f t="shared" si="4"/>
        <v/>
      </c>
      <c r="CD28" s="311"/>
      <c r="CE28" s="311"/>
      <c r="CF28" s="311"/>
      <c r="CG28" s="311"/>
      <c r="CN28" s="1" t="s">
        <v>216</v>
      </c>
      <c r="CP28" s="87">
        <f t="shared" si="5"/>
        <v>0</v>
      </c>
      <c r="CR28" s="28" t="e">
        <f t="shared" si="6"/>
        <v>#VALUE!</v>
      </c>
      <c r="CS28" s="29" t="str">
        <f t="shared" si="7"/>
        <v/>
      </c>
      <c r="CU28" s="28">
        <f t="shared" si="8"/>
        <v>32</v>
      </c>
      <c r="CV28" s="31">
        <f t="shared" si="9"/>
        <v>32</v>
      </c>
      <c r="CW28" s="32">
        <f t="shared" si="24"/>
        <v>32</v>
      </c>
      <c r="CX28" s="32">
        <f t="shared" si="17"/>
        <v>32</v>
      </c>
      <c r="CY28" s="26"/>
      <c r="CZ28" s="28">
        <f t="shared" si="10"/>
        <v>0</v>
      </c>
      <c r="DA28" s="28">
        <f t="shared" si="11"/>
        <v>0</v>
      </c>
      <c r="DB28" s="34">
        <f t="shared" si="25"/>
        <v>0</v>
      </c>
      <c r="DC28" s="32">
        <f t="shared" si="18"/>
        <v>0</v>
      </c>
      <c r="DD28" s="35"/>
      <c r="DE28" s="28" t="e">
        <f t="shared" si="12"/>
        <v>#DIV/0!</v>
      </c>
      <c r="DF28" s="31" t="e">
        <f t="shared" si="13"/>
        <v>#DIV/0!</v>
      </c>
      <c r="DG28" s="32" t="e">
        <f t="shared" si="26"/>
        <v>#DIV/0!</v>
      </c>
      <c r="DH28" s="32" t="e">
        <f t="shared" si="19"/>
        <v>#DIV/0!</v>
      </c>
      <c r="DI28" s="32" t="e">
        <f t="shared" si="20"/>
        <v>#DIV/0!</v>
      </c>
      <c r="DK28" s="38" t="e">
        <f t="shared" si="14"/>
        <v>#DIV/0!</v>
      </c>
      <c r="DL28" s="41" t="e">
        <f t="shared" si="27"/>
        <v>#DIV/0!</v>
      </c>
      <c r="DM28" s="38" t="e">
        <f t="shared" si="28"/>
        <v>#DIV/0!</v>
      </c>
      <c r="DN28" s="32" t="e">
        <f t="shared" si="21"/>
        <v>#DIV/0!</v>
      </c>
      <c r="DO28" s="32" t="e">
        <f t="shared" si="29"/>
        <v>#DIV/0!</v>
      </c>
      <c r="DQ28" s="38">
        <f t="shared" si="15"/>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6"/>
        <v/>
      </c>
      <c r="BE29" s="311"/>
      <c r="BF29" s="311"/>
      <c r="BG29" s="311"/>
      <c r="BH29" s="311"/>
      <c r="BI29" s="423" t="str">
        <f t="shared" si="0"/>
        <v/>
      </c>
      <c r="BJ29" s="423"/>
      <c r="BK29" s="423"/>
      <c r="BL29" s="423"/>
      <c r="BM29" s="423"/>
      <c r="BN29" s="311" t="str">
        <f t="shared" si="1"/>
        <v/>
      </c>
      <c r="BO29" s="311"/>
      <c r="BP29" s="311"/>
      <c r="BQ29" s="311"/>
      <c r="BR29" s="311"/>
      <c r="BS29" s="332" t="str">
        <f t="shared" si="2"/>
        <v/>
      </c>
      <c r="BT29" s="332"/>
      <c r="BU29" s="332"/>
      <c r="BV29" s="332"/>
      <c r="BW29" s="332"/>
      <c r="BX29" s="311" t="str">
        <f t="shared" si="3"/>
        <v/>
      </c>
      <c r="BY29" s="311"/>
      <c r="BZ29" s="311"/>
      <c r="CA29" s="311"/>
      <c r="CB29" s="311"/>
      <c r="CC29" s="311" t="str">
        <f t="shared" si="4"/>
        <v/>
      </c>
      <c r="CD29" s="311"/>
      <c r="CE29" s="311"/>
      <c r="CF29" s="311"/>
      <c r="CG29" s="311"/>
      <c r="CI29" s="323" t="s">
        <v>166</v>
      </c>
      <c r="CJ29" s="324"/>
      <c r="CK29" s="324"/>
      <c r="CL29" s="325"/>
      <c r="CN29" s="107" t="s">
        <v>198</v>
      </c>
      <c r="CP29" s="2">
        <f t="shared" si="5"/>
        <v>0</v>
      </c>
      <c r="CR29" s="45" t="e">
        <f t="shared" si="6"/>
        <v>#VALUE!</v>
      </c>
      <c r="CS29" s="46" t="str">
        <f t="shared" si="7"/>
        <v/>
      </c>
      <c r="CU29" s="45">
        <f t="shared" si="8"/>
        <v>32</v>
      </c>
      <c r="CV29" s="47">
        <f t="shared" si="9"/>
        <v>32</v>
      </c>
      <c r="CW29" s="48">
        <f>ROUND(CU29,1)</f>
        <v>32</v>
      </c>
      <c r="CX29" s="48">
        <f t="shared" si="17"/>
        <v>32</v>
      </c>
      <c r="CZ29" s="45">
        <f t="shared" si="10"/>
        <v>0</v>
      </c>
      <c r="DA29" s="45">
        <f t="shared" si="11"/>
        <v>0</v>
      </c>
      <c r="DB29" s="49">
        <f>ROUND(CZ29,1)</f>
        <v>0</v>
      </c>
      <c r="DC29" s="48">
        <f t="shared" si="18"/>
        <v>0</v>
      </c>
      <c r="DD29" s="35"/>
      <c r="DE29" s="45" t="e">
        <f t="shared" si="12"/>
        <v>#DIV/0!</v>
      </c>
      <c r="DF29" s="47" t="e">
        <f t="shared" si="13"/>
        <v>#DIV/0!</v>
      </c>
      <c r="DG29" s="48" t="e">
        <f>ROUND(DE29,1)</f>
        <v>#DIV/0!</v>
      </c>
      <c r="DH29" s="48" t="e">
        <f t="shared" si="19"/>
        <v>#DIV/0!</v>
      </c>
      <c r="DI29" s="48" t="e">
        <f t="shared" si="20"/>
        <v>#DIV/0!</v>
      </c>
      <c r="DK29" s="50" t="e">
        <f t="shared" si="14"/>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5"/>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t="str">
        <f>IF(COUNT(AJ18:AN29)=0,"",ROUND(SUM(AJ18:AN29),3))</f>
        <v/>
      </c>
      <c r="AK30" s="321"/>
      <c r="AL30" s="321"/>
      <c r="AM30" s="321"/>
      <c r="AN30" s="322"/>
      <c r="AO30" s="341" t="s">
        <v>214</v>
      </c>
      <c r="AP30" s="341"/>
      <c r="AQ30" s="341"/>
      <c r="AR30" s="341"/>
      <c r="AS30" s="341"/>
      <c r="AT30" s="320" t="str">
        <f>IF(COUNT(AT18:AX29)=0,"",ROUND(SUM(AT18:AX29),3))</f>
        <v/>
      </c>
      <c r="AU30" s="321"/>
      <c r="AV30" s="321"/>
      <c r="AW30" s="321"/>
      <c r="AX30" s="322"/>
      <c r="AY30" s="341" t="s">
        <v>211</v>
      </c>
      <c r="AZ30" s="341"/>
      <c r="BA30" s="341"/>
      <c r="BB30" s="341"/>
      <c r="BC30" s="341"/>
      <c r="BD30" s="320" t="str">
        <f>IF(COUNT(BD18:BH29)=0,"",ROUND(SUM(BD18:BH29),3))</f>
        <v/>
      </c>
      <c r="BE30" s="321"/>
      <c r="BF30" s="321"/>
      <c r="BG30" s="321"/>
      <c r="BH30" s="322"/>
      <c r="BI30" s="341" t="s">
        <v>210</v>
      </c>
      <c r="BJ30" s="341"/>
      <c r="BK30" s="341"/>
      <c r="BL30" s="341"/>
      <c r="BM30" s="341"/>
      <c r="BN30" s="320" t="str">
        <f>IF(COUNT(BN18:BR29)=0,"",ROUND(SUM(BN18:BR29),3))</f>
        <v/>
      </c>
      <c r="BO30" s="321"/>
      <c r="BP30" s="321"/>
      <c r="BQ30" s="321"/>
      <c r="BR30" s="322"/>
      <c r="BS30" s="341" t="s">
        <v>209</v>
      </c>
      <c r="BT30" s="341"/>
      <c r="BU30" s="341"/>
      <c r="BV30" s="341"/>
      <c r="BW30" s="341"/>
      <c r="BX30" s="320" t="str">
        <f>IF(COUNT(BX18:CB29)=0,"",ROUND(SUM(BX18:CB29),3))</f>
        <v/>
      </c>
      <c r="BY30" s="321"/>
      <c r="BZ30" s="321"/>
      <c r="CA30" s="321"/>
      <c r="CB30" s="322"/>
      <c r="CC30" s="320" t="str">
        <f>IF(COUNT(CC18:CG29)=0,"",ROUND(SUM(CC18:CG29),3))</f>
        <v/>
      </c>
      <c r="CD30" s="321"/>
      <c r="CE30" s="321"/>
      <c r="CF30" s="321"/>
      <c r="CG30" s="322"/>
      <c r="CI30" s="326"/>
      <c r="CJ30" s="327"/>
      <c r="CK30" s="327"/>
      <c r="CL30" s="328"/>
      <c r="CN30" s="2" t="s">
        <v>226</v>
      </c>
      <c r="CP30" s="91"/>
      <c r="DW30" s="91"/>
      <c r="DX30" s="91"/>
    </row>
    <row r="31" spans="1:132" ht="11.45" customHeight="1" thickBot="1" x14ac:dyDescent="0.25">
      <c r="A31" s="381"/>
      <c r="B31" s="381"/>
      <c r="C31" s="381"/>
      <c r="D31" s="381"/>
      <c r="E31" s="381"/>
      <c r="F31" s="381"/>
      <c r="G31" s="381"/>
      <c r="H31" s="381"/>
      <c r="I31" s="381"/>
      <c r="J31" s="381"/>
      <c r="K31" s="381"/>
      <c r="L31" s="381"/>
      <c r="M31" s="381"/>
      <c r="N31" s="381"/>
      <c r="O31" s="381"/>
      <c r="P31" s="381"/>
      <c r="Q31" s="381"/>
      <c r="R31" s="381"/>
      <c r="S31" s="381"/>
      <c r="T31" s="381"/>
      <c r="U31" s="381"/>
      <c r="V31" s="381"/>
      <c r="W31" s="381"/>
      <c r="X31" s="381"/>
      <c r="Y31" s="381"/>
      <c r="Z31" s="381"/>
      <c r="AA31" s="381"/>
      <c r="AB31" s="381"/>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81"/>
      <c r="BA31" s="381"/>
      <c r="BB31" s="381"/>
      <c r="BC31" s="381"/>
      <c r="BD31" s="381"/>
      <c r="BE31" s="381"/>
      <c r="BF31" s="381"/>
      <c r="BG31" s="381"/>
      <c r="BH31" s="381"/>
      <c r="BI31" s="381"/>
      <c r="BJ31" s="381"/>
      <c r="BK31" s="381"/>
      <c r="BL31" s="381"/>
      <c r="BM31" s="381"/>
      <c r="BN31" s="381"/>
      <c r="BO31" s="381"/>
      <c r="BP31" s="381"/>
      <c r="BQ31" s="381"/>
      <c r="BR31" s="381"/>
      <c r="BS31" s="381"/>
      <c r="BT31" s="381"/>
      <c r="BU31" s="381"/>
      <c r="BV31" s="381"/>
      <c r="BW31" s="381"/>
      <c r="BX31" s="381"/>
      <c r="BY31" s="381"/>
      <c r="BZ31" s="381"/>
      <c r="CA31" s="381"/>
      <c r="CB31" s="381"/>
      <c r="CC31" s="381"/>
      <c r="CD31" s="381"/>
      <c r="CE31" s="381"/>
      <c r="CF31" s="381"/>
      <c r="CG31" s="381"/>
      <c r="CI31" s="5"/>
      <c r="CJ31" s="113">
        <v>-110</v>
      </c>
      <c r="CK31" s="114">
        <v>-108.1</v>
      </c>
      <c r="CL31" s="115">
        <v>-108</v>
      </c>
      <c r="CP31" s="91"/>
      <c r="DW31" s="91"/>
      <c r="DX31" s="91"/>
    </row>
    <row r="32" spans="1:132" ht="11.45" customHeight="1" x14ac:dyDescent="0.2">
      <c r="A32" s="336" t="s">
        <v>28</v>
      </c>
      <c r="B32" s="336"/>
      <c r="C32" s="336"/>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336"/>
      <c r="AB32" s="336"/>
      <c r="AC32" s="336"/>
      <c r="AD32" s="336"/>
      <c r="AE32" s="336"/>
      <c r="AF32" s="336"/>
      <c r="AG32" s="336"/>
      <c r="AH32" s="336"/>
      <c r="AI32" s="336"/>
      <c r="AJ32" s="336"/>
      <c r="AK32" s="336"/>
      <c r="AL32" s="343" t="s">
        <v>2</v>
      </c>
      <c r="AM32" s="343"/>
      <c r="AN32" s="343"/>
      <c r="AO32" s="95" t="s">
        <v>0</v>
      </c>
      <c r="AP32" s="393" t="str">
        <f>AP13</f>
        <v/>
      </c>
      <c r="AQ32" s="393"/>
      <c r="AR32" s="393"/>
      <c r="AS32" s="393"/>
      <c r="AT32" s="393"/>
      <c r="AU32" s="393"/>
      <c r="AV32" s="393"/>
      <c r="AW32" s="393"/>
      <c r="AX32" s="343" t="s">
        <v>16</v>
      </c>
      <c r="AY32" s="343"/>
      <c r="AZ32" s="343"/>
      <c r="BA32" s="95" t="s">
        <v>0</v>
      </c>
      <c r="BB32" s="365"/>
      <c r="BC32" s="365"/>
      <c r="BD32" s="365"/>
      <c r="BE32" s="365"/>
      <c r="BF32" s="365"/>
      <c r="BG32" s="365"/>
      <c r="BH32" s="365"/>
      <c r="BI32" s="365"/>
      <c r="BJ32" s="343" t="s">
        <v>425</v>
      </c>
      <c r="BK32" s="343"/>
      <c r="BL32" s="343"/>
      <c r="BM32" s="343"/>
      <c r="BN32" s="343"/>
      <c r="BO32" s="343"/>
      <c r="BP32" s="343"/>
      <c r="BQ32" s="95" t="s">
        <v>0</v>
      </c>
      <c r="BR32" s="343" t="s">
        <v>430</v>
      </c>
      <c r="BS32" s="343"/>
      <c r="BT32" s="343"/>
      <c r="BU32" s="343"/>
      <c r="BV32" s="343"/>
      <c r="BW32" s="343"/>
      <c r="BX32" s="343"/>
      <c r="BY32" s="343"/>
      <c r="BZ32" s="343"/>
      <c r="CA32" s="343"/>
      <c r="CB32" s="343"/>
      <c r="CC32" s="343"/>
      <c r="CD32" s="343"/>
      <c r="CE32" s="343"/>
      <c r="CF32" s="343"/>
      <c r="CG32" s="343"/>
      <c r="CI32" s="116">
        <v>34</v>
      </c>
      <c r="CJ32" s="117">
        <v>-140</v>
      </c>
      <c r="CK32" s="53">
        <f>(CL32-CJ32)/(CL31-CJ31)*(CK31-CJ31)+CJ32</f>
        <v>-140</v>
      </c>
      <c r="CL32" s="118">
        <v>-140</v>
      </c>
      <c r="CP32" s="91"/>
      <c r="CR32" s="91"/>
      <c r="CS32" s="91"/>
      <c r="CY32" s="91"/>
      <c r="DW32" s="91"/>
      <c r="DX32" s="91"/>
    </row>
    <row r="33" spans="1:132" ht="11.45" customHeight="1" x14ac:dyDescent="0.2">
      <c r="A33" s="155"/>
      <c r="B33" s="155"/>
      <c r="C33" s="155"/>
      <c r="D33" s="155"/>
      <c r="E33" s="155"/>
      <c r="F33" s="155"/>
      <c r="G33" s="155" t="s">
        <v>196</v>
      </c>
      <c r="H33" s="155"/>
      <c r="I33" s="155"/>
      <c r="J33" s="155"/>
      <c r="K33" s="155"/>
      <c r="L33" s="155"/>
      <c r="M33" s="90" t="s">
        <v>0</v>
      </c>
      <c r="N33" s="340">
        <v>8</v>
      </c>
      <c r="O33" s="340"/>
      <c r="P33" s="340"/>
      <c r="Q33" s="340"/>
      <c r="R33" s="340"/>
      <c r="S33" s="340"/>
      <c r="T33" s="340" t="s">
        <v>192</v>
      </c>
      <c r="U33" s="340"/>
      <c r="V33" s="340"/>
      <c r="W33" s="340"/>
      <c r="X33" s="350"/>
      <c r="Y33" s="350"/>
      <c r="Z33" s="350"/>
      <c r="AA33" s="350"/>
      <c r="AB33" s="350"/>
      <c r="AC33" s="350"/>
      <c r="AD33" s="352" t="s">
        <v>427</v>
      </c>
      <c r="AE33" s="352"/>
      <c r="AF33" s="352"/>
      <c r="AG33" s="90" t="s">
        <v>0</v>
      </c>
      <c r="AH33" s="340">
        <f>IF(OR(N33="",N34=""),"",(N34-N33))</f>
        <v>9.9999999999999645E-2</v>
      </c>
      <c r="AI33" s="340"/>
      <c r="AJ33" s="340"/>
      <c r="AK33" s="340"/>
      <c r="AL33" s="340"/>
      <c r="AM33" s="342" t="str">
        <f>T33</f>
        <v xml:space="preserve"> M</v>
      </c>
      <c r="AN33" s="342"/>
      <c r="AO33" s="342"/>
      <c r="AP33" s="342"/>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103" t="s">
        <v>0</v>
      </c>
      <c r="BN33" s="155" t="s">
        <v>93</v>
      </c>
      <c r="BO33" s="155"/>
      <c r="BP33" s="155"/>
      <c r="BQ33" s="155"/>
      <c r="BR33" s="155"/>
      <c r="BS33" s="155"/>
      <c r="BT33" s="155"/>
      <c r="BU33" s="155"/>
      <c r="BV33" s="155"/>
      <c r="BW33" s="155"/>
      <c r="BX33" s="155"/>
      <c r="BY33" s="155"/>
      <c r="BZ33" s="155"/>
      <c r="CA33" s="155"/>
      <c r="CB33" s="155"/>
      <c r="CC33" s="155"/>
      <c r="CD33" s="155"/>
      <c r="CE33" s="155"/>
      <c r="CF33" s="155"/>
      <c r="CG33" s="155"/>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162"/>
      <c r="B34" s="162"/>
      <c r="C34" s="162"/>
      <c r="D34" s="162"/>
      <c r="E34" s="162"/>
      <c r="F34" s="162"/>
      <c r="G34" s="162" t="s">
        <v>426</v>
      </c>
      <c r="H34" s="162"/>
      <c r="I34" s="162"/>
      <c r="J34" s="162"/>
      <c r="K34" s="162"/>
      <c r="L34" s="162"/>
      <c r="M34" s="90" t="s">
        <v>0</v>
      </c>
      <c r="N34" s="355">
        <v>8.1</v>
      </c>
      <c r="O34" s="355"/>
      <c r="P34" s="355"/>
      <c r="Q34" s="355"/>
      <c r="R34" s="355"/>
      <c r="S34" s="355"/>
      <c r="T34" s="358" t="str">
        <f>T33</f>
        <v xml:space="preserve"> M</v>
      </c>
      <c r="U34" s="358"/>
      <c r="V34" s="358"/>
      <c r="W34" s="358"/>
      <c r="X34" s="351"/>
      <c r="Y34" s="351"/>
      <c r="Z34" s="351"/>
      <c r="AA34" s="351"/>
      <c r="AB34" s="351"/>
      <c r="AC34" s="351"/>
      <c r="AD34" s="353" t="s">
        <v>428</v>
      </c>
      <c r="AE34" s="353"/>
      <c r="AF34" s="353"/>
      <c r="AG34" s="90" t="s">
        <v>0</v>
      </c>
      <c r="AH34" s="162">
        <v>0</v>
      </c>
      <c r="AI34" s="162"/>
      <c r="AJ34" s="162"/>
      <c r="AK34" s="162"/>
      <c r="AL34" s="162"/>
      <c r="AM34" s="162"/>
      <c r="AN34" s="162"/>
      <c r="AO34" s="162"/>
      <c r="AP34" s="16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103" t="s">
        <v>0</v>
      </c>
      <c r="BN34" s="162" t="s">
        <v>93</v>
      </c>
      <c r="BO34" s="162"/>
      <c r="BP34" s="162"/>
      <c r="BQ34" s="162"/>
      <c r="BR34" s="162"/>
      <c r="BS34" s="162"/>
      <c r="BT34" s="162"/>
      <c r="BU34" s="162"/>
      <c r="BV34" s="162"/>
      <c r="BW34" s="162"/>
      <c r="BX34" s="162"/>
      <c r="BY34" s="162"/>
      <c r="BZ34" s="162"/>
      <c r="CA34" s="162"/>
      <c r="CB34" s="162"/>
      <c r="CC34" s="162"/>
      <c r="CD34" s="162"/>
      <c r="CE34" s="162"/>
      <c r="CF34" s="162"/>
      <c r="CG34" s="162"/>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IF(P17="","",P17)</f>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8">IF(A18="","",A18)</f>
        <v/>
      </c>
      <c r="B37" s="346"/>
      <c r="C37" s="346"/>
      <c r="D37" s="346"/>
      <c r="E37" s="346"/>
      <c r="F37" s="346"/>
      <c r="G37" s="346"/>
      <c r="H37" s="346"/>
      <c r="I37" s="318" t="str">
        <f t="shared" ref="I37:I48" si="39">IF(I18="","",I18)</f>
        <v/>
      </c>
      <c r="J37" s="318"/>
      <c r="K37" s="318"/>
      <c r="L37" s="318"/>
      <c r="M37" s="318"/>
      <c r="N37" s="318"/>
      <c r="O37" s="318"/>
      <c r="P37" s="313"/>
      <c r="Q37" s="313"/>
      <c r="R37" s="313"/>
      <c r="S37" s="313"/>
      <c r="T37" s="313"/>
      <c r="U37" s="308" t="str">
        <f t="shared" ref="U37:U48" si="40">IF(U18="","",U18)</f>
        <v/>
      </c>
      <c r="V37" s="308"/>
      <c r="W37" s="308"/>
      <c r="X37" s="308"/>
      <c r="Y37" s="308"/>
      <c r="Z37" s="308"/>
      <c r="AA37" s="308"/>
      <c r="AB37" s="308"/>
      <c r="AC37" s="309"/>
      <c r="AD37" s="308"/>
      <c r="AE37" s="308"/>
      <c r="AF37" s="308"/>
      <c r="AG37" s="308"/>
      <c r="AH37" s="309"/>
      <c r="AI37" s="308"/>
      <c r="AJ37" s="308"/>
      <c r="AK37" s="308"/>
      <c r="AL37" s="308"/>
      <c r="AM37" s="308"/>
      <c r="AN37" s="308"/>
      <c r="AO37" s="308"/>
      <c r="AP37" s="308"/>
      <c r="AQ37" s="308"/>
      <c r="AR37" s="308"/>
      <c r="AS37" s="308"/>
      <c r="AT37" s="308"/>
      <c r="AU37" s="308"/>
      <c r="AV37" s="308"/>
      <c r="AW37" s="308"/>
      <c r="AX37" s="308"/>
      <c r="AY37" s="312"/>
      <c r="AZ37" s="312"/>
      <c r="BA37" s="312"/>
      <c r="BB37" s="312"/>
      <c r="BC37" s="312"/>
      <c r="BD37" s="311" t="str">
        <f>IF(OR(AJ37="",AT37=""),"",AJ37-AT37)</f>
        <v/>
      </c>
      <c r="BE37" s="311"/>
      <c r="BF37" s="311"/>
      <c r="BG37" s="311"/>
      <c r="BH37" s="311"/>
      <c r="BI37" s="423" t="str">
        <f t="shared" ref="BI37:BI48" si="41">IF(OR(AY37="",P37=""),"",IF($CN$53=1,DW37,IF($CN$53=2,DY37,IF($CN$53=3,EA37,IF($CN$53=4,DX37,IF($CN$53=5,DZ37,IF($CN$53=6,EB37)))))))</f>
        <v/>
      </c>
      <c r="BJ37" s="423"/>
      <c r="BK37" s="423"/>
      <c r="BL37" s="423"/>
      <c r="BM37" s="423"/>
      <c r="BN37" s="311" t="str">
        <f t="shared" ref="BN37:BN48" si="42">IF(OR(BD37="",BI37=""),"",BD37*BI37)</f>
        <v/>
      </c>
      <c r="BO37" s="311"/>
      <c r="BP37" s="311"/>
      <c r="BQ37" s="311"/>
      <c r="BR37" s="311"/>
      <c r="BS37" s="332" t="str">
        <f t="shared" ref="BS37:BS48" si="43">IF(OR(BD37="",P37="",BI37=""),"",ROUND((DS37-0.0011),4))</f>
        <v/>
      </c>
      <c r="BT37" s="332"/>
      <c r="BU37" s="332"/>
      <c r="BV37" s="332"/>
      <c r="BW37" s="332"/>
      <c r="BX37" s="311" t="str">
        <f t="shared" ref="BX37:BX48" si="44">IF(OR(BD37="",P37="",BI37=""),"",IF($AJ$17=$CN$34,ROUND(BN37*BS37,3),ROUND(CS37*BI37*BS37,3)))</f>
        <v/>
      </c>
      <c r="BY37" s="311"/>
      <c r="BZ37" s="311"/>
      <c r="CA37" s="311"/>
      <c r="CB37" s="311"/>
      <c r="CC37" s="311" t="str">
        <f t="shared" ref="CC37:CC48" si="45">IF(OR(BD37="",P37="",BI37=""),"",IF($AJ$17=$CN$34,ROUND(BN37*DQ37,3),ROUND(CS37*BI37*DQ37,3)))</f>
        <v/>
      </c>
      <c r="CD37" s="311"/>
      <c r="CE37" s="311"/>
      <c r="CF37" s="311"/>
      <c r="CG37" s="311"/>
      <c r="CH37" s="55"/>
      <c r="CP37" s="107">
        <f t="shared" ref="CP37:CP48" si="46">IF(OR(AY37="",BD37=""),0,AY37*BD37)</f>
        <v>0</v>
      </c>
      <c r="CR37" s="28" t="e">
        <f t="shared" ref="CR37:CR48" si="47">IF($BD$17=$CN$35,BD37,(BD37*6.28981))</f>
        <v>#VALUE!</v>
      </c>
      <c r="CS37" s="29" t="str">
        <f t="shared" ref="CS37:CS48" si="48">IF($BD$17=$CN$34,BD37,(BD37/6.28981))</f>
        <v/>
      </c>
      <c r="CU37" s="30">
        <f t="shared" ref="CU37:CU48" si="49">IF($AY$17=$CN$40,AY37,(AY37*1.8+32))</f>
        <v>32</v>
      </c>
      <c r="CV37" s="31">
        <f t="shared" ref="CV37:CV48" si="50">ROUND(CU37*2,0)/2</f>
        <v>32</v>
      </c>
      <c r="CW37" s="32">
        <f>ROUND(CU37,1)</f>
        <v>32</v>
      </c>
      <c r="CX37" s="33">
        <f>(1.8*((((CW37-32)/1.8)-((-0.148759+((-0.267408+((1.08076+((1.269056+((-4.089591+((-1.871251+((7.438081+(-3.536296*(((CW37-32)/1.8)/630)))*(((CW37-32)/1.8)/630)))*(((CW37-32)/1.8)/630)))*(((CW37-32)/1.8)/630)))*(((CW37-32)/1.8)/630)))*(((CW37-32)/1.8)/630)))*(((CW37-32)/1.8)/630)))*(((CW37-32)/1.8)/630)))))+32</f>
        <v>32</v>
      </c>
      <c r="CY37" s="26"/>
      <c r="CZ37" s="30">
        <f t="shared" ref="CZ37:CZ48" si="51">IF($AY$17=$CN$39,AY37,(AY37-32)/1.8)</f>
        <v>0</v>
      </c>
      <c r="DA37" s="28">
        <f t="shared" ref="DA37:DA48" si="52">ROUND(CZ37*4,0)/4</f>
        <v>0</v>
      </c>
      <c r="DB37" s="34">
        <f>ROUND(CZ37,1)</f>
        <v>0</v>
      </c>
      <c r="DC37" s="33">
        <f>DB37-((-0.148759+((-0.267408+((1.08076+((1.269056+((-4.089591+((-1.871251+((7.438081+(-3.536296*(DB37/630)))*(DB37/630)))*(DB37/630)))*(DB37/630)))*(DB37/630)))*(DB37/630)))*(DB37/630)))*(DB37/630))</f>
        <v>0</v>
      </c>
      <c r="DD37" s="35"/>
      <c r="DE37" s="30" t="e">
        <f t="shared" ref="DE37:DE48" si="53">IF($P$16=$CN$18,P37,(141.5/DK37)-131.5)</f>
        <v>#DIV/0!</v>
      </c>
      <c r="DF37" s="31" t="e">
        <f t="shared" ref="DF37:DF48" si="54">ROUND(DE37*2,0)/2</f>
        <v>#DIV/0!</v>
      </c>
      <c r="DG37" s="32" t="e">
        <f>ROUND(DE37,1)</f>
        <v>#DIV/0!</v>
      </c>
      <c r="DH37" s="33" t="e">
        <f>(141.5/(DG37+131.5))*999.016</f>
        <v>#DIV/0!</v>
      </c>
      <c r="DI37" s="33" t="e">
        <f>DH37*(1+((EXP(((0.01374979547/2)*(((103.872/DH37)+0.2701)*(1/DH37)))*(1+(0.8*((0.01374979547/2)*(((103.872/DH37)+0.2701)*(1/DH37))))))-1)/(1+(((0.01374979547/2)*(((103.872/DH37)+0.2701)*(1/DH37)))*(1+(1.6*((0.01374979547/2)*(((103.872/DH37)+0.2701)*(1/DH37)))))*(((2*103.872)+(0.2701+DH37))/(103.872+(0.2701*DH37)))))))</f>
        <v>#DIV/0!</v>
      </c>
      <c r="DK37" s="36" t="e">
        <f t="shared" ref="DK37:DK48" si="55">IF($P$16=$CN$19,P37,IF($P$16=$CN$18,141.5/(P37+131.5),DQ37*ROUND(EXP(-(186.9696/(((TRUNC(5*(DQ37*100)+0.5)/5)*0.01)*1000)^2+0.4862/(((TRUNC(5*(DQ37*100)+0.5)/5)*0.01)*1000))*(0.56)*(1+0.8*(186.9696/(((TRUNC(5*(DQ37*100)+0.5)/5)*0.01)*1000)^2+0.4862/(((TRUNC(5*(DQ37*100)+0.5)/5)*0.01)*1000))*0.56)),4)/0.999012))</f>
        <v>#DIV/0!</v>
      </c>
      <c r="DL37" s="37" t="e">
        <f>ROUND(DK37*5,2)/5</f>
        <v>#DIV/0!</v>
      </c>
      <c r="DM37" s="38" t="e">
        <f>ROUND(DK37,4)</f>
        <v>#DIV/0!</v>
      </c>
      <c r="DN37" s="33" t="e">
        <f>DM37*999.016</f>
        <v>#DIV/0!</v>
      </c>
      <c r="DO37" s="33" t="e">
        <f>DN37*(1+((EXP(((0.01374979547/2)*(((103.872/DN37)+0.2701)*(1/DN37)))*(1+(0.8*((0.01374979547/2)*(((103.872/DN37)+0.2701)*(1/DN37))))))-1)/(1+(((0.01374979547/2)*(((103.872/DN37)+0.2701)*(1/DN37)))*(1+(1.6*((0.01374979547/2)*(((103.872/DN37)+0.2701)*(1/DN37)))))*(((2*103.872)+(0.2701+DN37))/(103.872+(0.2701*DN37)))))))</f>
        <v>#DIV/0!</v>
      </c>
      <c r="DQ37" s="36">
        <f t="shared" ref="DQ37:DQ48" si="56">IF($P$16=$CN$20,P37,DK37*0.999012*ROUND(EXP(-((103.872/((((TRUNC(5*(DK37*100)+0.5)/5)*0.01)*999.012)^2))+(0.2701/(((TRUNC(5*(DK37*100)+0.5)/5)*0.01)*999.012)))*(-1)*(1+(0.8*((103.872/((((TRUNC(5*(DK37*100)+0.5)/5)*0.01)*999.012)^2))+(0.2701/(((TRUNC(5*(DK37*100)+0.5)/5)*0.01)*999.012)))*(-1)))),4))</f>
        <v>0</v>
      </c>
      <c r="DR37" s="39">
        <f>ROUND(DQ37*5,2)/5</f>
        <v>0</v>
      </c>
      <c r="DS37" s="38">
        <f>ROUND(DQ37,4)</f>
        <v>0</v>
      </c>
      <c r="DT37" s="33">
        <f>DS37*1000</f>
        <v>0</v>
      </c>
      <c r="DU37" s="33" t="e">
        <f>DT37*(1+((EXP(((0.01374979547/2)*(((186.9696/DT37)+0.4862)*(1/DT37)))*(1+(0.8*((0.01374979547/2)*(((186.9696/DT37)+0.4862)*(1/DT37))))))-1)/(1+(((0.01374979547/2)*(((186.9696/DT37)+0.4862)*(1/DT37)))*(1+(1.6*((0.01374979547/2)*(((186.9696/DT37)+0.4862)*(1/DT37)))))*(((2*186.9696)+(0.4862+DT37))/(186.9696+(0.4862*DT37)))))))</f>
        <v>#DIV/0!</v>
      </c>
      <c r="DW37" s="38" t="e">
        <f>ROUND(EXP(-((103.872/(((141.5/(DF37+131.5))*999.012)^2))+(0.2701/((141.5/(DF37+131.5))*999.012)))*(CV37-60)*(1+(0.8*((103.872/(((141.5/(DF37+131.5))*999.012)^2))+(0.2701/((141.5/(DF37+131.5))*999.012)))*(CV37-60)))),4)</f>
        <v>#DIV/0!</v>
      </c>
      <c r="DX37" s="40" t="e">
        <f>ROUND(EXP(-(((103.872/DI37)+0.2701)*(1/DI37))*(CX37-60.0068749)*(1+(0.8*(((103.872/DI37)+0.2701)*(1/DI37))*((CX37-60.0068749)+0.01374979547)))),5)</f>
        <v>#DIV/0!</v>
      </c>
      <c r="DY37" s="36" t="e">
        <f>ROUND(EXP(-((103.872/((DL37*999.012)^2))+(0.2701/(DL37*999.012)))*(CV37-60)*(1+(0.8*((103.872/((DL37*999.012)^2))+(0.2701/(DL37*999.012)))*(CV37-60)))),4)</f>
        <v>#DIV/0!</v>
      </c>
      <c r="DZ37" s="40" t="e">
        <f>ROUND(EXP(-(((103.872/DO37)+0.2701)*(1/DO37))*(CX37-60.0068749)*(1+(0.8*(((103.872/DO37)+0.2701)*(1/DO37))*((CX37-60.0068749)+0.01374979547)))),5)</f>
        <v>#DIV/0!</v>
      </c>
      <c r="EA37" s="36" t="e">
        <f>ROUND(EXP(-((186.9696/((DR37*1000)^2))+(0.4862/(DR37*1000)))*(DA37-15)*(1+(0.8*((186.9696/((DR37*1000)^2))+(0.4862/(DR37*1000)))*(DA37-15)))),4)</f>
        <v>#DIV/0!</v>
      </c>
      <c r="EB37" s="40" t="e">
        <f>ROUND(EXP(-((((186.9696/DU37)+0.4862)*(1/DU37)))*(DC37-15.00367851)*(1+(0.8*((((186.9696/DU37)+0.4862)*(1/DU37)))*((DC37-15.00367851)+0.01374979547)))),5)</f>
        <v>#DIV/0!</v>
      </c>
    </row>
    <row r="38" spans="1:132" ht="11.45" customHeight="1" x14ac:dyDescent="0.2">
      <c r="A38" s="319" t="str">
        <f t="shared" si="38"/>
        <v/>
      </c>
      <c r="B38" s="319"/>
      <c r="C38" s="319"/>
      <c r="D38" s="319"/>
      <c r="E38" s="319"/>
      <c r="F38" s="319"/>
      <c r="G38" s="319"/>
      <c r="H38" s="319"/>
      <c r="I38" s="318" t="str">
        <f t="shared" si="39"/>
        <v/>
      </c>
      <c r="J38" s="318"/>
      <c r="K38" s="318"/>
      <c r="L38" s="318"/>
      <c r="M38" s="318"/>
      <c r="N38" s="318"/>
      <c r="O38" s="318"/>
      <c r="P38" s="313"/>
      <c r="Q38" s="313"/>
      <c r="R38" s="313"/>
      <c r="S38" s="313"/>
      <c r="T38" s="313"/>
      <c r="U38" s="308"/>
      <c r="V38" s="308"/>
      <c r="W38" s="308"/>
      <c r="X38" s="308"/>
      <c r="Y38" s="308"/>
      <c r="Z38" s="308"/>
      <c r="AA38" s="308"/>
      <c r="AB38" s="308"/>
      <c r="AC38" s="309"/>
      <c r="AD38" s="308"/>
      <c r="AE38" s="308"/>
      <c r="AF38" s="308"/>
      <c r="AG38" s="308"/>
      <c r="AH38" s="309"/>
      <c r="AI38" s="308"/>
      <c r="AJ38" s="308"/>
      <c r="AK38" s="308"/>
      <c r="AL38" s="308"/>
      <c r="AM38" s="308"/>
      <c r="AN38" s="308"/>
      <c r="AO38" s="308"/>
      <c r="AP38" s="308"/>
      <c r="AQ38" s="308"/>
      <c r="AR38" s="308"/>
      <c r="AS38" s="308"/>
      <c r="AT38" s="308"/>
      <c r="AU38" s="308"/>
      <c r="AV38" s="308"/>
      <c r="AW38" s="308"/>
      <c r="AX38" s="308"/>
      <c r="AY38" s="312"/>
      <c r="AZ38" s="312"/>
      <c r="BA38" s="312"/>
      <c r="BB38" s="312"/>
      <c r="BC38" s="312"/>
      <c r="BD38" s="311" t="str">
        <f t="shared" ref="BD38:BD48" si="57">IF(OR(AJ38="",AT38=""),"",AJ38-AT38)</f>
        <v/>
      </c>
      <c r="BE38" s="311"/>
      <c r="BF38" s="311"/>
      <c r="BG38" s="311"/>
      <c r="BH38" s="311"/>
      <c r="BI38" s="423" t="str">
        <f t="shared" si="41"/>
        <v/>
      </c>
      <c r="BJ38" s="423"/>
      <c r="BK38" s="423"/>
      <c r="BL38" s="423"/>
      <c r="BM38" s="423"/>
      <c r="BN38" s="311" t="str">
        <f t="shared" si="42"/>
        <v/>
      </c>
      <c r="BO38" s="311"/>
      <c r="BP38" s="311"/>
      <c r="BQ38" s="311"/>
      <c r="BR38" s="311"/>
      <c r="BS38" s="332" t="str">
        <f t="shared" si="43"/>
        <v/>
      </c>
      <c r="BT38" s="332"/>
      <c r="BU38" s="332"/>
      <c r="BV38" s="332"/>
      <c r="BW38" s="332"/>
      <c r="BX38" s="311" t="str">
        <f t="shared" si="44"/>
        <v/>
      </c>
      <c r="BY38" s="311"/>
      <c r="BZ38" s="311"/>
      <c r="CA38" s="311"/>
      <c r="CB38" s="311"/>
      <c r="CC38" s="311" t="str">
        <f t="shared" si="45"/>
        <v/>
      </c>
      <c r="CD38" s="311"/>
      <c r="CE38" s="311"/>
      <c r="CF38" s="311"/>
      <c r="CG38" s="311"/>
      <c r="CH38" s="55"/>
      <c r="CN38" s="1" t="s">
        <v>220</v>
      </c>
      <c r="CP38" s="87">
        <f t="shared" si="46"/>
        <v>0</v>
      </c>
      <c r="CR38" s="28" t="e">
        <f t="shared" si="47"/>
        <v>#VALUE!</v>
      </c>
      <c r="CS38" s="29" t="str">
        <f t="shared" si="48"/>
        <v/>
      </c>
      <c r="CU38" s="28">
        <f t="shared" si="49"/>
        <v>32</v>
      </c>
      <c r="CV38" s="31">
        <f t="shared" si="50"/>
        <v>32</v>
      </c>
      <c r="CW38" s="32">
        <f>ROUND(CU38,1)</f>
        <v>32</v>
      </c>
      <c r="CX38" s="32">
        <f t="shared" ref="CX38:CX48" si="58">(1.8*((((CW38-32)/1.8)-((-0.148759+((-0.267408+((1.08076+((1.269056+((-4.089591+((-1.871251+((7.438081+(-3.536296*(((CW38-32)/1.8)/630)))*(((CW38-32)/1.8)/630)))*(((CW38-32)/1.8)/630)))*(((CW38-32)/1.8)/630)))*(((CW38-32)/1.8)/630)))*(((CW38-32)/1.8)/630)))*(((CW38-32)/1.8)/630)))*(((CW38-32)/1.8)/630)))))+32</f>
        <v>32</v>
      </c>
      <c r="CY38" s="26"/>
      <c r="CZ38" s="28">
        <f t="shared" si="51"/>
        <v>0</v>
      </c>
      <c r="DA38" s="28">
        <f t="shared" si="52"/>
        <v>0</v>
      </c>
      <c r="DB38" s="34">
        <f>ROUND(CZ38,1)</f>
        <v>0</v>
      </c>
      <c r="DC38" s="32">
        <f t="shared" ref="DC38:DC48" si="59">DB38-((-0.148759+((-0.267408+((1.08076+((1.269056+((-4.089591+((-1.871251+((7.438081+(-3.536296*(DB38/630)))*(DB38/630)))*(DB38/630)))*(DB38/630)))*(DB38/630)))*(DB38/630)))*(DB38/630)))*(DB38/630))</f>
        <v>0</v>
      </c>
      <c r="DD38" s="35"/>
      <c r="DE38" s="28" t="e">
        <f t="shared" si="53"/>
        <v>#DIV/0!</v>
      </c>
      <c r="DF38" s="31" t="e">
        <f t="shared" si="54"/>
        <v>#DIV/0!</v>
      </c>
      <c r="DG38" s="32" t="e">
        <f>ROUND(DE38,1)</f>
        <v>#DIV/0!</v>
      </c>
      <c r="DH38" s="32" t="e">
        <f t="shared" ref="DH38:DH48" si="60">(141.5/(DG38+131.5))*999.016</f>
        <v>#DIV/0!</v>
      </c>
      <c r="DI38" s="32" t="e">
        <f t="shared" ref="DI38:DI48" si="61">DH38*(1+((EXP(((0.01374979547/2)*(((103.872/DH38)+0.2701)*(1/DH38)))*(1+(0.8*((0.01374979547/2)*(((103.872/DH38)+0.2701)*(1/DH38))))))-1)/(1+(((0.01374979547/2)*(((103.872/DH38)+0.2701)*(1/DH38)))*(1+(1.6*((0.01374979547/2)*(((103.872/DH38)+0.2701)*(1/DH38)))))*(((2*103.872)+(0.2701+DH38))/(103.872+(0.2701*DH38)))))))</f>
        <v>#DIV/0!</v>
      </c>
      <c r="DK38" s="38" t="e">
        <f t="shared" si="55"/>
        <v>#DIV/0!</v>
      </c>
      <c r="DL38" s="41" t="e">
        <f>ROUND(DK38*5,2)/5</f>
        <v>#DIV/0!</v>
      </c>
      <c r="DM38" s="38" t="e">
        <f>ROUND(DK38,4)</f>
        <v>#DIV/0!</v>
      </c>
      <c r="DN38" s="32" t="e">
        <f t="shared" ref="DN38:DN48" si="62">DM38*999.016</f>
        <v>#DIV/0!</v>
      </c>
      <c r="DO38" s="32" t="e">
        <f>DN38*(1+((EXP(((0.01374979547/2)*(((103.872/DN38)+0.2701)*(1/DN38)))*(1+(0.8*((0.01374979547/2)*(((103.872/DN38)+0.2701)*(1/DN38))))))-1)/(1+(((0.01374979547/2)*(((103.872/DN38)+0.2701)*(1/DN38)))*(1+(1.6*((0.01374979547/2)*(((103.872/DN38)+0.2701)*(1/DN38)))))*(((2*103.872)+(0.2701+DN38))/(103.872+(0.2701*DN38)))))))</f>
        <v>#DIV/0!</v>
      </c>
      <c r="DQ38" s="38">
        <f t="shared" si="56"/>
        <v>0</v>
      </c>
      <c r="DR38" s="29">
        <f>ROUND(DQ38*5,2)/5</f>
        <v>0</v>
      </c>
      <c r="DS38" s="38">
        <f>ROUND(DQ38,4)</f>
        <v>0</v>
      </c>
      <c r="DT38" s="32">
        <f t="shared" ref="DT38:DT48" si="63">DS38*1000</f>
        <v>0</v>
      </c>
      <c r="DU38" s="32" t="e">
        <f t="shared" ref="DU38:DU48" si="64">DT38*(1+((EXP(((0.01374979547/2)*(((186.9696/DT38)+0.4862)*(1/DT38)))*(1+(0.8*((0.01374979547/2)*(((186.9696/DT38)+0.4862)*(1/DT38))))))-1)/(1+(((0.01374979547/2)*(((186.9696/DT38)+0.4862)*(1/DT38)))*(1+(1.6*((0.01374979547/2)*(((186.9696/DT38)+0.4862)*(1/DT38)))))*(((2*186.9696)+(0.4862+DT38))/(186.9696+(0.4862*DT38)))))))</f>
        <v>#DIV/0!</v>
      </c>
      <c r="DW38" s="38" t="e">
        <f>ROUND(EXP(-((103.872/(((141.5/(DF38+131.5))*999.012)^2))+(0.2701/((141.5/(DF38+131.5))*999.012)))*(CV38-60)*(1+(0.8*((103.872/(((141.5/(DF38+131.5))*999.012)^2))+(0.2701/((141.5/(DF38+131.5))*999.012)))*(CV38-60)))),4)</f>
        <v>#DIV/0!</v>
      </c>
      <c r="DX38" s="42" t="e">
        <f>ROUND(EXP(-(((103.872/DI38)+0.2701)*(1/DI38))*(CX38-60.0068749)*(1+(0.8*(((103.872/DI38)+0.2701)*(1/DI38))*((CX38-60.0068749)+0.01374979547)))),5)</f>
        <v>#DIV/0!</v>
      </c>
      <c r="DY38" s="38" t="e">
        <f>ROUND(EXP(-((103.872/((DL38*999.012)^2))+(0.2701/(DL38*999.012)))*(CV38-60)*(1+(0.8*((103.872/((DL38*999.012)^2))+(0.2701/(DL38*999.012)))*(CV38-60)))),4)</f>
        <v>#DIV/0!</v>
      </c>
      <c r="DZ38" s="42" t="e">
        <f>ROUND(EXP(-(((103.872/DO38)+0.2701)*(1/DO38))*(CX38-60.0068749)*(1+(0.8*(((103.872/DO38)+0.2701)*(1/DO38))*((CX38-60.0068749)+0.01374979547)))),5)</f>
        <v>#DIV/0!</v>
      </c>
      <c r="EA38" s="38" t="e">
        <f>ROUND(EXP(-((186.9696/((DR38*1000)^2))+(0.4862/(DR38*1000)))*(DA38-15)*(1+(0.8*((186.9696/((DR38*1000)^2))+(0.4862/(DR38*1000)))*(DA38-15)))),4)</f>
        <v>#DIV/0!</v>
      </c>
      <c r="EB38" s="42" t="e">
        <f>ROUND(EXP(-((((186.9696/DU38)+0.4862)*(1/DU38)))*(DC38-15.00367851)*(1+(0.8*((((186.9696/DU38)+0.4862)*(1/DU38)))*((DC38-15.00367851)+0.01374979547)))),5)</f>
        <v>#DIV/0!</v>
      </c>
    </row>
    <row r="39" spans="1:132" ht="11.45" customHeight="1" x14ac:dyDescent="0.2">
      <c r="A39" s="319" t="str">
        <f t="shared" si="38"/>
        <v/>
      </c>
      <c r="B39" s="319"/>
      <c r="C39" s="319"/>
      <c r="D39" s="319"/>
      <c r="E39" s="319"/>
      <c r="F39" s="319"/>
      <c r="G39" s="319"/>
      <c r="H39" s="319"/>
      <c r="I39" s="318" t="str">
        <f t="shared" si="39"/>
        <v/>
      </c>
      <c r="J39" s="318"/>
      <c r="K39" s="318"/>
      <c r="L39" s="318"/>
      <c r="M39" s="318"/>
      <c r="N39" s="318"/>
      <c r="O39" s="318"/>
      <c r="P39" s="313"/>
      <c r="Q39" s="313"/>
      <c r="R39" s="313"/>
      <c r="S39" s="313"/>
      <c r="T39" s="313"/>
      <c r="U39" s="308"/>
      <c r="V39" s="308"/>
      <c r="W39" s="308"/>
      <c r="X39" s="308"/>
      <c r="Y39" s="308"/>
      <c r="Z39" s="308"/>
      <c r="AA39" s="308"/>
      <c r="AB39" s="308"/>
      <c r="AC39" s="309"/>
      <c r="AD39" s="308"/>
      <c r="AE39" s="308"/>
      <c r="AF39" s="308"/>
      <c r="AG39" s="308"/>
      <c r="AH39" s="309"/>
      <c r="AI39" s="308"/>
      <c r="AJ39" s="308"/>
      <c r="AK39" s="308"/>
      <c r="AL39" s="308"/>
      <c r="AM39" s="308"/>
      <c r="AN39" s="308"/>
      <c r="AO39" s="308"/>
      <c r="AP39" s="308"/>
      <c r="AQ39" s="308"/>
      <c r="AR39" s="308"/>
      <c r="AS39" s="308"/>
      <c r="AT39" s="308"/>
      <c r="AU39" s="308"/>
      <c r="AV39" s="308"/>
      <c r="AW39" s="308"/>
      <c r="AX39" s="308"/>
      <c r="AY39" s="312"/>
      <c r="AZ39" s="312"/>
      <c r="BA39" s="312"/>
      <c r="BB39" s="312"/>
      <c r="BC39" s="312"/>
      <c r="BD39" s="311" t="str">
        <f t="shared" si="57"/>
        <v/>
      </c>
      <c r="BE39" s="311"/>
      <c r="BF39" s="311"/>
      <c r="BG39" s="311"/>
      <c r="BH39" s="311"/>
      <c r="BI39" s="423" t="str">
        <f t="shared" si="41"/>
        <v/>
      </c>
      <c r="BJ39" s="423"/>
      <c r="BK39" s="423"/>
      <c r="BL39" s="423"/>
      <c r="BM39" s="423"/>
      <c r="BN39" s="311" t="str">
        <f t="shared" si="42"/>
        <v/>
      </c>
      <c r="BO39" s="311"/>
      <c r="BP39" s="311"/>
      <c r="BQ39" s="311"/>
      <c r="BR39" s="311"/>
      <c r="BS39" s="332" t="str">
        <f t="shared" si="43"/>
        <v/>
      </c>
      <c r="BT39" s="332"/>
      <c r="BU39" s="332"/>
      <c r="BV39" s="332"/>
      <c r="BW39" s="332"/>
      <c r="BX39" s="311" t="str">
        <f t="shared" si="44"/>
        <v/>
      </c>
      <c r="BY39" s="311"/>
      <c r="BZ39" s="311"/>
      <c r="CA39" s="311"/>
      <c r="CB39" s="311"/>
      <c r="CC39" s="311" t="str">
        <f t="shared" si="45"/>
        <v/>
      </c>
      <c r="CD39" s="311"/>
      <c r="CE39" s="311"/>
      <c r="CF39" s="311"/>
      <c r="CG39" s="311"/>
      <c r="CH39" s="55"/>
      <c r="CI39" s="323" t="s">
        <v>176</v>
      </c>
      <c r="CJ39" s="324"/>
      <c r="CK39" s="324"/>
      <c r="CL39" s="325"/>
      <c r="CN39" s="107" t="s">
        <v>56</v>
      </c>
      <c r="CP39" s="87">
        <f t="shared" si="46"/>
        <v>0</v>
      </c>
      <c r="CR39" s="28" t="e">
        <f t="shared" si="47"/>
        <v>#VALUE!</v>
      </c>
      <c r="CS39" s="29" t="str">
        <f t="shared" si="48"/>
        <v/>
      </c>
      <c r="CU39" s="28">
        <f t="shared" si="49"/>
        <v>32</v>
      </c>
      <c r="CV39" s="31">
        <f>ROUND(CU39*2,0)/2</f>
        <v>32</v>
      </c>
      <c r="CW39" s="32">
        <f t="shared" ref="CW39:CW47" si="65">ROUND(CU39,1)</f>
        <v>32</v>
      </c>
      <c r="CX39" s="32">
        <f t="shared" si="58"/>
        <v>32</v>
      </c>
      <c r="CY39" s="26"/>
      <c r="CZ39" s="28">
        <f t="shared" si="51"/>
        <v>0</v>
      </c>
      <c r="DA39" s="28">
        <f t="shared" si="52"/>
        <v>0</v>
      </c>
      <c r="DB39" s="34">
        <f t="shared" ref="DB39:DB47" si="66">ROUND(CZ39,1)</f>
        <v>0</v>
      </c>
      <c r="DC39" s="32">
        <f t="shared" si="59"/>
        <v>0</v>
      </c>
      <c r="DD39" s="35"/>
      <c r="DE39" s="28" t="e">
        <f t="shared" si="53"/>
        <v>#DIV/0!</v>
      </c>
      <c r="DF39" s="31" t="e">
        <f t="shared" si="54"/>
        <v>#DIV/0!</v>
      </c>
      <c r="DG39" s="32" t="e">
        <f t="shared" ref="DG39:DG47" si="67">ROUND(DE39,1)</f>
        <v>#DIV/0!</v>
      </c>
      <c r="DH39" s="32" t="e">
        <f t="shared" si="60"/>
        <v>#DIV/0!</v>
      </c>
      <c r="DI39" s="32" t="e">
        <f t="shared" si="61"/>
        <v>#DIV/0!</v>
      </c>
      <c r="DK39" s="38" t="e">
        <f t="shared" si="55"/>
        <v>#DIV/0!</v>
      </c>
      <c r="DL39" s="41" t="e">
        <f t="shared" ref="DL39:DL47" si="68">ROUND(DK39*5,2)/5</f>
        <v>#DIV/0!</v>
      </c>
      <c r="DM39" s="38" t="e">
        <f t="shared" ref="DM39:DM47" si="69">ROUND(DK39,4)</f>
        <v>#DIV/0!</v>
      </c>
      <c r="DN39" s="32" t="e">
        <f t="shared" si="62"/>
        <v>#DIV/0!</v>
      </c>
      <c r="DO39" s="32" t="e">
        <f t="shared" ref="DO39:DO47" si="70">DN39*(1+((EXP(((0.01374979547/2)*(((103.872/DN39)+0.2701)*(1/DN39)))*(1+(0.8*((0.01374979547/2)*(((103.872/DN39)+0.2701)*(1/DN39))))))-1)/(1+(((0.01374979547/2)*(((103.872/DN39)+0.2701)*(1/DN39)))*(1+(1.6*((0.01374979547/2)*(((103.872/DN39)+0.2701)*(1/DN39)))))*(((2*103.872)+(0.2701+DN39))/(103.872+(0.2701*DN39)))))))</f>
        <v>#DIV/0!</v>
      </c>
      <c r="DQ39" s="38">
        <f t="shared" si="56"/>
        <v>0</v>
      </c>
      <c r="DR39" s="29">
        <f t="shared" ref="DR39:DR47" si="71">ROUND(DQ39*5,2)/5</f>
        <v>0</v>
      </c>
      <c r="DS39" s="38">
        <f t="shared" ref="DS39:DS47" si="72">ROUND(DQ39,4)</f>
        <v>0</v>
      </c>
      <c r="DT39" s="32">
        <f t="shared" si="63"/>
        <v>0</v>
      </c>
      <c r="DU39" s="32" t="e">
        <f t="shared" si="64"/>
        <v>#DIV/0!</v>
      </c>
      <c r="DW39" s="38" t="e">
        <f t="shared" ref="DW39:DW47" si="73">ROUND(EXP(-((103.872/(((141.5/(DF39+131.5))*999.012)^2))+(0.2701/((141.5/(DF39+131.5))*999.012)))*(CV39-60)*(1+(0.8*((103.872/(((141.5/(DF39+131.5))*999.012)^2))+(0.2701/((141.5/(DF39+131.5))*999.012)))*(CV39-60)))),4)</f>
        <v>#DIV/0!</v>
      </c>
      <c r="DX39" s="42" t="e">
        <f t="shared" ref="DX39:DX47" si="74">ROUND(EXP(-(((103.872/DI39)+0.2701)*(1/DI39))*(CX39-60.0068749)*(1+(0.8*(((103.872/DI39)+0.2701)*(1/DI39))*((CX39-60.0068749)+0.01374979547)))),5)</f>
        <v>#DIV/0!</v>
      </c>
      <c r="DY39" s="38" t="e">
        <f t="shared" ref="DY39:DY47" si="75">ROUND(EXP(-((103.872/((DL39*999.012)^2))+(0.2701/(DL39*999.012)))*(CV39-60)*(1+(0.8*((103.872/((DL39*999.012)^2))+(0.2701/(DL39*999.012)))*(CV39-60)))),4)</f>
        <v>#DIV/0!</v>
      </c>
      <c r="DZ39" s="42" t="e">
        <f t="shared" ref="DZ39:DZ47" si="76">ROUND(EXP(-(((103.872/DO39)+0.2701)*(1/DO39))*(CX39-60.0068749)*(1+(0.8*(((103.872/DO39)+0.2701)*(1/DO39))*((CX39-60.0068749)+0.01374979547)))),5)</f>
        <v>#DIV/0!</v>
      </c>
      <c r="EA39" s="38" t="e">
        <f t="shared" ref="EA39:EA47" si="77">ROUND(EXP(-((186.9696/((DR39*1000)^2))+(0.4862/(DR39*1000)))*(DA39-15)*(1+(0.8*((186.9696/((DR39*1000)^2))+(0.4862/(DR39*1000)))*(DA39-15)))),4)</f>
        <v>#DIV/0!</v>
      </c>
      <c r="EB39" s="42" t="e">
        <f t="shared" ref="EB39:EB47" si="78">ROUND(EXP(-((((186.9696/DU39)+0.4862)*(1/DU39)))*(DC39-15.00367851)*(1+(0.8*((((186.9696/DU39)+0.4862)*(1/DU39)))*((DC39-15.00367851)+0.01374979547)))),5)</f>
        <v>#DIV/0!</v>
      </c>
    </row>
    <row r="40" spans="1:132" ht="11.45" customHeight="1" x14ac:dyDescent="0.2">
      <c r="A40" s="319" t="str">
        <f t="shared" si="38"/>
        <v/>
      </c>
      <c r="B40" s="319"/>
      <c r="C40" s="319"/>
      <c r="D40" s="319"/>
      <c r="E40" s="319"/>
      <c r="F40" s="319"/>
      <c r="G40" s="319"/>
      <c r="H40" s="319"/>
      <c r="I40" s="318" t="str">
        <f t="shared" si="39"/>
        <v/>
      </c>
      <c r="J40" s="318"/>
      <c r="K40" s="318"/>
      <c r="L40" s="318"/>
      <c r="M40" s="318"/>
      <c r="N40" s="318"/>
      <c r="O40" s="318"/>
      <c r="P40" s="313"/>
      <c r="Q40" s="313"/>
      <c r="R40" s="313"/>
      <c r="S40" s="313"/>
      <c r="T40" s="313"/>
      <c r="U40" s="308"/>
      <c r="V40" s="308"/>
      <c r="W40" s="308"/>
      <c r="X40" s="308"/>
      <c r="Y40" s="308"/>
      <c r="Z40" s="308"/>
      <c r="AA40" s="308"/>
      <c r="AB40" s="308"/>
      <c r="AC40" s="309"/>
      <c r="AD40" s="308"/>
      <c r="AE40" s="308"/>
      <c r="AF40" s="308"/>
      <c r="AG40" s="308"/>
      <c r="AH40" s="309"/>
      <c r="AI40" s="308"/>
      <c r="AJ40" s="308"/>
      <c r="AK40" s="308"/>
      <c r="AL40" s="308"/>
      <c r="AM40" s="308"/>
      <c r="AN40" s="308"/>
      <c r="AO40" s="308"/>
      <c r="AP40" s="308"/>
      <c r="AQ40" s="308"/>
      <c r="AR40" s="308"/>
      <c r="AS40" s="308"/>
      <c r="AT40" s="308"/>
      <c r="AU40" s="308"/>
      <c r="AV40" s="308"/>
      <c r="AW40" s="308"/>
      <c r="AX40" s="308"/>
      <c r="AY40" s="312"/>
      <c r="AZ40" s="312"/>
      <c r="BA40" s="312"/>
      <c r="BB40" s="312"/>
      <c r="BC40" s="312"/>
      <c r="BD40" s="311" t="str">
        <f t="shared" si="57"/>
        <v/>
      </c>
      <c r="BE40" s="311"/>
      <c r="BF40" s="311"/>
      <c r="BG40" s="311"/>
      <c r="BH40" s="311"/>
      <c r="BI40" s="423" t="str">
        <f t="shared" si="41"/>
        <v/>
      </c>
      <c r="BJ40" s="423"/>
      <c r="BK40" s="423"/>
      <c r="BL40" s="423"/>
      <c r="BM40" s="423"/>
      <c r="BN40" s="311" t="str">
        <f t="shared" si="42"/>
        <v/>
      </c>
      <c r="BO40" s="311"/>
      <c r="BP40" s="311"/>
      <c r="BQ40" s="311"/>
      <c r="BR40" s="311"/>
      <c r="BS40" s="332" t="str">
        <f t="shared" si="43"/>
        <v/>
      </c>
      <c r="BT40" s="332"/>
      <c r="BU40" s="332"/>
      <c r="BV40" s="332"/>
      <c r="BW40" s="332"/>
      <c r="BX40" s="311" t="str">
        <f t="shared" si="44"/>
        <v/>
      </c>
      <c r="BY40" s="311"/>
      <c r="BZ40" s="311"/>
      <c r="CA40" s="311"/>
      <c r="CB40" s="311"/>
      <c r="CC40" s="311" t="str">
        <f t="shared" si="45"/>
        <v/>
      </c>
      <c r="CD40" s="311"/>
      <c r="CE40" s="311"/>
      <c r="CF40" s="311"/>
      <c r="CG40" s="311"/>
      <c r="CH40" s="55"/>
      <c r="CI40" s="326"/>
      <c r="CJ40" s="327"/>
      <c r="CK40" s="327"/>
      <c r="CL40" s="328"/>
      <c r="CN40" s="2" t="s">
        <v>57</v>
      </c>
      <c r="CP40" s="87">
        <f t="shared" si="46"/>
        <v>0</v>
      </c>
      <c r="CR40" s="28" t="e">
        <f t="shared" si="47"/>
        <v>#VALUE!</v>
      </c>
      <c r="CS40" s="29" t="str">
        <f t="shared" si="48"/>
        <v/>
      </c>
      <c r="CU40" s="28">
        <f t="shared" si="49"/>
        <v>32</v>
      </c>
      <c r="CV40" s="31">
        <f t="shared" si="50"/>
        <v>32</v>
      </c>
      <c r="CW40" s="32">
        <f>ROUND(CU40,1)</f>
        <v>32</v>
      </c>
      <c r="CX40" s="32">
        <f>(1.8*((((CW40-32)/1.8)-((-0.148759+((-0.267408+((1.08076+((1.269056+((-4.089591+((-1.871251+((7.438081+(-3.536296*(((CW40-32)/1.8)/630)))*(((CW40-32)/1.8)/630)))*(((CW40-32)/1.8)/630)))*(((CW40-32)/1.8)/630)))*(((CW40-32)/1.8)/630)))*(((CW40-32)/1.8)/630)))*(((CW40-32)/1.8)/630)))*(((CW40-32)/1.8)/630)))))+32</f>
        <v>32</v>
      </c>
      <c r="CY40" s="26"/>
      <c r="CZ40" s="28">
        <f t="shared" si="51"/>
        <v>0</v>
      </c>
      <c r="DA40" s="28">
        <f t="shared" si="52"/>
        <v>0</v>
      </c>
      <c r="DB40" s="34">
        <f t="shared" si="66"/>
        <v>0</v>
      </c>
      <c r="DC40" s="32">
        <f t="shared" si="59"/>
        <v>0</v>
      </c>
      <c r="DD40" s="35"/>
      <c r="DE40" s="28" t="e">
        <f t="shared" si="53"/>
        <v>#DIV/0!</v>
      </c>
      <c r="DF40" s="31" t="e">
        <f t="shared" si="54"/>
        <v>#DIV/0!</v>
      </c>
      <c r="DG40" s="32" t="e">
        <f t="shared" si="67"/>
        <v>#DIV/0!</v>
      </c>
      <c r="DH40" s="32" t="e">
        <f t="shared" si="60"/>
        <v>#DIV/0!</v>
      </c>
      <c r="DI40" s="32" t="e">
        <f t="shared" si="61"/>
        <v>#DIV/0!</v>
      </c>
      <c r="DK40" s="38" t="e">
        <f t="shared" si="55"/>
        <v>#DIV/0!</v>
      </c>
      <c r="DL40" s="41" t="e">
        <f t="shared" si="68"/>
        <v>#DIV/0!</v>
      </c>
      <c r="DM40" s="38" t="e">
        <f t="shared" si="69"/>
        <v>#DIV/0!</v>
      </c>
      <c r="DN40" s="32" t="e">
        <f t="shared" si="62"/>
        <v>#DIV/0!</v>
      </c>
      <c r="DO40" s="32" t="e">
        <f t="shared" si="70"/>
        <v>#DIV/0!</v>
      </c>
      <c r="DQ40" s="38">
        <f t="shared" si="56"/>
        <v>0</v>
      </c>
      <c r="DR40" s="29">
        <f t="shared" si="71"/>
        <v>0</v>
      </c>
      <c r="DS40" s="38">
        <f t="shared" si="72"/>
        <v>0</v>
      </c>
      <c r="DT40" s="32">
        <f t="shared" si="63"/>
        <v>0</v>
      </c>
      <c r="DU40" s="32" t="e">
        <f t="shared" si="64"/>
        <v>#DIV/0!</v>
      </c>
      <c r="DW40" s="38" t="e">
        <f t="shared" si="73"/>
        <v>#DIV/0!</v>
      </c>
      <c r="DX40" s="42" t="e">
        <f t="shared" si="74"/>
        <v>#DIV/0!</v>
      </c>
      <c r="DY40" s="38" t="e">
        <f t="shared" si="75"/>
        <v>#DIV/0!</v>
      </c>
      <c r="DZ40" s="42" t="e">
        <f t="shared" si="76"/>
        <v>#DIV/0!</v>
      </c>
      <c r="EA40" s="38" t="e">
        <f t="shared" si="77"/>
        <v>#DIV/0!</v>
      </c>
      <c r="EB40" s="42" t="e">
        <f t="shared" si="78"/>
        <v>#DIV/0!</v>
      </c>
    </row>
    <row r="41" spans="1:132" ht="11.45" customHeight="1" x14ac:dyDescent="0.2">
      <c r="A41" s="346" t="str">
        <f t="shared" si="38"/>
        <v/>
      </c>
      <c r="B41" s="346"/>
      <c r="C41" s="346"/>
      <c r="D41" s="346"/>
      <c r="E41" s="346"/>
      <c r="F41" s="346"/>
      <c r="G41" s="346"/>
      <c r="H41" s="346"/>
      <c r="I41" s="318" t="str">
        <f t="shared" si="39"/>
        <v/>
      </c>
      <c r="J41" s="318"/>
      <c r="K41" s="318"/>
      <c r="L41" s="318"/>
      <c r="M41" s="318"/>
      <c r="N41" s="318"/>
      <c r="O41" s="318"/>
      <c r="P41" s="313"/>
      <c r="Q41" s="313"/>
      <c r="R41" s="313"/>
      <c r="S41" s="313"/>
      <c r="T41" s="313"/>
      <c r="U41" s="308" t="str">
        <f t="shared" si="40"/>
        <v/>
      </c>
      <c r="V41" s="308"/>
      <c r="W41" s="308"/>
      <c r="X41" s="308"/>
      <c r="Y41" s="308"/>
      <c r="Z41" s="308"/>
      <c r="AA41" s="308"/>
      <c r="AB41" s="308"/>
      <c r="AC41" s="309"/>
      <c r="AD41" s="308"/>
      <c r="AE41" s="308"/>
      <c r="AF41" s="308"/>
      <c r="AG41" s="308"/>
      <c r="AH41" s="309"/>
      <c r="AI41" s="308"/>
      <c r="AJ41" s="308"/>
      <c r="AK41" s="308"/>
      <c r="AL41" s="308"/>
      <c r="AM41" s="308"/>
      <c r="AN41" s="308"/>
      <c r="AO41" s="308"/>
      <c r="AP41" s="308"/>
      <c r="AQ41" s="308"/>
      <c r="AR41" s="308"/>
      <c r="AS41" s="308"/>
      <c r="AT41" s="308"/>
      <c r="AU41" s="308"/>
      <c r="AV41" s="308"/>
      <c r="AW41" s="308"/>
      <c r="AX41" s="308"/>
      <c r="AY41" s="312"/>
      <c r="AZ41" s="312"/>
      <c r="BA41" s="312"/>
      <c r="BB41" s="312"/>
      <c r="BC41" s="312"/>
      <c r="BD41" s="311" t="str">
        <f t="shared" si="57"/>
        <v/>
      </c>
      <c r="BE41" s="311"/>
      <c r="BF41" s="311"/>
      <c r="BG41" s="311"/>
      <c r="BH41" s="311"/>
      <c r="BI41" s="423" t="str">
        <f t="shared" si="41"/>
        <v/>
      </c>
      <c r="BJ41" s="423"/>
      <c r="BK41" s="423"/>
      <c r="BL41" s="423"/>
      <c r="BM41" s="423"/>
      <c r="BN41" s="311" t="str">
        <f t="shared" si="42"/>
        <v/>
      </c>
      <c r="BO41" s="311"/>
      <c r="BP41" s="311"/>
      <c r="BQ41" s="311"/>
      <c r="BR41" s="311"/>
      <c r="BS41" s="332" t="str">
        <f t="shared" si="43"/>
        <v/>
      </c>
      <c r="BT41" s="332"/>
      <c r="BU41" s="332"/>
      <c r="BV41" s="332"/>
      <c r="BW41" s="332"/>
      <c r="BX41" s="311" t="str">
        <f t="shared" si="44"/>
        <v/>
      </c>
      <c r="BY41" s="311"/>
      <c r="BZ41" s="311"/>
      <c r="CA41" s="311"/>
      <c r="CB41" s="311"/>
      <c r="CC41" s="311" t="str">
        <f t="shared" si="45"/>
        <v/>
      </c>
      <c r="CD41" s="311"/>
      <c r="CE41" s="311"/>
      <c r="CF41" s="311"/>
      <c r="CG41" s="311"/>
      <c r="CH41" s="55"/>
      <c r="CI41" s="108" t="s">
        <v>170</v>
      </c>
      <c r="CJ41" s="109"/>
      <c r="CK41" s="43" t="e">
        <f>AVERAGE(AY37:BC48)</f>
        <v>#DIV/0!</v>
      </c>
      <c r="CL41" s="21" t="s">
        <v>174</v>
      </c>
      <c r="CP41" s="87">
        <f t="shared" si="46"/>
        <v>0</v>
      </c>
      <c r="CR41" s="28" t="e">
        <f t="shared" si="47"/>
        <v>#VALUE!</v>
      </c>
      <c r="CS41" s="29" t="str">
        <f t="shared" si="48"/>
        <v/>
      </c>
      <c r="CU41" s="28">
        <f t="shared" si="49"/>
        <v>32</v>
      </c>
      <c r="CV41" s="31">
        <f t="shared" si="50"/>
        <v>32</v>
      </c>
      <c r="CW41" s="32">
        <f>ROUND(CU41,1)</f>
        <v>32</v>
      </c>
      <c r="CX41" s="32">
        <f t="shared" si="58"/>
        <v>32</v>
      </c>
      <c r="CY41" s="26"/>
      <c r="CZ41" s="28">
        <f t="shared" si="51"/>
        <v>0</v>
      </c>
      <c r="DA41" s="28">
        <f t="shared" si="52"/>
        <v>0</v>
      </c>
      <c r="DB41" s="34">
        <f>ROUND(CZ41,1)</f>
        <v>0</v>
      </c>
      <c r="DC41" s="32">
        <f t="shared" si="59"/>
        <v>0</v>
      </c>
      <c r="DD41" s="35"/>
      <c r="DE41" s="28" t="e">
        <f t="shared" si="53"/>
        <v>#DIV/0!</v>
      </c>
      <c r="DF41" s="31" t="e">
        <f>ROUND(DE41*2,0)/2</f>
        <v>#DIV/0!</v>
      </c>
      <c r="DG41" s="32" t="e">
        <f>ROUND(DE41,1)</f>
        <v>#DIV/0!</v>
      </c>
      <c r="DH41" s="32" t="e">
        <f t="shared" si="60"/>
        <v>#DIV/0!</v>
      </c>
      <c r="DI41" s="32" t="e">
        <f t="shared" si="61"/>
        <v>#DIV/0!</v>
      </c>
      <c r="DK41" s="38" t="e">
        <f t="shared" si="55"/>
        <v>#DIV/0!</v>
      </c>
      <c r="DL41" s="41" t="e">
        <f t="shared" si="68"/>
        <v>#DIV/0!</v>
      </c>
      <c r="DM41" s="38" t="e">
        <f>ROUND(DK41,4)</f>
        <v>#DIV/0!</v>
      </c>
      <c r="DN41" s="32" t="e">
        <f t="shared" si="62"/>
        <v>#DIV/0!</v>
      </c>
      <c r="DO41" s="32" t="e">
        <f t="shared" si="70"/>
        <v>#DIV/0!</v>
      </c>
      <c r="DQ41" s="38">
        <f t="shared" si="56"/>
        <v>0</v>
      </c>
      <c r="DR41" s="29">
        <f t="shared" si="71"/>
        <v>0</v>
      </c>
      <c r="DS41" s="38">
        <f>ROUND(DQ41,4)</f>
        <v>0</v>
      </c>
      <c r="DT41" s="32">
        <f t="shared" si="63"/>
        <v>0</v>
      </c>
      <c r="DU41" s="32" t="e">
        <f t="shared" si="64"/>
        <v>#DIV/0!</v>
      </c>
      <c r="DW41" s="38" t="e">
        <f>ROUND(EXP(-((103.872/(((141.5/(DF41+131.5))*999.012)^2))+(0.2701/((141.5/(DF41+131.5))*999.012)))*(CV41-60)*(1+(0.8*((103.872/(((141.5/(DF41+131.5))*999.012)^2))+(0.2701/((141.5/(DF41+131.5))*999.012)))*(CV41-60)))),4)</f>
        <v>#DIV/0!</v>
      </c>
      <c r="DX41" s="42" t="e">
        <f>ROUND(EXP(-(((103.872/DI41)+0.2701)*(1/DI41))*(CX41-60.0068749)*(1+(0.8*(((103.872/DI41)+0.2701)*(1/DI41))*((CX41-60.0068749)+0.01374979547)))),5)</f>
        <v>#DIV/0!</v>
      </c>
      <c r="DY41" s="38" t="e">
        <f>ROUND(EXP(-((103.872/((DL41*999.012)^2))+(0.2701/(DL41*999.012)))*(CV41-60)*(1+(0.8*((103.872/((DL41*999.012)^2))+(0.2701/(DL41*999.012)))*(CV41-60)))),4)</f>
        <v>#DIV/0!</v>
      </c>
      <c r="DZ41" s="42" t="e">
        <f>ROUND(EXP(-(((103.872/DO41)+0.2701)*(1/DO41))*(CX41-60.0068749)*(1+(0.8*(((103.872/DO41)+0.2701)*(1/DO41))*((CX41-60.0068749)+0.01374979547)))),5)</f>
        <v>#DIV/0!</v>
      </c>
      <c r="EA41" s="38" t="e">
        <f>ROUND(EXP(-((186.9696/((DR41*1000)^2))+(0.4862/(DR41*1000)))*(DA41-15)*(1+(0.8*((186.9696/((DR41*1000)^2))+(0.4862/(DR41*1000)))*(DA41-15)))),4)</f>
        <v>#DIV/0!</v>
      </c>
      <c r="EB41" s="42" t="e">
        <f>ROUND(EXP(-((((186.9696/DU41)+0.4862)*(1/DU41)))*(DC41-15.00367851)*(1+(0.8*((((186.9696/DU41)+0.4862)*(1/DU41)))*((DC41-15.00367851)+0.01374979547)))),5)</f>
        <v>#DIV/0!</v>
      </c>
    </row>
    <row r="42" spans="1:132" ht="11.45" customHeight="1" x14ac:dyDescent="0.2">
      <c r="A42" s="346" t="str">
        <f t="shared" si="38"/>
        <v/>
      </c>
      <c r="B42" s="346"/>
      <c r="C42" s="346"/>
      <c r="D42" s="346"/>
      <c r="E42" s="346"/>
      <c r="F42" s="346"/>
      <c r="G42" s="346"/>
      <c r="H42" s="346"/>
      <c r="I42" s="318" t="str">
        <f t="shared" si="39"/>
        <v/>
      </c>
      <c r="J42" s="318"/>
      <c r="K42" s="318"/>
      <c r="L42" s="318"/>
      <c r="M42" s="318"/>
      <c r="N42" s="318"/>
      <c r="O42" s="318"/>
      <c r="P42" s="313"/>
      <c r="Q42" s="313"/>
      <c r="R42" s="313"/>
      <c r="S42" s="313"/>
      <c r="T42" s="313"/>
      <c r="U42" s="308" t="str">
        <f t="shared" si="40"/>
        <v/>
      </c>
      <c r="V42" s="308"/>
      <c r="W42" s="308"/>
      <c r="X42" s="308"/>
      <c r="Y42" s="308"/>
      <c r="Z42" s="308"/>
      <c r="AA42" s="308"/>
      <c r="AB42" s="308"/>
      <c r="AC42" s="309"/>
      <c r="AD42" s="308"/>
      <c r="AE42" s="308"/>
      <c r="AF42" s="308"/>
      <c r="AG42" s="308"/>
      <c r="AH42" s="309"/>
      <c r="AI42" s="308"/>
      <c r="AJ42" s="308"/>
      <c r="AK42" s="308"/>
      <c r="AL42" s="308"/>
      <c r="AM42" s="308"/>
      <c r="AN42" s="308"/>
      <c r="AO42" s="308"/>
      <c r="AP42" s="308"/>
      <c r="AQ42" s="308"/>
      <c r="AR42" s="308"/>
      <c r="AS42" s="308"/>
      <c r="AT42" s="308"/>
      <c r="AU42" s="308"/>
      <c r="AV42" s="308"/>
      <c r="AW42" s="308"/>
      <c r="AX42" s="308"/>
      <c r="AY42" s="312"/>
      <c r="AZ42" s="312"/>
      <c r="BA42" s="312"/>
      <c r="BB42" s="312"/>
      <c r="BC42" s="312"/>
      <c r="BD42" s="311" t="str">
        <f t="shared" si="57"/>
        <v/>
      </c>
      <c r="BE42" s="311"/>
      <c r="BF42" s="311"/>
      <c r="BG42" s="311"/>
      <c r="BH42" s="311"/>
      <c r="BI42" s="423" t="str">
        <f t="shared" si="41"/>
        <v/>
      </c>
      <c r="BJ42" s="423"/>
      <c r="BK42" s="423"/>
      <c r="BL42" s="423"/>
      <c r="BM42" s="423"/>
      <c r="BN42" s="311" t="str">
        <f t="shared" si="42"/>
        <v/>
      </c>
      <c r="BO42" s="311"/>
      <c r="BP42" s="311"/>
      <c r="BQ42" s="311"/>
      <c r="BR42" s="311"/>
      <c r="BS42" s="332" t="str">
        <f t="shared" si="43"/>
        <v/>
      </c>
      <c r="BT42" s="332"/>
      <c r="BU42" s="332"/>
      <c r="BV42" s="332"/>
      <c r="BW42" s="332"/>
      <c r="BX42" s="311" t="str">
        <f t="shared" si="44"/>
        <v/>
      </c>
      <c r="BY42" s="311"/>
      <c r="BZ42" s="311"/>
      <c r="CA42" s="311"/>
      <c r="CB42" s="311"/>
      <c r="CC42" s="311" t="str">
        <f t="shared" si="45"/>
        <v/>
      </c>
      <c r="CD42" s="311"/>
      <c r="CE42" s="311"/>
      <c r="CF42" s="311"/>
      <c r="CG42" s="311"/>
      <c r="CH42" s="55"/>
      <c r="CI42" s="9" t="s">
        <v>171</v>
      </c>
      <c r="CJ42" s="10"/>
      <c r="CK42" s="44" t="e">
        <f>SUM(CP37:CP48)/BD49</f>
        <v>#VALUE!</v>
      </c>
      <c r="CL42" s="11" t="s">
        <v>174</v>
      </c>
      <c r="CP42" s="87">
        <f t="shared" si="46"/>
        <v>0</v>
      </c>
      <c r="CR42" s="28" t="e">
        <f t="shared" si="47"/>
        <v>#VALUE!</v>
      </c>
      <c r="CS42" s="29" t="str">
        <f t="shared" si="48"/>
        <v/>
      </c>
      <c r="CU42" s="28">
        <f t="shared" si="49"/>
        <v>32</v>
      </c>
      <c r="CV42" s="31">
        <f t="shared" si="50"/>
        <v>32</v>
      </c>
      <c r="CW42" s="32">
        <f>ROUND(CU42,1)</f>
        <v>32</v>
      </c>
      <c r="CX42" s="32">
        <f t="shared" si="58"/>
        <v>32</v>
      </c>
      <c r="CY42" s="26"/>
      <c r="CZ42" s="28">
        <f t="shared" si="51"/>
        <v>0</v>
      </c>
      <c r="DA42" s="28">
        <f t="shared" si="52"/>
        <v>0</v>
      </c>
      <c r="DB42" s="34">
        <f>ROUND(CZ42,1)</f>
        <v>0</v>
      </c>
      <c r="DC42" s="32">
        <f t="shared" si="59"/>
        <v>0</v>
      </c>
      <c r="DD42" s="35"/>
      <c r="DE42" s="28" t="e">
        <f t="shared" si="53"/>
        <v>#DIV/0!</v>
      </c>
      <c r="DF42" s="31" t="e">
        <f t="shared" si="54"/>
        <v>#DIV/0!</v>
      </c>
      <c r="DG42" s="32" t="e">
        <f>ROUND(DE42,1)</f>
        <v>#DIV/0!</v>
      </c>
      <c r="DH42" s="32" t="e">
        <f t="shared" si="60"/>
        <v>#DIV/0!</v>
      </c>
      <c r="DI42" s="32" t="e">
        <f t="shared" si="61"/>
        <v>#DIV/0!</v>
      </c>
      <c r="DK42" s="38" t="e">
        <f t="shared" si="55"/>
        <v>#DIV/0!</v>
      </c>
      <c r="DL42" s="41" t="e">
        <f t="shared" si="68"/>
        <v>#DIV/0!</v>
      </c>
      <c r="DM42" s="38" t="e">
        <f>ROUND(DK42,4)</f>
        <v>#DIV/0!</v>
      </c>
      <c r="DN42" s="32" t="e">
        <f t="shared" si="62"/>
        <v>#DIV/0!</v>
      </c>
      <c r="DO42" s="32" t="e">
        <f t="shared" si="70"/>
        <v>#DIV/0!</v>
      </c>
      <c r="DQ42" s="38">
        <f t="shared" si="56"/>
        <v>0</v>
      </c>
      <c r="DR42" s="29">
        <f t="shared" si="71"/>
        <v>0</v>
      </c>
      <c r="DS42" s="38">
        <f>ROUND(DQ42,4)</f>
        <v>0</v>
      </c>
      <c r="DT42" s="32">
        <f t="shared" si="63"/>
        <v>0</v>
      </c>
      <c r="DU42" s="32" t="e">
        <f t="shared" si="64"/>
        <v>#DIV/0!</v>
      </c>
      <c r="DW42" s="38" t="e">
        <f>ROUND(EXP(-((103.872/(((141.5/(DF42+131.5))*999.012)^2))+(0.2701/((141.5/(DF42+131.5))*999.012)))*(CV42-60)*(1+(0.8*((103.872/(((141.5/(DF42+131.5))*999.012)^2))+(0.2701/((141.5/(DF42+131.5))*999.012)))*(CV42-60)))),4)</f>
        <v>#DIV/0!</v>
      </c>
      <c r="DX42" s="42" t="e">
        <f>ROUND(EXP(-(((103.872/DI42)+0.2701)*(1/DI42))*(CX42-60.0068749)*(1+(0.8*(((103.872/DI42)+0.2701)*(1/DI42))*((CX42-60.0068749)+0.01374979547)))),5)</f>
        <v>#DIV/0!</v>
      </c>
      <c r="DY42" s="38" t="e">
        <f>ROUND(EXP(-((103.872/((DL42*999.012)^2))+(0.2701/(DL42*999.012)))*(CV42-60)*(1+(0.8*((103.872/((DL42*999.012)^2))+(0.2701/(DL42*999.012)))*(CV42-60)))),4)</f>
        <v>#DIV/0!</v>
      </c>
      <c r="DZ42" s="42" t="e">
        <f>ROUND(EXP(-(((103.872/DO42)+0.2701)*(1/DO42))*(CX42-60.0068749)*(1+(0.8*(((103.872/DO42)+0.2701)*(1/DO42))*((CX42-60.0068749)+0.01374979547)))),5)</f>
        <v>#DIV/0!</v>
      </c>
      <c r="EA42" s="38" t="e">
        <f>ROUND(EXP(-((186.9696/((DR42*1000)^2))+(0.4862/(DR42*1000)))*(DA42-15)*(1+(0.8*((186.9696/((DR42*1000)^2))+(0.4862/(DR42*1000)))*(DA42-15)))),4)</f>
        <v>#DIV/0!</v>
      </c>
      <c r="EB42" s="42" t="e">
        <f>ROUND(EXP(-((((186.9696/DU42)+0.4862)*(1/DU42)))*(DC42-15.00367851)*(1+(0.8*((((186.9696/DU42)+0.4862)*(1/DU42)))*((DC42-15.00367851)+0.01374979547)))),5)</f>
        <v>#DIV/0!</v>
      </c>
    </row>
    <row r="43" spans="1:132" ht="11.45" customHeight="1" x14ac:dyDescent="0.2">
      <c r="A43" s="346" t="str">
        <f t="shared" si="38"/>
        <v/>
      </c>
      <c r="B43" s="346"/>
      <c r="C43" s="346"/>
      <c r="D43" s="346"/>
      <c r="E43" s="346"/>
      <c r="F43" s="346"/>
      <c r="G43" s="346"/>
      <c r="H43" s="346"/>
      <c r="I43" s="318" t="str">
        <f t="shared" si="39"/>
        <v/>
      </c>
      <c r="J43" s="318"/>
      <c r="K43" s="318"/>
      <c r="L43" s="318"/>
      <c r="M43" s="318"/>
      <c r="N43" s="318"/>
      <c r="O43" s="318"/>
      <c r="P43" s="313"/>
      <c r="Q43" s="313"/>
      <c r="R43" s="313"/>
      <c r="S43" s="313"/>
      <c r="T43" s="313"/>
      <c r="U43" s="308" t="str">
        <f t="shared" si="40"/>
        <v/>
      </c>
      <c r="V43" s="308"/>
      <c r="W43" s="308"/>
      <c r="X43" s="308"/>
      <c r="Y43" s="308"/>
      <c r="Z43" s="308"/>
      <c r="AA43" s="308"/>
      <c r="AB43" s="308"/>
      <c r="AC43" s="309"/>
      <c r="AD43" s="308"/>
      <c r="AE43" s="308"/>
      <c r="AF43" s="308"/>
      <c r="AG43" s="308"/>
      <c r="AH43" s="309"/>
      <c r="AI43" s="308"/>
      <c r="AJ43" s="308"/>
      <c r="AK43" s="308"/>
      <c r="AL43" s="308"/>
      <c r="AM43" s="308"/>
      <c r="AN43" s="308"/>
      <c r="AO43" s="308"/>
      <c r="AP43" s="308"/>
      <c r="AQ43" s="308"/>
      <c r="AR43" s="308"/>
      <c r="AS43" s="308"/>
      <c r="AT43" s="308"/>
      <c r="AU43" s="308"/>
      <c r="AV43" s="308"/>
      <c r="AW43" s="308"/>
      <c r="AX43" s="308"/>
      <c r="AY43" s="312"/>
      <c r="AZ43" s="312"/>
      <c r="BA43" s="312"/>
      <c r="BB43" s="312"/>
      <c r="BC43" s="312"/>
      <c r="BD43" s="311" t="str">
        <f t="shared" si="57"/>
        <v/>
      </c>
      <c r="BE43" s="311"/>
      <c r="BF43" s="311"/>
      <c r="BG43" s="311"/>
      <c r="BH43" s="311"/>
      <c r="BI43" s="423" t="str">
        <f t="shared" si="41"/>
        <v/>
      </c>
      <c r="BJ43" s="423"/>
      <c r="BK43" s="423"/>
      <c r="BL43" s="423"/>
      <c r="BM43" s="423"/>
      <c r="BN43" s="311" t="str">
        <f t="shared" si="42"/>
        <v/>
      </c>
      <c r="BO43" s="311"/>
      <c r="BP43" s="311"/>
      <c r="BQ43" s="311"/>
      <c r="BR43" s="311"/>
      <c r="BS43" s="332" t="str">
        <f t="shared" si="43"/>
        <v/>
      </c>
      <c r="BT43" s="332"/>
      <c r="BU43" s="332"/>
      <c r="BV43" s="332"/>
      <c r="BW43" s="332"/>
      <c r="BX43" s="311" t="str">
        <f t="shared" si="44"/>
        <v/>
      </c>
      <c r="BY43" s="311"/>
      <c r="BZ43" s="311"/>
      <c r="CA43" s="311"/>
      <c r="CB43" s="311"/>
      <c r="CC43" s="311" t="str">
        <f t="shared" si="45"/>
        <v/>
      </c>
      <c r="CD43" s="311"/>
      <c r="CE43" s="311"/>
      <c r="CF43" s="311"/>
      <c r="CG43" s="311"/>
      <c r="CH43" s="55"/>
      <c r="CN43" s="1" t="s">
        <v>219</v>
      </c>
      <c r="CP43" s="87">
        <f t="shared" si="46"/>
        <v>0</v>
      </c>
      <c r="CR43" s="28" t="e">
        <f t="shared" si="47"/>
        <v>#VALUE!</v>
      </c>
      <c r="CS43" s="29" t="str">
        <f t="shared" si="48"/>
        <v/>
      </c>
      <c r="CU43" s="28">
        <f t="shared" si="49"/>
        <v>32</v>
      </c>
      <c r="CV43" s="31">
        <f t="shared" si="50"/>
        <v>32</v>
      </c>
      <c r="CW43" s="32">
        <f t="shared" si="65"/>
        <v>32</v>
      </c>
      <c r="CX43" s="32">
        <f t="shared" si="58"/>
        <v>32</v>
      </c>
      <c r="CY43" s="26"/>
      <c r="CZ43" s="28">
        <f t="shared" si="51"/>
        <v>0</v>
      </c>
      <c r="DA43" s="28">
        <f t="shared" si="52"/>
        <v>0</v>
      </c>
      <c r="DB43" s="34">
        <f t="shared" si="66"/>
        <v>0</v>
      </c>
      <c r="DC43" s="32">
        <f t="shared" si="59"/>
        <v>0</v>
      </c>
      <c r="DD43" s="35"/>
      <c r="DE43" s="28" t="e">
        <f t="shared" si="53"/>
        <v>#DIV/0!</v>
      </c>
      <c r="DF43" s="31" t="e">
        <f>ROUND(DE43*2,0)/2</f>
        <v>#DIV/0!</v>
      </c>
      <c r="DG43" s="32" t="e">
        <f t="shared" si="67"/>
        <v>#DIV/0!</v>
      </c>
      <c r="DH43" s="32" t="e">
        <f t="shared" si="60"/>
        <v>#DIV/0!</v>
      </c>
      <c r="DI43" s="32" t="e">
        <f t="shared" si="61"/>
        <v>#DIV/0!</v>
      </c>
      <c r="DK43" s="38" t="e">
        <f t="shared" si="55"/>
        <v>#DIV/0!</v>
      </c>
      <c r="DL43" s="41" t="e">
        <f t="shared" si="68"/>
        <v>#DIV/0!</v>
      </c>
      <c r="DM43" s="38" t="e">
        <f t="shared" si="69"/>
        <v>#DIV/0!</v>
      </c>
      <c r="DN43" s="32" t="e">
        <f t="shared" si="62"/>
        <v>#DIV/0!</v>
      </c>
      <c r="DO43" s="32" t="e">
        <f t="shared" si="70"/>
        <v>#DIV/0!</v>
      </c>
      <c r="DQ43" s="38">
        <f t="shared" si="56"/>
        <v>0</v>
      </c>
      <c r="DR43" s="29">
        <f t="shared" si="71"/>
        <v>0</v>
      </c>
      <c r="DS43" s="38">
        <f t="shared" si="72"/>
        <v>0</v>
      </c>
      <c r="DT43" s="32">
        <f t="shared" si="63"/>
        <v>0</v>
      </c>
      <c r="DU43" s="32" t="e">
        <f t="shared" si="64"/>
        <v>#DIV/0!</v>
      </c>
      <c r="DW43" s="38" t="e">
        <f t="shared" si="73"/>
        <v>#DIV/0!</v>
      </c>
      <c r="DX43" s="42" t="e">
        <f t="shared" si="74"/>
        <v>#DIV/0!</v>
      </c>
      <c r="DY43" s="38" t="e">
        <f t="shared" si="75"/>
        <v>#DIV/0!</v>
      </c>
      <c r="DZ43" s="42" t="e">
        <f t="shared" si="76"/>
        <v>#DIV/0!</v>
      </c>
      <c r="EA43" s="38" t="e">
        <f t="shared" si="77"/>
        <v>#DIV/0!</v>
      </c>
      <c r="EB43" s="42" t="e">
        <f t="shared" si="78"/>
        <v>#DIV/0!</v>
      </c>
    </row>
    <row r="44" spans="1:132" ht="11.45" customHeight="1" x14ac:dyDescent="0.2">
      <c r="A44" s="346" t="str">
        <f t="shared" si="38"/>
        <v/>
      </c>
      <c r="B44" s="346"/>
      <c r="C44" s="346"/>
      <c r="D44" s="346"/>
      <c r="E44" s="346"/>
      <c r="F44" s="346"/>
      <c r="G44" s="346"/>
      <c r="H44" s="346"/>
      <c r="I44" s="318" t="str">
        <f t="shared" si="39"/>
        <v/>
      </c>
      <c r="J44" s="318"/>
      <c r="K44" s="318"/>
      <c r="L44" s="318"/>
      <c r="M44" s="318"/>
      <c r="N44" s="318"/>
      <c r="O44" s="318"/>
      <c r="P44" s="313"/>
      <c r="Q44" s="313"/>
      <c r="R44" s="313"/>
      <c r="S44" s="313"/>
      <c r="T44" s="313"/>
      <c r="U44" s="308" t="str">
        <f t="shared" si="40"/>
        <v/>
      </c>
      <c r="V44" s="308"/>
      <c r="W44" s="308"/>
      <c r="X44" s="308"/>
      <c r="Y44" s="308"/>
      <c r="Z44" s="308"/>
      <c r="AA44" s="308"/>
      <c r="AB44" s="308"/>
      <c r="AC44" s="309"/>
      <c r="AD44" s="308"/>
      <c r="AE44" s="308"/>
      <c r="AF44" s="308"/>
      <c r="AG44" s="308"/>
      <c r="AH44" s="309"/>
      <c r="AI44" s="308"/>
      <c r="AJ44" s="308"/>
      <c r="AK44" s="308"/>
      <c r="AL44" s="308"/>
      <c r="AM44" s="308"/>
      <c r="AN44" s="308"/>
      <c r="AO44" s="308"/>
      <c r="AP44" s="308"/>
      <c r="AQ44" s="308"/>
      <c r="AR44" s="308"/>
      <c r="AS44" s="308"/>
      <c r="AT44" s="308"/>
      <c r="AU44" s="308"/>
      <c r="AV44" s="308"/>
      <c r="AW44" s="308"/>
      <c r="AX44" s="308"/>
      <c r="AY44" s="312"/>
      <c r="AZ44" s="312"/>
      <c r="BA44" s="312"/>
      <c r="BB44" s="312"/>
      <c r="BC44" s="312"/>
      <c r="BD44" s="311" t="str">
        <f t="shared" si="57"/>
        <v/>
      </c>
      <c r="BE44" s="311"/>
      <c r="BF44" s="311"/>
      <c r="BG44" s="311"/>
      <c r="BH44" s="311"/>
      <c r="BI44" s="423" t="str">
        <f t="shared" si="41"/>
        <v/>
      </c>
      <c r="BJ44" s="423"/>
      <c r="BK44" s="423"/>
      <c r="BL44" s="423"/>
      <c r="BM44" s="423"/>
      <c r="BN44" s="311" t="str">
        <f t="shared" si="42"/>
        <v/>
      </c>
      <c r="BO44" s="311"/>
      <c r="BP44" s="311"/>
      <c r="BQ44" s="311"/>
      <c r="BR44" s="311"/>
      <c r="BS44" s="332" t="str">
        <f t="shared" si="43"/>
        <v/>
      </c>
      <c r="BT44" s="332"/>
      <c r="BU44" s="332"/>
      <c r="BV44" s="332"/>
      <c r="BW44" s="332"/>
      <c r="BX44" s="311" t="str">
        <f t="shared" si="44"/>
        <v/>
      </c>
      <c r="BY44" s="311"/>
      <c r="BZ44" s="311"/>
      <c r="CA44" s="311"/>
      <c r="CB44" s="311"/>
      <c r="CC44" s="311" t="str">
        <f t="shared" si="45"/>
        <v/>
      </c>
      <c r="CD44" s="311"/>
      <c r="CE44" s="311"/>
      <c r="CF44" s="311"/>
      <c r="CG44" s="311"/>
      <c r="CH44" s="55"/>
      <c r="CI44" s="323" t="s">
        <v>511</v>
      </c>
      <c r="CJ44" s="324"/>
      <c r="CK44" s="324"/>
      <c r="CL44" s="325"/>
      <c r="CN44" s="107" t="s">
        <v>199</v>
      </c>
      <c r="CP44" s="87">
        <f t="shared" si="46"/>
        <v>0</v>
      </c>
      <c r="CR44" s="28" t="e">
        <f t="shared" si="47"/>
        <v>#VALUE!</v>
      </c>
      <c r="CS44" s="29" t="str">
        <f t="shared" si="48"/>
        <v/>
      </c>
      <c r="CU44" s="28">
        <f t="shared" si="49"/>
        <v>32</v>
      </c>
      <c r="CV44" s="31">
        <f t="shared" si="50"/>
        <v>32</v>
      </c>
      <c r="CW44" s="32">
        <f t="shared" si="65"/>
        <v>32</v>
      </c>
      <c r="CX44" s="32">
        <f t="shared" si="58"/>
        <v>32</v>
      </c>
      <c r="CY44" s="26"/>
      <c r="CZ44" s="28">
        <f t="shared" si="51"/>
        <v>0</v>
      </c>
      <c r="DA44" s="28">
        <f t="shared" si="52"/>
        <v>0</v>
      </c>
      <c r="DB44" s="34">
        <f t="shared" si="66"/>
        <v>0</v>
      </c>
      <c r="DC44" s="32">
        <f t="shared" si="59"/>
        <v>0</v>
      </c>
      <c r="DD44" s="35"/>
      <c r="DE44" s="28" t="e">
        <f t="shared" si="53"/>
        <v>#DIV/0!</v>
      </c>
      <c r="DF44" s="31" t="e">
        <f t="shared" si="54"/>
        <v>#DIV/0!</v>
      </c>
      <c r="DG44" s="32" t="e">
        <f t="shared" si="67"/>
        <v>#DIV/0!</v>
      </c>
      <c r="DH44" s="32" t="e">
        <f t="shared" si="60"/>
        <v>#DIV/0!</v>
      </c>
      <c r="DI44" s="32" t="e">
        <f t="shared" si="61"/>
        <v>#DIV/0!</v>
      </c>
      <c r="DK44" s="38" t="e">
        <f t="shared" si="55"/>
        <v>#DIV/0!</v>
      </c>
      <c r="DL44" s="41" t="e">
        <f t="shared" si="68"/>
        <v>#DIV/0!</v>
      </c>
      <c r="DM44" s="38" t="e">
        <f t="shared" si="69"/>
        <v>#DIV/0!</v>
      </c>
      <c r="DN44" s="32" t="e">
        <f t="shared" si="62"/>
        <v>#DIV/0!</v>
      </c>
      <c r="DO44" s="32" t="e">
        <f t="shared" si="70"/>
        <v>#DIV/0!</v>
      </c>
      <c r="DQ44" s="38">
        <f t="shared" si="56"/>
        <v>0</v>
      </c>
      <c r="DR44" s="29">
        <f t="shared" si="71"/>
        <v>0</v>
      </c>
      <c r="DS44" s="38">
        <f t="shared" si="72"/>
        <v>0</v>
      </c>
      <c r="DT44" s="32">
        <f t="shared" si="63"/>
        <v>0</v>
      </c>
      <c r="DU44" s="32" t="e">
        <f t="shared" si="64"/>
        <v>#DIV/0!</v>
      </c>
      <c r="DW44" s="38" t="e">
        <f t="shared" si="73"/>
        <v>#DIV/0!</v>
      </c>
      <c r="DX44" s="42" t="e">
        <f t="shared" si="74"/>
        <v>#DIV/0!</v>
      </c>
      <c r="DY44" s="38" t="e">
        <f t="shared" si="75"/>
        <v>#DIV/0!</v>
      </c>
      <c r="DZ44" s="42" t="e">
        <f t="shared" si="76"/>
        <v>#DIV/0!</v>
      </c>
      <c r="EA44" s="38" t="e">
        <f t="shared" si="77"/>
        <v>#DIV/0!</v>
      </c>
      <c r="EB44" s="42" t="e">
        <f t="shared" si="78"/>
        <v>#DIV/0!</v>
      </c>
    </row>
    <row r="45" spans="1:132" ht="11.45" customHeight="1" x14ac:dyDescent="0.2">
      <c r="A45" s="346" t="str">
        <f t="shared" si="38"/>
        <v/>
      </c>
      <c r="B45" s="346"/>
      <c r="C45" s="346"/>
      <c r="D45" s="346"/>
      <c r="E45" s="346"/>
      <c r="F45" s="346"/>
      <c r="G45" s="346"/>
      <c r="H45" s="346"/>
      <c r="I45" s="318" t="str">
        <f t="shared" si="39"/>
        <v/>
      </c>
      <c r="J45" s="318"/>
      <c r="K45" s="318"/>
      <c r="L45" s="318"/>
      <c r="M45" s="318"/>
      <c r="N45" s="318"/>
      <c r="O45" s="318"/>
      <c r="P45" s="313"/>
      <c r="Q45" s="313"/>
      <c r="R45" s="313"/>
      <c r="S45" s="313"/>
      <c r="T45" s="313"/>
      <c r="U45" s="308" t="str">
        <f t="shared" si="40"/>
        <v/>
      </c>
      <c r="V45" s="308"/>
      <c r="W45" s="308"/>
      <c r="X45" s="308"/>
      <c r="Y45" s="308"/>
      <c r="Z45" s="308"/>
      <c r="AA45" s="308"/>
      <c r="AB45" s="308"/>
      <c r="AC45" s="309"/>
      <c r="AD45" s="308"/>
      <c r="AE45" s="308"/>
      <c r="AF45" s="308"/>
      <c r="AG45" s="308"/>
      <c r="AH45" s="309"/>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t="str">
        <f t="shared" si="57"/>
        <v/>
      </c>
      <c r="BE45" s="311"/>
      <c r="BF45" s="311"/>
      <c r="BG45" s="311"/>
      <c r="BH45" s="311"/>
      <c r="BI45" s="423" t="str">
        <f t="shared" si="41"/>
        <v/>
      </c>
      <c r="BJ45" s="423"/>
      <c r="BK45" s="423"/>
      <c r="BL45" s="423"/>
      <c r="BM45" s="423"/>
      <c r="BN45" s="311" t="str">
        <f>IF(OR(BD45="",BI45=""),"",BD45*BI45)</f>
        <v/>
      </c>
      <c r="BO45" s="311"/>
      <c r="BP45" s="311"/>
      <c r="BQ45" s="311"/>
      <c r="BR45" s="311"/>
      <c r="BS45" s="332" t="str">
        <f t="shared" si="43"/>
        <v/>
      </c>
      <c r="BT45" s="332"/>
      <c r="BU45" s="332"/>
      <c r="BV45" s="332"/>
      <c r="BW45" s="332"/>
      <c r="BX45" s="311" t="str">
        <f t="shared" si="44"/>
        <v/>
      </c>
      <c r="BY45" s="311"/>
      <c r="BZ45" s="311"/>
      <c r="CA45" s="311"/>
      <c r="CB45" s="311"/>
      <c r="CC45" s="311" t="str">
        <f t="shared" si="45"/>
        <v/>
      </c>
      <c r="CD45" s="311"/>
      <c r="CE45" s="311"/>
      <c r="CF45" s="311"/>
      <c r="CG45" s="311"/>
      <c r="CH45" s="55"/>
      <c r="CI45" s="326"/>
      <c r="CJ45" s="327"/>
      <c r="CK45" s="327"/>
      <c r="CL45" s="328"/>
      <c r="CN45" s="87" t="s">
        <v>200</v>
      </c>
      <c r="CP45" s="87">
        <f t="shared" si="46"/>
        <v>0</v>
      </c>
      <c r="CR45" s="28" t="e">
        <f t="shared" si="47"/>
        <v>#VALUE!</v>
      </c>
      <c r="CS45" s="29" t="str">
        <f t="shared" si="48"/>
        <v/>
      </c>
      <c r="CU45" s="28">
        <f t="shared" si="49"/>
        <v>32</v>
      </c>
      <c r="CV45" s="31">
        <f t="shared" si="50"/>
        <v>32</v>
      </c>
      <c r="CW45" s="32">
        <f t="shared" si="65"/>
        <v>32</v>
      </c>
      <c r="CX45" s="32">
        <f t="shared" si="58"/>
        <v>32</v>
      </c>
      <c r="CY45" s="26"/>
      <c r="CZ45" s="28">
        <f t="shared" si="51"/>
        <v>0</v>
      </c>
      <c r="DA45" s="28">
        <f t="shared" si="52"/>
        <v>0</v>
      </c>
      <c r="DB45" s="34">
        <f t="shared" si="66"/>
        <v>0</v>
      </c>
      <c r="DC45" s="32">
        <f t="shared" si="59"/>
        <v>0</v>
      </c>
      <c r="DD45" s="35"/>
      <c r="DE45" s="28" t="e">
        <f t="shared" si="53"/>
        <v>#DIV/0!</v>
      </c>
      <c r="DF45" s="31" t="e">
        <f t="shared" si="54"/>
        <v>#DIV/0!</v>
      </c>
      <c r="DG45" s="32" t="e">
        <f t="shared" si="67"/>
        <v>#DIV/0!</v>
      </c>
      <c r="DH45" s="32" t="e">
        <f t="shared" si="60"/>
        <v>#DIV/0!</v>
      </c>
      <c r="DI45" s="32" t="e">
        <f>DH45*(1+((EXP(((0.01374979547/2)*(((103.872/DH45)+0.2701)*(1/DH45)))*(1+(0.8*((0.01374979547/2)*(((103.872/DH45)+0.2701)*(1/DH45))))))-1)/(1+(((0.01374979547/2)*(((103.872/DH45)+0.2701)*(1/DH45)))*(1+(1.6*((0.01374979547/2)*(((103.872/DH45)+0.2701)*(1/DH45)))))*(((2*103.872)+(0.2701+DH45))/(103.872+(0.2701*DH45)))))))</f>
        <v>#DIV/0!</v>
      </c>
      <c r="DK45" s="38" t="e">
        <f t="shared" si="55"/>
        <v>#DIV/0!</v>
      </c>
      <c r="DL45" s="41" t="e">
        <f t="shared" si="68"/>
        <v>#DIV/0!</v>
      </c>
      <c r="DM45" s="38" t="e">
        <f t="shared" si="69"/>
        <v>#DIV/0!</v>
      </c>
      <c r="DN45" s="32" t="e">
        <f t="shared" si="62"/>
        <v>#DIV/0!</v>
      </c>
      <c r="DO45" s="32" t="e">
        <f t="shared" si="70"/>
        <v>#DIV/0!</v>
      </c>
      <c r="DQ45" s="38">
        <f t="shared" si="56"/>
        <v>0</v>
      </c>
      <c r="DR45" s="29">
        <f t="shared" si="71"/>
        <v>0</v>
      </c>
      <c r="DS45" s="38">
        <f t="shared" si="72"/>
        <v>0</v>
      </c>
      <c r="DT45" s="32">
        <f t="shared" si="63"/>
        <v>0</v>
      </c>
      <c r="DU45" s="32" t="e">
        <f t="shared" si="64"/>
        <v>#DIV/0!</v>
      </c>
      <c r="DW45" s="38" t="e">
        <f t="shared" si="73"/>
        <v>#DIV/0!</v>
      </c>
      <c r="DX45" s="42" t="e">
        <f t="shared" si="74"/>
        <v>#DIV/0!</v>
      </c>
      <c r="DY45" s="38" t="e">
        <f t="shared" si="75"/>
        <v>#DIV/0!</v>
      </c>
      <c r="DZ45" s="42" t="e">
        <f t="shared" si="76"/>
        <v>#DIV/0!</v>
      </c>
      <c r="EA45" s="38" t="e">
        <f t="shared" si="77"/>
        <v>#DIV/0!</v>
      </c>
      <c r="EB45" s="42" t="e">
        <f t="shared" si="78"/>
        <v>#DIV/0!</v>
      </c>
    </row>
    <row r="46" spans="1:132" ht="11.45" customHeight="1" x14ac:dyDescent="0.2">
      <c r="A46" s="346" t="str">
        <f t="shared" si="38"/>
        <v/>
      </c>
      <c r="B46" s="346"/>
      <c r="C46" s="346"/>
      <c r="D46" s="346"/>
      <c r="E46" s="346"/>
      <c r="F46" s="346"/>
      <c r="G46" s="346"/>
      <c r="H46" s="346"/>
      <c r="I46" s="318" t="str">
        <f t="shared" si="39"/>
        <v/>
      </c>
      <c r="J46" s="318"/>
      <c r="K46" s="318"/>
      <c r="L46" s="318"/>
      <c r="M46" s="318"/>
      <c r="N46" s="318"/>
      <c r="O46" s="318"/>
      <c r="P46" s="313"/>
      <c r="Q46" s="313"/>
      <c r="R46" s="313"/>
      <c r="S46" s="313"/>
      <c r="T46" s="313"/>
      <c r="U46" s="308" t="str">
        <f t="shared" si="40"/>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si="57"/>
        <v/>
      </c>
      <c r="BE46" s="311"/>
      <c r="BF46" s="311"/>
      <c r="BG46" s="311"/>
      <c r="BH46" s="311"/>
      <c r="BI46" s="423" t="str">
        <f t="shared" si="41"/>
        <v/>
      </c>
      <c r="BJ46" s="423"/>
      <c r="BK46" s="423"/>
      <c r="BL46" s="423"/>
      <c r="BM46" s="423"/>
      <c r="BN46" s="311" t="str">
        <f t="shared" si="42"/>
        <v/>
      </c>
      <c r="BO46" s="311"/>
      <c r="BP46" s="311"/>
      <c r="BQ46" s="311"/>
      <c r="BR46" s="311"/>
      <c r="BS46" s="332" t="str">
        <f t="shared" si="43"/>
        <v/>
      </c>
      <c r="BT46" s="332"/>
      <c r="BU46" s="332"/>
      <c r="BV46" s="332"/>
      <c r="BW46" s="332"/>
      <c r="BX46" s="311" t="str">
        <f t="shared" si="44"/>
        <v/>
      </c>
      <c r="BY46" s="311"/>
      <c r="BZ46" s="311"/>
      <c r="CA46" s="311"/>
      <c r="CB46" s="311"/>
      <c r="CC46" s="311" t="str">
        <f t="shared" si="45"/>
        <v/>
      </c>
      <c r="CD46" s="311"/>
      <c r="CE46" s="311"/>
      <c r="CF46" s="311"/>
      <c r="CG46" s="311"/>
      <c r="CH46" s="55"/>
      <c r="CI46" s="108" t="s">
        <v>506</v>
      </c>
      <c r="CJ46" s="109"/>
      <c r="CK46" s="139"/>
      <c r="CL46" s="21" t="s">
        <v>453</v>
      </c>
      <c r="CN46" s="87" t="s">
        <v>201</v>
      </c>
      <c r="CP46" s="87">
        <f t="shared" si="46"/>
        <v>0</v>
      </c>
      <c r="CR46" s="28" t="e">
        <f t="shared" si="47"/>
        <v>#VALUE!</v>
      </c>
      <c r="CS46" s="29" t="str">
        <f t="shared" si="48"/>
        <v/>
      </c>
      <c r="CU46" s="28">
        <f t="shared" si="49"/>
        <v>32</v>
      </c>
      <c r="CV46" s="31">
        <f t="shared" si="50"/>
        <v>32</v>
      </c>
      <c r="CW46" s="32">
        <f t="shared" si="65"/>
        <v>32</v>
      </c>
      <c r="CX46" s="32">
        <f t="shared" si="58"/>
        <v>32</v>
      </c>
      <c r="CY46" s="26"/>
      <c r="CZ46" s="28">
        <f t="shared" si="51"/>
        <v>0</v>
      </c>
      <c r="DA46" s="28">
        <f t="shared" si="52"/>
        <v>0</v>
      </c>
      <c r="DB46" s="34">
        <f t="shared" si="66"/>
        <v>0</v>
      </c>
      <c r="DC46" s="32">
        <f t="shared" si="59"/>
        <v>0</v>
      </c>
      <c r="DD46" s="35"/>
      <c r="DE46" s="28" t="e">
        <f t="shared" si="53"/>
        <v>#DIV/0!</v>
      </c>
      <c r="DF46" s="31" t="e">
        <f t="shared" si="54"/>
        <v>#DIV/0!</v>
      </c>
      <c r="DG46" s="32" t="e">
        <f t="shared" si="67"/>
        <v>#DIV/0!</v>
      </c>
      <c r="DH46" s="32" t="e">
        <f t="shared" si="60"/>
        <v>#DIV/0!</v>
      </c>
      <c r="DI46" s="32" t="e">
        <f t="shared" si="61"/>
        <v>#DIV/0!</v>
      </c>
      <c r="DK46" s="38" t="e">
        <f t="shared" si="55"/>
        <v>#DIV/0!</v>
      </c>
      <c r="DL46" s="41" t="e">
        <f t="shared" si="68"/>
        <v>#DIV/0!</v>
      </c>
      <c r="DM46" s="38" t="e">
        <f t="shared" si="69"/>
        <v>#DIV/0!</v>
      </c>
      <c r="DN46" s="32" t="e">
        <f t="shared" si="62"/>
        <v>#DIV/0!</v>
      </c>
      <c r="DO46" s="32" t="e">
        <f t="shared" si="70"/>
        <v>#DIV/0!</v>
      </c>
      <c r="DQ46" s="38">
        <f t="shared" si="56"/>
        <v>0</v>
      </c>
      <c r="DR46" s="29">
        <f t="shared" si="71"/>
        <v>0</v>
      </c>
      <c r="DS46" s="38">
        <f t="shared" si="72"/>
        <v>0</v>
      </c>
      <c r="DT46" s="32">
        <f t="shared" si="63"/>
        <v>0</v>
      </c>
      <c r="DU46" s="32" t="e">
        <f t="shared" si="64"/>
        <v>#DIV/0!</v>
      </c>
      <c r="DW46" s="38" t="e">
        <f t="shared" si="73"/>
        <v>#DIV/0!</v>
      </c>
      <c r="DX46" s="42" t="e">
        <f t="shared" si="74"/>
        <v>#DIV/0!</v>
      </c>
      <c r="DY46" s="38" t="e">
        <f t="shared" si="75"/>
        <v>#DIV/0!</v>
      </c>
      <c r="DZ46" s="42" t="e">
        <f t="shared" si="76"/>
        <v>#DIV/0!</v>
      </c>
      <c r="EA46" s="38" t="e">
        <f t="shared" si="77"/>
        <v>#DIV/0!</v>
      </c>
      <c r="EB46" s="42" t="e">
        <f t="shared" si="78"/>
        <v>#DIV/0!</v>
      </c>
    </row>
    <row r="47" spans="1:132" ht="11.45" customHeight="1" x14ac:dyDescent="0.2">
      <c r="A47" s="346" t="str">
        <f t="shared" si="38"/>
        <v/>
      </c>
      <c r="B47" s="346"/>
      <c r="C47" s="346"/>
      <c r="D47" s="346"/>
      <c r="E47" s="346"/>
      <c r="F47" s="346"/>
      <c r="G47" s="346"/>
      <c r="H47" s="346"/>
      <c r="I47" s="318" t="str">
        <f t="shared" si="39"/>
        <v/>
      </c>
      <c r="J47" s="318"/>
      <c r="K47" s="318"/>
      <c r="L47" s="318"/>
      <c r="M47" s="318"/>
      <c r="N47" s="318"/>
      <c r="O47" s="318"/>
      <c r="P47" s="313"/>
      <c r="Q47" s="313"/>
      <c r="R47" s="313"/>
      <c r="S47" s="313"/>
      <c r="T47" s="313"/>
      <c r="U47" s="308" t="str">
        <f t="shared" si="40"/>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7"/>
        <v/>
      </c>
      <c r="BE47" s="311"/>
      <c r="BF47" s="311"/>
      <c r="BG47" s="311"/>
      <c r="BH47" s="311"/>
      <c r="BI47" s="423" t="str">
        <f t="shared" si="41"/>
        <v/>
      </c>
      <c r="BJ47" s="423"/>
      <c r="BK47" s="423"/>
      <c r="BL47" s="423"/>
      <c r="BM47" s="423"/>
      <c r="BN47" s="311" t="str">
        <f t="shared" si="42"/>
        <v/>
      </c>
      <c r="BO47" s="311"/>
      <c r="BP47" s="311"/>
      <c r="BQ47" s="311"/>
      <c r="BR47" s="311"/>
      <c r="BS47" s="332" t="str">
        <f t="shared" si="43"/>
        <v/>
      </c>
      <c r="BT47" s="332"/>
      <c r="BU47" s="332"/>
      <c r="BV47" s="332"/>
      <c r="BW47" s="332"/>
      <c r="BX47" s="311" t="str">
        <f t="shared" si="44"/>
        <v/>
      </c>
      <c r="BY47" s="311"/>
      <c r="BZ47" s="311"/>
      <c r="CA47" s="311"/>
      <c r="CB47" s="311"/>
      <c r="CC47" s="311" t="str">
        <f t="shared" si="45"/>
        <v/>
      </c>
      <c r="CD47" s="311"/>
      <c r="CE47" s="311"/>
      <c r="CF47" s="311"/>
      <c r="CG47" s="311"/>
      <c r="CH47" s="55"/>
      <c r="CI47" s="5" t="s">
        <v>507</v>
      </c>
      <c r="CK47" s="22"/>
      <c r="CL47" s="7" t="s">
        <v>453</v>
      </c>
      <c r="CN47" s="87" t="s">
        <v>202</v>
      </c>
      <c r="CP47" s="87">
        <f t="shared" si="46"/>
        <v>0</v>
      </c>
      <c r="CR47" s="28" t="e">
        <f t="shared" si="47"/>
        <v>#VALUE!</v>
      </c>
      <c r="CS47" s="29" t="str">
        <f t="shared" si="48"/>
        <v/>
      </c>
      <c r="CU47" s="28">
        <f t="shared" si="49"/>
        <v>32</v>
      </c>
      <c r="CV47" s="31">
        <f t="shared" si="50"/>
        <v>32</v>
      </c>
      <c r="CW47" s="32">
        <f t="shared" si="65"/>
        <v>32</v>
      </c>
      <c r="CX47" s="32">
        <f t="shared" si="58"/>
        <v>32</v>
      </c>
      <c r="CY47" s="26"/>
      <c r="CZ47" s="28">
        <f t="shared" si="51"/>
        <v>0</v>
      </c>
      <c r="DA47" s="28">
        <f t="shared" si="52"/>
        <v>0</v>
      </c>
      <c r="DB47" s="34">
        <f t="shared" si="66"/>
        <v>0</v>
      </c>
      <c r="DC47" s="32">
        <f t="shared" si="59"/>
        <v>0</v>
      </c>
      <c r="DD47" s="35"/>
      <c r="DE47" s="28" t="e">
        <f t="shared" si="53"/>
        <v>#DIV/0!</v>
      </c>
      <c r="DF47" s="31" t="e">
        <f t="shared" si="54"/>
        <v>#DIV/0!</v>
      </c>
      <c r="DG47" s="32" t="e">
        <f t="shared" si="67"/>
        <v>#DIV/0!</v>
      </c>
      <c r="DH47" s="32" t="e">
        <f t="shared" si="60"/>
        <v>#DIV/0!</v>
      </c>
      <c r="DI47" s="32" t="e">
        <f t="shared" si="61"/>
        <v>#DIV/0!</v>
      </c>
      <c r="DK47" s="38" t="e">
        <f t="shared" si="55"/>
        <v>#DIV/0!</v>
      </c>
      <c r="DL47" s="41" t="e">
        <f t="shared" si="68"/>
        <v>#DIV/0!</v>
      </c>
      <c r="DM47" s="38" t="e">
        <f t="shared" si="69"/>
        <v>#DIV/0!</v>
      </c>
      <c r="DN47" s="32" t="e">
        <f t="shared" si="62"/>
        <v>#DIV/0!</v>
      </c>
      <c r="DO47" s="32" t="e">
        <f t="shared" si="70"/>
        <v>#DIV/0!</v>
      </c>
      <c r="DQ47" s="38">
        <f t="shared" si="56"/>
        <v>0</v>
      </c>
      <c r="DR47" s="29">
        <f t="shared" si="71"/>
        <v>0</v>
      </c>
      <c r="DS47" s="38">
        <f t="shared" si="72"/>
        <v>0</v>
      </c>
      <c r="DT47" s="32">
        <f t="shared" si="63"/>
        <v>0</v>
      </c>
      <c r="DU47" s="32" t="e">
        <f t="shared" si="64"/>
        <v>#DIV/0!</v>
      </c>
      <c r="DW47" s="38" t="e">
        <f t="shared" si="73"/>
        <v>#DIV/0!</v>
      </c>
      <c r="DX47" s="42" t="e">
        <f t="shared" si="74"/>
        <v>#DIV/0!</v>
      </c>
      <c r="DY47" s="38" t="e">
        <f t="shared" si="75"/>
        <v>#DIV/0!</v>
      </c>
      <c r="DZ47" s="42" t="e">
        <f t="shared" si="76"/>
        <v>#DIV/0!</v>
      </c>
      <c r="EA47" s="38" t="e">
        <f t="shared" si="77"/>
        <v>#DIV/0!</v>
      </c>
      <c r="EB47" s="42" t="e">
        <f t="shared" si="78"/>
        <v>#DIV/0!</v>
      </c>
    </row>
    <row r="48" spans="1:132" ht="11.45" customHeight="1" x14ac:dyDescent="0.2">
      <c r="A48" s="346" t="str">
        <f t="shared" si="38"/>
        <v/>
      </c>
      <c r="B48" s="346"/>
      <c r="C48" s="346"/>
      <c r="D48" s="346"/>
      <c r="E48" s="346"/>
      <c r="F48" s="346"/>
      <c r="G48" s="346"/>
      <c r="H48" s="346"/>
      <c r="I48" s="318" t="str">
        <f t="shared" si="39"/>
        <v/>
      </c>
      <c r="J48" s="318"/>
      <c r="K48" s="318"/>
      <c r="L48" s="318"/>
      <c r="M48" s="318"/>
      <c r="N48" s="318"/>
      <c r="O48" s="318"/>
      <c r="P48" s="313"/>
      <c r="Q48" s="313"/>
      <c r="R48" s="313"/>
      <c r="S48" s="313"/>
      <c r="T48" s="313"/>
      <c r="U48" s="308" t="str">
        <f t="shared" si="40"/>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7"/>
        <v/>
      </c>
      <c r="BE48" s="311"/>
      <c r="BF48" s="311"/>
      <c r="BG48" s="311"/>
      <c r="BH48" s="311"/>
      <c r="BI48" s="423" t="str">
        <f t="shared" si="41"/>
        <v/>
      </c>
      <c r="BJ48" s="423"/>
      <c r="BK48" s="423"/>
      <c r="BL48" s="423"/>
      <c r="BM48" s="423"/>
      <c r="BN48" s="311" t="str">
        <f t="shared" si="42"/>
        <v/>
      </c>
      <c r="BO48" s="311"/>
      <c r="BP48" s="311"/>
      <c r="BQ48" s="311"/>
      <c r="BR48" s="311"/>
      <c r="BS48" s="332" t="str">
        <f t="shared" si="43"/>
        <v/>
      </c>
      <c r="BT48" s="332"/>
      <c r="BU48" s="332"/>
      <c r="BV48" s="332"/>
      <c r="BW48" s="332"/>
      <c r="BX48" s="311" t="str">
        <f t="shared" si="44"/>
        <v/>
      </c>
      <c r="BY48" s="311"/>
      <c r="BZ48" s="311"/>
      <c r="CA48" s="311"/>
      <c r="CB48" s="311"/>
      <c r="CC48" s="311" t="str">
        <f t="shared" si="45"/>
        <v/>
      </c>
      <c r="CD48" s="311"/>
      <c r="CE48" s="311"/>
      <c r="CF48" s="311"/>
      <c r="CG48" s="311"/>
      <c r="CH48" s="55"/>
      <c r="CI48" s="5" t="s">
        <v>508</v>
      </c>
      <c r="CK48" s="35"/>
      <c r="CL48" s="7" t="s">
        <v>512</v>
      </c>
      <c r="CN48" s="87" t="s">
        <v>203</v>
      </c>
      <c r="CP48" s="2">
        <f t="shared" si="46"/>
        <v>0</v>
      </c>
      <c r="CR48" s="45" t="e">
        <f t="shared" si="47"/>
        <v>#VALUE!</v>
      </c>
      <c r="CS48" s="46" t="str">
        <f t="shared" si="48"/>
        <v/>
      </c>
      <c r="CU48" s="45">
        <f t="shared" si="49"/>
        <v>32</v>
      </c>
      <c r="CV48" s="47">
        <f t="shared" si="50"/>
        <v>32</v>
      </c>
      <c r="CW48" s="48">
        <f>ROUND(CU48,1)</f>
        <v>32</v>
      </c>
      <c r="CX48" s="48">
        <f t="shared" si="58"/>
        <v>32</v>
      </c>
      <c r="CZ48" s="45">
        <f t="shared" si="51"/>
        <v>0</v>
      </c>
      <c r="DA48" s="45">
        <f t="shared" si="52"/>
        <v>0</v>
      </c>
      <c r="DB48" s="49">
        <f>ROUND(CZ48,1)</f>
        <v>0</v>
      </c>
      <c r="DC48" s="48">
        <f t="shared" si="59"/>
        <v>0</v>
      </c>
      <c r="DD48" s="35"/>
      <c r="DE48" s="45" t="e">
        <f t="shared" si="53"/>
        <v>#DIV/0!</v>
      </c>
      <c r="DF48" s="47" t="e">
        <f t="shared" si="54"/>
        <v>#DIV/0!</v>
      </c>
      <c r="DG48" s="48" t="e">
        <f>ROUND(DE48,1)</f>
        <v>#DIV/0!</v>
      </c>
      <c r="DH48" s="48" t="e">
        <f t="shared" si="60"/>
        <v>#DIV/0!</v>
      </c>
      <c r="DI48" s="48" t="e">
        <f t="shared" si="61"/>
        <v>#DIV/0!</v>
      </c>
      <c r="DK48" s="50" t="e">
        <f t="shared" si="55"/>
        <v>#DIV/0!</v>
      </c>
      <c r="DL48" s="51" t="e">
        <f>ROUND(DK48*5,2)/5</f>
        <v>#DIV/0!</v>
      </c>
      <c r="DM48" s="50" t="e">
        <f>ROUND(DK48,4)</f>
        <v>#DIV/0!</v>
      </c>
      <c r="DN48" s="48" t="e">
        <f t="shared" si="62"/>
        <v>#DIV/0!</v>
      </c>
      <c r="DO48" s="48" t="e">
        <f>DN48*(1+((EXP(((0.01374979547/2)*(((103.872/DN48)+0.2701)*(1/DN48)))*(1+(0.8*((0.01374979547/2)*(((103.872/DN48)+0.2701)*(1/DN48))))))-1)/(1+(((0.01374979547/2)*(((103.872/DN48)+0.2701)*(1/DN48)))*(1+(1.6*((0.01374979547/2)*(((103.872/DN48)+0.2701)*(1/DN48)))))*(((2*103.872)+(0.2701+DN48))/(103.872+(0.2701*DN48)))))))</f>
        <v>#DIV/0!</v>
      </c>
      <c r="DQ48" s="50">
        <f t="shared" si="56"/>
        <v>0</v>
      </c>
      <c r="DR48" s="46">
        <f>ROUND(DQ48*5,2)/5</f>
        <v>0</v>
      </c>
      <c r="DS48" s="50">
        <f>ROUND(DQ48,4)</f>
        <v>0</v>
      </c>
      <c r="DT48" s="48">
        <f t="shared" si="63"/>
        <v>0</v>
      </c>
      <c r="DU48" s="48" t="e">
        <f t="shared" si="64"/>
        <v>#DIV/0!</v>
      </c>
      <c r="DW48" s="50" t="e">
        <f>ROUND(EXP(-((103.872/(((141.5/(DF48+131.5))*999.012)^2))+(0.2701/((141.5/(DF48+131.5))*999.012)))*(CV48-60)*(1+(0.8*((103.872/(((141.5/(DF48+131.5))*999.012)^2))+(0.2701/((141.5/(DF48+131.5))*999.012)))*(CV48-60)))),4)</f>
        <v>#DIV/0!</v>
      </c>
      <c r="DX48" s="52" t="e">
        <f>ROUND(EXP(-(((103.872/DI48)+0.2701)*(1/DI48))*(CX48-60.0068749)*(1+(0.8*(((103.872/DI48)+0.2701)*(1/DI48))*((CX48-60.0068749)+0.01374979547)))),5)</f>
        <v>#DIV/0!</v>
      </c>
      <c r="DY48" s="50" t="e">
        <f>ROUND(EXP(-((103.872/((DL48*999.012)^2))+(0.2701/(DL48*999.012)))*(CV48-60)*(1+(0.8*((103.872/((DL48*999.012)^2))+(0.2701/(DL48*999.012)))*(CV48-60)))),4)</f>
        <v>#DIV/0!</v>
      </c>
      <c r="DZ48" s="52" t="e">
        <f>ROUND(EXP(-(((103.872/DO48)+0.2701)*(1/DO48))*(CX48-60.0068749)*(1+(0.8*(((103.872/DO48)+0.2701)*(1/DO48))*((CX48-60.0068749)+0.01374979547)))),5)</f>
        <v>#DIV/0!</v>
      </c>
      <c r="EA48" s="50" t="e">
        <f>ROUND(EXP(-((186.9696/((DR48*1000)^2))+(0.4862/(DR48*1000)))*(DA48-15)*(1+(0.8*((186.9696/((DR48*1000)^2))+(0.4862/(DR48*1000)))*(DA48-15)))),4)</f>
        <v>#DIV/0!</v>
      </c>
      <c r="EB48" s="52" t="e">
        <f>ROUND(EXP(-((((186.9696/DU48)+0.4862)*(1/DU48)))*(DC48-15.00367851)*(1+(0.8*((((186.9696/DU48)+0.4862)*(1/DU48)))*((DC48-15.00367851)+0.01374979547)))),5)</f>
        <v>#DIV/0!</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t="str">
        <f>IF(COUNT(AJ37:AN48)=0,"",ROUND(SUM(AJ37:AN48),3))</f>
        <v/>
      </c>
      <c r="AK49" s="321"/>
      <c r="AL49" s="321"/>
      <c r="AM49" s="321"/>
      <c r="AN49" s="322"/>
      <c r="AO49" s="341" t="s">
        <v>214</v>
      </c>
      <c r="AP49" s="341"/>
      <c r="AQ49" s="341"/>
      <c r="AR49" s="341"/>
      <c r="AS49" s="341"/>
      <c r="AT49" s="320" t="str">
        <f>IF(COUNT(AT37:AX48)=0,"",ROUND(SUM(AT37:AX48),3))</f>
        <v/>
      </c>
      <c r="AU49" s="321"/>
      <c r="AV49" s="321"/>
      <c r="AW49" s="321"/>
      <c r="AX49" s="322"/>
      <c r="AY49" s="341" t="s">
        <v>211</v>
      </c>
      <c r="AZ49" s="341"/>
      <c r="BA49" s="341"/>
      <c r="BB49" s="341"/>
      <c r="BC49" s="341"/>
      <c r="BD49" s="320" t="str">
        <f>IF(COUNT(BD37:BH48)=0,"",ROUND(SUM(BD37:BH48),3))</f>
        <v/>
      </c>
      <c r="BE49" s="321"/>
      <c r="BF49" s="321"/>
      <c r="BG49" s="321"/>
      <c r="BH49" s="322"/>
      <c r="BI49" s="341" t="s">
        <v>210</v>
      </c>
      <c r="BJ49" s="341"/>
      <c r="BK49" s="341"/>
      <c r="BL49" s="341"/>
      <c r="BM49" s="341"/>
      <c r="BN49" s="320" t="str">
        <f>IF(COUNT(BN37:BR48)=0,"",ROUND(SUM(BN37:BR48),3))</f>
        <v/>
      </c>
      <c r="BO49" s="321"/>
      <c r="BP49" s="321"/>
      <c r="BQ49" s="321"/>
      <c r="BR49" s="322"/>
      <c r="BS49" s="341" t="s">
        <v>209</v>
      </c>
      <c r="BT49" s="341"/>
      <c r="BU49" s="341"/>
      <c r="BV49" s="341"/>
      <c r="BW49" s="341"/>
      <c r="BX49" s="320" t="str">
        <f>IF(COUNT(BX37:CB48)=0,"",ROUND(SUM(BX37:CB48),3))</f>
        <v/>
      </c>
      <c r="BY49" s="321"/>
      <c r="BZ49" s="321"/>
      <c r="CA49" s="321"/>
      <c r="CB49" s="322"/>
      <c r="CC49" s="320" t="str">
        <f>IF(COUNT(CC37:CG48)=0,"",ROUND(SUM(CC37:CG48),3))</f>
        <v/>
      </c>
      <c r="CD49" s="321"/>
      <c r="CE49" s="321"/>
      <c r="CF49" s="321"/>
      <c r="CG49" s="322"/>
      <c r="CH49" s="55"/>
      <c r="CI49" s="5" t="s">
        <v>509</v>
      </c>
      <c r="CK49" s="91"/>
      <c r="CL49" s="7" t="s">
        <v>512</v>
      </c>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c r="CI50" s="137" t="s">
        <v>510</v>
      </c>
      <c r="CJ50" s="138"/>
      <c r="CK50" s="140" t="str">
        <f>IF(OR(CK46="",CK47="",CK48="",CK49=""),"",((CK46*CK48)+((CK47-CK46)*CK49))/CK47)</f>
        <v/>
      </c>
      <c r="CL50" s="11" t="s">
        <v>512</v>
      </c>
    </row>
    <row r="51" spans="1:131" ht="11.45" hidden="1" customHeight="1" x14ac:dyDescent="0.2">
      <c r="A51" s="389" t="s">
        <v>437</v>
      </c>
      <c r="B51" s="389"/>
      <c r="C51" s="389"/>
      <c r="D51" s="389"/>
      <c r="E51" s="389"/>
      <c r="F51" s="389"/>
      <c r="G51" s="389"/>
      <c r="H51" s="389"/>
      <c r="I51" s="389"/>
      <c r="J51" s="389"/>
      <c r="K51" s="389"/>
      <c r="L51" s="389"/>
      <c r="M51" s="389"/>
      <c r="N51" s="389"/>
      <c r="O51" s="389"/>
      <c r="P51" s="389"/>
      <c r="Q51" s="389"/>
      <c r="R51" s="389"/>
      <c r="S51" s="389"/>
      <c r="T51" s="389"/>
      <c r="U51" s="389"/>
      <c r="V51" s="389" t="s">
        <v>438</v>
      </c>
      <c r="W51" s="389"/>
      <c r="X51" s="389"/>
      <c r="Y51" s="389"/>
      <c r="Z51" s="389"/>
      <c r="AA51" s="389"/>
      <c r="AB51" s="389"/>
      <c r="AC51" s="389"/>
      <c r="AD51" s="389"/>
      <c r="AE51" s="389"/>
      <c r="AF51" s="389"/>
      <c r="AG51" s="389"/>
      <c r="AH51" s="389"/>
      <c r="AI51" s="389"/>
      <c r="AJ51" s="389"/>
      <c r="AK51" s="389"/>
      <c r="AL51" s="389"/>
      <c r="AM51" s="389"/>
      <c r="AN51" s="389"/>
      <c r="AO51" s="389"/>
      <c r="AP51" s="389"/>
      <c r="AQ51" s="389" t="s">
        <v>439</v>
      </c>
      <c r="AR51" s="389"/>
      <c r="AS51" s="389"/>
      <c r="AT51" s="389"/>
      <c r="AU51" s="389"/>
      <c r="AV51" s="389"/>
      <c r="AW51" s="389"/>
      <c r="AX51" s="389"/>
      <c r="AY51" s="389"/>
      <c r="AZ51" s="389"/>
      <c r="BA51" s="389"/>
      <c r="BB51" s="389"/>
      <c r="BC51" s="389"/>
      <c r="BD51" s="389"/>
      <c r="BE51" s="389"/>
      <c r="BF51" s="389"/>
      <c r="BG51" s="389"/>
      <c r="BH51" s="389"/>
      <c r="BI51" s="389"/>
      <c r="BJ51" s="389"/>
      <c r="BK51" s="389"/>
      <c r="BL51" s="389" t="s">
        <v>440</v>
      </c>
      <c r="BM51" s="389"/>
      <c r="BN51" s="389"/>
      <c r="BO51" s="389"/>
      <c r="BP51" s="389"/>
      <c r="BQ51" s="389"/>
      <c r="BR51" s="389"/>
      <c r="BS51" s="389"/>
      <c r="BT51" s="389"/>
      <c r="BU51" s="389"/>
      <c r="BV51" s="389"/>
      <c r="BW51" s="389"/>
      <c r="BX51" s="389"/>
      <c r="BY51" s="389"/>
      <c r="BZ51" s="389"/>
      <c r="CA51" s="389"/>
      <c r="CB51" s="389"/>
      <c r="CC51" s="389"/>
      <c r="CD51" s="389"/>
      <c r="CE51" s="389"/>
      <c r="CF51" s="389"/>
      <c r="CG51" s="389"/>
    </row>
    <row r="52" spans="1:131" ht="11.45" hidden="1" customHeight="1" x14ac:dyDescent="0.2">
      <c r="A52" s="332" t="str">
        <f>IF('Bunker Certificate 2'!U25="","",'Bunker Certificate 2'!U25)</f>
        <v/>
      </c>
      <c r="B52" s="332"/>
      <c r="C52" s="332"/>
      <c r="D52" s="332"/>
      <c r="E52" s="332"/>
      <c r="F52" s="332"/>
      <c r="G52" s="332"/>
      <c r="H52" s="332"/>
      <c r="I52" s="332"/>
      <c r="J52" s="332"/>
      <c r="K52" s="332"/>
      <c r="L52" s="332"/>
      <c r="M52" s="332"/>
      <c r="N52" s="332"/>
      <c r="O52" s="332"/>
      <c r="P52" s="332"/>
      <c r="Q52" s="332"/>
      <c r="R52" s="332"/>
      <c r="S52" s="332"/>
      <c r="T52" s="332"/>
      <c r="U52" s="332"/>
      <c r="V52" s="311" t="str">
        <f>IF(OR(AQ52="",BL52=""),"",BL52/AQ52)</f>
        <v/>
      </c>
      <c r="W52" s="311"/>
      <c r="X52" s="311"/>
      <c r="Y52" s="311"/>
      <c r="Z52" s="311"/>
      <c r="AA52" s="311"/>
      <c r="AB52" s="311"/>
      <c r="AC52" s="311"/>
      <c r="AD52" s="311"/>
      <c r="AE52" s="311"/>
      <c r="AF52" s="311"/>
      <c r="AG52" s="311"/>
      <c r="AH52" s="311"/>
      <c r="AI52" s="311"/>
      <c r="AJ52" s="311"/>
      <c r="AK52" s="311"/>
      <c r="AL52" s="311"/>
      <c r="AM52" s="311"/>
      <c r="AN52" s="311"/>
      <c r="AO52" s="311"/>
      <c r="AP52" s="311"/>
      <c r="AQ52" s="332" t="str">
        <f>IF(A52="","",A52-0.0011)</f>
        <v/>
      </c>
      <c r="AR52" s="332"/>
      <c r="AS52" s="332"/>
      <c r="AT52" s="332"/>
      <c r="AU52" s="332"/>
      <c r="AV52" s="332"/>
      <c r="AW52" s="332"/>
      <c r="AX52" s="332"/>
      <c r="AY52" s="332"/>
      <c r="AZ52" s="332"/>
      <c r="BA52" s="332"/>
      <c r="BB52" s="332"/>
      <c r="BC52" s="332"/>
      <c r="BD52" s="332"/>
      <c r="BE52" s="332"/>
      <c r="BF52" s="332"/>
      <c r="BG52" s="332"/>
      <c r="BH52" s="332"/>
      <c r="BI52" s="332"/>
      <c r="BJ52" s="332"/>
      <c r="BK52" s="332"/>
      <c r="BL52" s="311" t="str">
        <f>IF(BR11="","",BR11)</f>
        <v/>
      </c>
      <c r="BM52" s="311"/>
      <c r="BN52" s="311"/>
      <c r="BO52" s="311"/>
      <c r="BP52" s="311"/>
      <c r="BQ52" s="311"/>
      <c r="BR52" s="311"/>
      <c r="BS52" s="311"/>
      <c r="BT52" s="311"/>
      <c r="BU52" s="311"/>
      <c r="BV52" s="311"/>
      <c r="BW52" s="311"/>
      <c r="BX52" s="311"/>
      <c r="BY52" s="311"/>
      <c r="BZ52" s="311"/>
      <c r="CA52" s="311"/>
      <c r="CB52" s="311"/>
      <c r="CC52" s="311"/>
      <c r="CD52" s="311"/>
      <c r="CE52" s="311"/>
      <c r="CF52" s="311"/>
      <c r="CG52" s="311"/>
      <c r="CN52" s="1" t="s">
        <v>222</v>
      </c>
    </row>
    <row r="53" spans="1:131" ht="11.45" hidden="1" customHeight="1" x14ac:dyDescent="0.2">
      <c r="A53" s="159" t="s">
        <v>441</v>
      </c>
      <c r="B53" s="159"/>
      <c r="C53" s="159"/>
      <c r="D53" s="159"/>
      <c r="E53" s="90" t="s">
        <v>0</v>
      </c>
      <c r="F53" s="198"/>
      <c r="G53" s="198"/>
      <c r="H53" s="198"/>
      <c r="I53" s="198"/>
      <c r="J53" s="198"/>
      <c r="K53" s="198"/>
      <c r="L53" s="198"/>
      <c r="M53" s="198"/>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N53" s="100">
        <f>IF(BI17=CN44,1,IF(BI17=CN45,2,IF(BI17=CN46,3,IF(BI17=CN47,4,IF(BI17=CN48,5,6)))))</f>
        <v>6</v>
      </c>
    </row>
    <row r="54" spans="1:131" ht="11.45" customHeight="1" x14ac:dyDescent="0.2">
      <c r="A54" s="154"/>
      <c r="B54" s="154"/>
      <c r="C54" s="215" t="str">
        <f>IF('Data Entry'!N29="","",'Data Entry'!N29)&amp;IF(OR('Data Entry'!N29="",'Data Entry'!N30=""),""," / Licence No")&amp; IF('Data Entry'!N30="","",'Data Entry'!N30)</f>
        <v>MEHMET EROĞLU</v>
      </c>
      <c r="D54" s="215"/>
      <c r="E54" s="215"/>
      <c r="F54" s="215"/>
      <c r="G54" s="215"/>
      <c r="H54" s="215"/>
      <c r="I54" s="215"/>
      <c r="J54" s="215"/>
      <c r="K54" s="215"/>
      <c r="L54" s="215"/>
      <c r="M54" s="215"/>
      <c r="N54" s="215"/>
      <c r="O54" s="215"/>
      <c r="P54" s="215"/>
      <c r="Q54" s="154"/>
      <c r="R54" s="154"/>
      <c r="S54" s="154"/>
      <c r="T54" s="154"/>
      <c r="U54" s="154"/>
      <c r="V54" s="154"/>
      <c r="W54" s="154"/>
      <c r="X54" s="154"/>
      <c r="Y54" s="154"/>
      <c r="Z54" s="154"/>
      <c r="AA54" s="154"/>
      <c r="AB54" s="154"/>
      <c r="AC54" s="154"/>
      <c r="AD54" s="154"/>
      <c r="AE54" s="154"/>
      <c r="AF54" s="154"/>
      <c r="AG54" s="154"/>
      <c r="AH54" s="154"/>
      <c r="AI54" s="154"/>
      <c r="AJ54" s="154"/>
      <c r="AK54" s="215" t="str">
        <f>IF('Data Entry'!N18="","",'Data Entry'!N18)</f>
        <v/>
      </c>
      <c r="AL54" s="215"/>
      <c r="AM54" s="215"/>
      <c r="AN54" s="215"/>
      <c r="AO54" s="215"/>
      <c r="AP54" s="215"/>
      <c r="AQ54" s="215"/>
      <c r="AR54" s="215"/>
      <c r="AS54" s="215"/>
      <c r="AT54" s="215"/>
      <c r="AU54" s="215"/>
      <c r="AV54" s="215"/>
      <c r="AW54" s="215"/>
      <c r="AX54" s="215"/>
      <c r="AY54" s="154"/>
      <c r="AZ54" s="154"/>
      <c r="BA54" s="154"/>
      <c r="BB54" s="154"/>
      <c r="BC54" s="154"/>
      <c r="BD54" s="154"/>
      <c r="BE54" s="154"/>
      <c r="BF54" s="154"/>
      <c r="BG54" s="154"/>
      <c r="BH54" s="154"/>
      <c r="BI54" s="154"/>
      <c r="BJ54" s="154"/>
      <c r="BK54" s="154"/>
      <c r="BL54" s="154"/>
      <c r="BM54" s="154"/>
      <c r="BN54" s="154"/>
      <c r="BO54" s="154"/>
      <c r="BP54" s="154"/>
      <c r="BQ54" s="154"/>
      <c r="BR54" s="215" t="str">
        <f>IF('Data Entry'!N9="","",'Data Entry'!N9)</f>
        <v/>
      </c>
      <c r="BS54" s="215"/>
      <c r="BT54" s="215"/>
      <c r="BU54" s="215"/>
      <c r="BV54" s="215"/>
      <c r="BW54" s="215"/>
      <c r="BX54" s="215"/>
      <c r="BY54" s="215"/>
      <c r="BZ54" s="215"/>
      <c r="CA54" s="215"/>
      <c r="CB54" s="215"/>
      <c r="CC54" s="215"/>
      <c r="CD54" s="215"/>
      <c r="CE54" s="215"/>
      <c r="CF54" s="375"/>
      <c r="CG54" s="375"/>
      <c r="CN54" s="91"/>
    </row>
    <row r="55" spans="1:131" ht="11.45" customHeight="1" x14ac:dyDescent="0.2">
      <c r="A55" s="154"/>
      <c r="B55" s="154"/>
      <c r="C55" s="215"/>
      <c r="D55" s="215"/>
      <c r="E55" s="215"/>
      <c r="F55" s="215"/>
      <c r="G55" s="215"/>
      <c r="H55" s="215"/>
      <c r="I55" s="215"/>
      <c r="J55" s="215"/>
      <c r="K55" s="215"/>
      <c r="L55" s="215"/>
      <c r="M55" s="215"/>
      <c r="N55" s="215"/>
      <c r="O55" s="215"/>
      <c r="P55" s="215"/>
      <c r="Q55" s="154"/>
      <c r="R55" s="154"/>
      <c r="S55" s="154"/>
      <c r="T55" s="154"/>
      <c r="U55" s="154"/>
      <c r="V55" s="154"/>
      <c r="W55" s="154"/>
      <c r="X55" s="154"/>
      <c r="Y55" s="154"/>
      <c r="Z55" s="154"/>
      <c r="AA55" s="154"/>
      <c r="AB55" s="154"/>
      <c r="AC55" s="154"/>
      <c r="AD55" s="154"/>
      <c r="AE55" s="154"/>
      <c r="AF55" s="154"/>
      <c r="AG55" s="154"/>
      <c r="AH55" s="154"/>
      <c r="AI55" s="154"/>
      <c r="AJ55" s="154"/>
      <c r="AK55" s="215"/>
      <c r="AL55" s="215"/>
      <c r="AM55" s="215"/>
      <c r="AN55" s="215"/>
      <c r="AO55" s="215"/>
      <c r="AP55" s="215"/>
      <c r="AQ55" s="215"/>
      <c r="AR55" s="215"/>
      <c r="AS55" s="215"/>
      <c r="AT55" s="215"/>
      <c r="AU55" s="215"/>
      <c r="AV55" s="215"/>
      <c r="AW55" s="215"/>
      <c r="AX55" s="215"/>
      <c r="AY55" s="154"/>
      <c r="AZ55" s="154"/>
      <c r="BA55" s="154"/>
      <c r="BB55" s="154"/>
      <c r="BC55" s="154"/>
      <c r="BD55" s="154"/>
      <c r="BE55" s="154"/>
      <c r="BF55" s="154"/>
      <c r="BG55" s="154"/>
      <c r="BH55" s="154"/>
      <c r="BI55" s="154"/>
      <c r="BJ55" s="154"/>
      <c r="BK55" s="154"/>
      <c r="BL55" s="154"/>
      <c r="BM55" s="154"/>
      <c r="BN55" s="154"/>
      <c r="BO55" s="154"/>
      <c r="BP55" s="154"/>
      <c r="BQ55" s="154"/>
      <c r="BR55" s="215"/>
      <c r="BS55" s="215"/>
      <c r="BT55" s="215"/>
      <c r="BU55" s="215"/>
      <c r="BV55" s="215"/>
      <c r="BW55" s="215"/>
      <c r="BX55" s="215"/>
      <c r="BY55" s="215"/>
      <c r="BZ55" s="215"/>
      <c r="CA55" s="215"/>
      <c r="CB55" s="215"/>
      <c r="CC55" s="215"/>
      <c r="CD55" s="215"/>
      <c r="CE55" s="215"/>
      <c r="CF55" s="375"/>
      <c r="CG55" s="375"/>
    </row>
    <row r="56" spans="1:131" ht="11.45" customHeight="1" x14ac:dyDescent="0.2">
      <c r="A56" s="154"/>
      <c r="B56" s="154"/>
      <c r="C56" s="216"/>
      <c r="D56" s="216"/>
      <c r="E56" s="216"/>
      <c r="F56" s="216"/>
      <c r="G56" s="216"/>
      <c r="H56" s="216"/>
      <c r="I56" s="216"/>
      <c r="J56" s="216"/>
      <c r="K56" s="216"/>
      <c r="L56" s="216"/>
      <c r="M56" s="216"/>
      <c r="N56" s="216"/>
      <c r="O56" s="216"/>
      <c r="P56" s="216"/>
      <c r="Q56" s="154"/>
      <c r="R56" s="154"/>
      <c r="S56" s="154"/>
      <c r="T56" s="154"/>
      <c r="U56" s="154"/>
      <c r="V56" s="154"/>
      <c r="W56" s="154"/>
      <c r="X56" s="154"/>
      <c r="Y56" s="154"/>
      <c r="Z56" s="154"/>
      <c r="AA56" s="154"/>
      <c r="AB56" s="154"/>
      <c r="AC56" s="154"/>
      <c r="AD56" s="154"/>
      <c r="AE56" s="154"/>
      <c r="AF56" s="154"/>
      <c r="AG56" s="154"/>
      <c r="AH56" s="154"/>
      <c r="AI56" s="154"/>
      <c r="AJ56" s="154"/>
      <c r="AK56" s="216"/>
      <c r="AL56" s="216"/>
      <c r="AM56" s="216"/>
      <c r="AN56" s="216"/>
      <c r="AO56" s="216"/>
      <c r="AP56" s="216"/>
      <c r="AQ56" s="216"/>
      <c r="AR56" s="216"/>
      <c r="AS56" s="216"/>
      <c r="AT56" s="216"/>
      <c r="AU56" s="216"/>
      <c r="AV56" s="216"/>
      <c r="AW56" s="216"/>
      <c r="AX56" s="216"/>
      <c r="AY56" s="154"/>
      <c r="AZ56" s="154"/>
      <c r="BA56" s="154"/>
      <c r="BB56" s="154"/>
      <c r="BC56" s="154"/>
      <c r="BD56" s="154"/>
      <c r="BE56" s="154"/>
      <c r="BF56" s="154"/>
      <c r="BG56" s="154"/>
      <c r="BH56" s="154"/>
      <c r="BI56" s="154"/>
      <c r="BJ56" s="154"/>
      <c r="BK56" s="154"/>
      <c r="BL56" s="154"/>
      <c r="BM56" s="154"/>
      <c r="BN56" s="154"/>
      <c r="BO56" s="154"/>
      <c r="BP56" s="154"/>
      <c r="BQ56" s="154"/>
      <c r="BR56" s="216"/>
      <c r="BS56" s="216"/>
      <c r="BT56" s="216"/>
      <c r="BU56" s="216"/>
      <c r="BV56" s="216"/>
      <c r="BW56" s="216"/>
      <c r="BX56" s="216"/>
      <c r="BY56" s="216"/>
      <c r="BZ56" s="216"/>
      <c r="CA56" s="216"/>
      <c r="CB56" s="216"/>
      <c r="CC56" s="216"/>
      <c r="CD56" s="216"/>
      <c r="CE56" s="216"/>
      <c r="CF56" s="375"/>
      <c r="CG56" s="375"/>
      <c r="CN56" s="1" t="s">
        <v>425</v>
      </c>
    </row>
    <row r="57" spans="1:131" ht="11.45" customHeight="1" x14ac:dyDescent="0.2">
      <c r="A57" s="154"/>
      <c r="B57" s="154"/>
      <c r="C57" s="211" t="s">
        <v>184</v>
      </c>
      <c r="D57" s="211"/>
      <c r="E57" s="211"/>
      <c r="F57" s="211"/>
      <c r="G57" s="211"/>
      <c r="H57" s="211"/>
      <c r="I57" s="211"/>
      <c r="J57" s="211"/>
      <c r="K57" s="211"/>
      <c r="L57" s="211"/>
      <c r="M57" s="211"/>
      <c r="N57" s="211"/>
      <c r="O57" s="211"/>
      <c r="P57" s="211"/>
      <c r="Q57" s="154"/>
      <c r="R57" s="154"/>
      <c r="S57" s="154"/>
      <c r="T57" s="154"/>
      <c r="U57" s="154"/>
      <c r="V57" s="154"/>
      <c r="W57" s="154"/>
      <c r="X57" s="154"/>
      <c r="Y57" s="154"/>
      <c r="Z57" s="154"/>
      <c r="AA57" s="154"/>
      <c r="AB57" s="154"/>
      <c r="AC57" s="154"/>
      <c r="AD57" s="154"/>
      <c r="AE57" s="154"/>
      <c r="AF57" s="154"/>
      <c r="AG57" s="154"/>
      <c r="AH57" s="154"/>
      <c r="AI57" s="154"/>
      <c r="AJ57" s="154"/>
      <c r="AK57" s="218" t="s">
        <v>51</v>
      </c>
      <c r="AL57" s="218"/>
      <c r="AM57" s="218"/>
      <c r="AN57" s="218"/>
      <c r="AO57" s="218"/>
      <c r="AP57" s="218"/>
      <c r="AQ57" s="218"/>
      <c r="AR57" s="218"/>
      <c r="AS57" s="218"/>
      <c r="AT57" s="218"/>
      <c r="AU57" s="218"/>
      <c r="AV57" s="218"/>
      <c r="AW57" s="218"/>
      <c r="AX57" s="218"/>
      <c r="AY57" s="154"/>
      <c r="AZ57" s="154"/>
      <c r="BA57" s="154"/>
      <c r="BB57" s="154"/>
      <c r="BC57" s="154"/>
      <c r="BD57" s="154"/>
      <c r="BE57" s="154"/>
      <c r="BF57" s="154"/>
      <c r="BG57" s="154"/>
      <c r="BH57" s="154"/>
      <c r="BI57" s="154"/>
      <c r="BJ57" s="154"/>
      <c r="BK57" s="154"/>
      <c r="BL57" s="154"/>
      <c r="BM57" s="154"/>
      <c r="BN57" s="154"/>
      <c r="BO57" s="154"/>
      <c r="BP57" s="154"/>
      <c r="BQ57" s="154"/>
      <c r="BR57" s="218" t="s">
        <v>17</v>
      </c>
      <c r="BS57" s="218"/>
      <c r="BT57" s="218"/>
      <c r="BU57" s="218"/>
      <c r="BV57" s="218"/>
      <c r="BW57" s="218"/>
      <c r="BX57" s="218"/>
      <c r="BY57" s="218"/>
      <c r="BZ57" s="218"/>
      <c r="CA57" s="218"/>
      <c r="CB57" s="218"/>
      <c r="CC57" s="218"/>
      <c r="CD57" s="218"/>
      <c r="CE57" s="218"/>
      <c r="CF57" s="375"/>
      <c r="CG57" s="375"/>
      <c r="CM57" s="91"/>
      <c r="CN57" s="107" t="s">
        <v>429</v>
      </c>
      <c r="CO57" s="91"/>
      <c r="CP57" s="91"/>
      <c r="CQ57" s="91"/>
    </row>
    <row r="58" spans="1:131" ht="11.45" hidden="1" customHeight="1" x14ac:dyDescent="0.2">
      <c r="A58" s="390" t="s">
        <v>442</v>
      </c>
      <c r="B58" s="390"/>
      <c r="C58" s="390"/>
      <c r="D58" s="390"/>
      <c r="E58" s="390" t="s">
        <v>0</v>
      </c>
      <c r="F58" s="374" t="s">
        <v>443</v>
      </c>
      <c r="G58" s="374"/>
      <c r="H58" s="374"/>
      <c r="I58" s="374"/>
      <c r="J58" s="374"/>
      <c r="K58" s="374"/>
      <c r="L58" s="374"/>
      <c r="M58" s="374"/>
      <c r="N58" s="374"/>
      <c r="O58" s="374"/>
      <c r="P58" s="374"/>
      <c r="Q58" s="374"/>
      <c r="R58" s="374"/>
      <c r="S58" s="374"/>
      <c r="T58" s="374"/>
      <c r="U58" s="374"/>
      <c r="V58" s="374"/>
      <c r="W58" s="374"/>
      <c r="X58" s="374"/>
      <c r="Y58" s="374"/>
      <c r="Z58" s="374" t="s">
        <v>438</v>
      </c>
      <c r="AA58" s="374"/>
      <c r="AB58" s="374"/>
      <c r="AC58" s="374"/>
      <c r="AD58" s="374"/>
      <c r="AE58" s="374"/>
      <c r="AF58" s="374"/>
      <c r="AG58" s="374"/>
      <c r="AH58" s="374"/>
      <c r="AI58" s="374"/>
      <c r="AJ58" s="374"/>
      <c r="AK58" s="374"/>
      <c r="AL58" s="374"/>
      <c r="AM58" s="374"/>
      <c r="AN58" s="374"/>
      <c r="AO58" s="374"/>
      <c r="AP58" s="374"/>
      <c r="AQ58" s="374"/>
      <c r="AR58" s="374"/>
      <c r="AS58" s="374"/>
      <c r="AT58" s="374" t="s">
        <v>439</v>
      </c>
      <c r="AU58" s="374"/>
      <c r="AV58" s="374"/>
      <c r="AW58" s="374"/>
      <c r="AX58" s="374"/>
      <c r="AY58" s="374"/>
      <c r="AZ58" s="374"/>
      <c r="BA58" s="374"/>
      <c r="BB58" s="374"/>
      <c r="BC58" s="374"/>
      <c r="BD58" s="374"/>
      <c r="BE58" s="374"/>
      <c r="BF58" s="374"/>
      <c r="BG58" s="374"/>
      <c r="BH58" s="374"/>
      <c r="BI58" s="374"/>
      <c r="BJ58" s="374"/>
      <c r="BK58" s="374"/>
      <c r="BL58" s="374"/>
      <c r="BM58" s="374"/>
      <c r="BN58" s="374" t="s">
        <v>440</v>
      </c>
      <c r="BO58" s="374"/>
      <c r="BP58" s="374"/>
      <c r="BQ58" s="374"/>
      <c r="BR58" s="374"/>
      <c r="BS58" s="374"/>
      <c r="BT58" s="374"/>
      <c r="BU58" s="374"/>
      <c r="BV58" s="374"/>
      <c r="BW58" s="374"/>
      <c r="BX58" s="374"/>
      <c r="BY58" s="374"/>
      <c r="BZ58" s="374"/>
      <c r="CA58" s="374"/>
      <c r="CB58" s="374"/>
      <c r="CC58" s="374"/>
      <c r="CD58" s="374"/>
      <c r="CE58" s="374"/>
      <c r="CF58" s="374"/>
      <c r="CG58" s="374"/>
      <c r="CN58" s="87" t="s">
        <v>430</v>
      </c>
    </row>
    <row r="59" spans="1:131" ht="11.45" hidden="1" customHeight="1" x14ac:dyDescent="0.2">
      <c r="A59" s="390"/>
      <c r="B59" s="390"/>
      <c r="C59" s="390"/>
      <c r="D59" s="390"/>
      <c r="E59" s="390"/>
      <c r="F59" s="313"/>
      <c r="G59" s="313"/>
      <c r="H59" s="313"/>
      <c r="I59" s="313"/>
      <c r="J59" s="313"/>
      <c r="K59" s="313"/>
      <c r="L59" s="313"/>
      <c r="M59" s="313"/>
      <c r="N59" s="313"/>
      <c r="O59" s="313"/>
      <c r="P59" s="313"/>
      <c r="Q59" s="313"/>
      <c r="R59" s="313"/>
      <c r="S59" s="313"/>
      <c r="T59" s="313"/>
      <c r="U59" s="313"/>
      <c r="V59" s="313"/>
      <c r="W59" s="313"/>
      <c r="X59" s="313"/>
      <c r="Y59" s="313"/>
      <c r="Z59" s="308" t="str">
        <f>IF(V52="","",V52)</f>
        <v/>
      </c>
      <c r="AA59" s="308"/>
      <c r="AB59" s="308"/>
      <c r="AC59" s="308"/>
      <c r="AD59" s="308"/>
      <c r="AE59" s="308"/>
      <c r="AF59" s="308"/>
      <c r="AG59" s="308"/>
      <c r="AH59" s="308"/>
      <c r="AI59" s="308"/>
      <c r="AJ59" s="308"/>
      <c r="AK59" s="308"/>
      <c r="AL59" s="308"/>
      <c r="AM59" s="308"/>
      <c r="AN59" s="308"/>
      <c r="AO59" s="308"/>
      <c r="AP59" s="308"/>
      <c r="AQ59" s="308"/>
      <c r="AR59" s="308"/>
      <c r="AS59" s="308"/>
      <c r="AT59" s="313" t="str">
        <f>IF(F59="","",F59-0.0011)</f>
        <v/>
      </c>
      <c r="AU59" s="313"/>
      <c r="AV59" s="313"/>
      <c r="AW59" s="313"/>
      <c r="AX59" s="313"/>
      <c r="AY59" s="313"/>
      <c r="AZ59" s="313"/>
      <c r="BA59" s="313"/>
      <c r="BB59" s="313"/>
      <c r="BC59" s="313"/>
      <c r="BD59" s="313"/>
      <c r="BE59" s="313"/>
      <c r="BF59" s="313"/>
      <c r="BG59" s="313"/>
      <c r="BH59" s="313"/>
      <c r="BI59" s="313"/>
      <c r="BJ59" s="313"/>
      <c r="BK59" s="313"/>
      <c r="BL59" s="313"/>
      <c r="BM59" s="313"/>
      <c r="BN59" s="308" t="str">
        <f>IF(OR(Z59="",AT59=""),"",Z59*AT59)</f>
        <v/>
      </c>
      <c r="BO59" s="308"/>
      <c r="BP59" s="308"/>
      <c r="BQ59" s="308"/>
      <c r="BR59" s="308"/>
      <c r="BS59" s="308"/>
      <c r="BT59" s="308"/>
      <c r="BU59" s="308"/>
      <c r="BV59" s="308"/>
      <c r="BW59" s="308"/>
      <c r="BX59" s="308"/>
      <c r="BY59" s="308"/>
      <c r="BZ59" s="308"/>
      <c r="CA59" s="308"/>
      <c r="CB59" s="308"/>
      <c r="CC59" s="308"/>
      <c r="CD59" s="308"/>
      <c r="CE59" s="308"/>
      <c r="CF59" s="308"/>
      <c r="CG59" s="308"/>
      <c r="CN59" s="87" t="s">
        <v>444</v>
      </c>
      <c r="DW59" s="91"/>
      <c r="DX59" s="91"/>
      <c r="DZ59" s="91"/>
      <c r="EA59" s="91"/>
    </row>
    <row r="60" spans="1:131" ht="11.45" customHeight="1" x14ac:dyDescent="0.2">
      <c r="A60" s="148" t="s">
        <v>153</v>
      </c>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9" t="str">
        <f>'Data Entry'!AK9</f>
        <v>LTS-CUS-F-01 rev 2.0</v>
      </c>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c r="BS60" s="149"/>
      <c r="BT60" s="149"/>
      <c r="BU60" s="149"/>
      <c r="BV60" s="149"/>
      <c r="BW60" s="149"/>
      <c r="BX60" s="149"/>
      <c r="BY60" s="149"/>
      <c r="BZ60" s="149"/>
      <c r="CA60" s="149"/>
      <c r="CB60" s="149"/>
      <c r="CC60" s="149"/>
      <c r="CD60" s="149"/>
      <c r="CE60" s="149"/>
      <c r="CF60" s="149"/>
      <c r="CG60" s="149"/>
      <c r="CN60" s="87" t="s">
        <v>430</v>
      </c>
    </row>
    <row r="61" spans="1:131" ht="11.45" customHeight="1" x14ac:dyDescent="0.2">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N61" s="87" t="s">
        <v>444</v>
      </c>
      <c r="DW61" s="91"/>
      <c r="DX61" s="91"/>
      <c r="DZ61" s="91"/>
      <c r="EA61" s="91"/>
    </row>
    <row r="62" spans="1:131" ht="11.45" customHeight="1" x14ac:dyDescent="0.2">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N62" s="2" t="s">
        <v>431</v>
      </c>
      <c r="DW62" s="35"/>
      <c r="DX62" s="56"/>
      <c r="DZ62" s="35"/>
      <c r="EA62" s="56"/>
    </row>
    <row r="63" spans="1:131" ht="11.45" customHeight="1" x14ac:dyDescent="0.2">
      <c r="CB63" s="90"/>
      <c r="CC63" s="90"/>
      <c r="CD63" s="90"/>
      <c r="CE63" s="90"/>
      <c r="CF63" s="90"/>
      <c r="CG63" s="90"/>
      <c r="CN63" s="91"/>
      <c r="DW63" s="35"/>
      <c r="DX63" s="56"/>
      <c r="DZ63" s="35"/>
      <c r="EA63" s="56"/>
    </row>
    <row r="64" spans="1:131" ht="11.45" customHeight="1" x14ac:dyDescent="0.2">
      <c r="DW64" s="35"/>
      <c r="DX64" s="56"/>
      <c r="DZ64" s="35"/>
      <c r="EA64" s="56"/>
    </row>
    <row r="65" spans="92:131" ht="11.45" customHeight="1" x14ac:dyDescent="0.2">
      <c r="CN65" s="1" t="s">
        <v>428</v>
      </c>
      <c r="DW65" s="35"/>
      <c r="DX65" s="56"/>
      <c r="DZ65" s="35"/>
      <c r="EA65" s="56"/>
    </row>
    <row r="66" spans="92:131" ht="11.45" customHeight="1" x14ac:dyDescent="0.2">
      <c r="CN66" s="107" t="s">
        <v>432</v>
      </c>
      <c r="DW66" s="35"/>
      <c r="DX66" s="56"/>
      <c r="DZ66" s="35"/>
      <c r="EA66" s="56"/>
    </row>
    <row r="67" spans="92:131" ht="11.45" customHeight="1" x14ac:dyDescent="0.2">
      <c r="CN67" s="2" t="s">
        <v>433</v>
      </c>
      <c r="DW67" s="35"/>
      <c r="DX67" s="56"/>
      <c r="DZ67" s="35"/>
      <c r="EA67" s="56"/>
    </row>
    <row r="68" spans="92:131" ht="11.45" customHeight="1" x14ac:dyDescent="0.2">
      <c r="DW68" s="35"/>
      <c r="DX68" s="56"/>
      <c r="DZ68" s="35"/>
      <c r="EA68" s="56"/>
    </row>
    <row r="69" spans="92:131" ht="11.45" customHeight="1" x14ac:dyDescent="0.2">
      <c r="DW69" s="35"/>
      <c r="DX69" s="56"/>
      <c r="DZ69" s="35"/>
      <c r="EA69" s="56"/>
    </row>
    <row r="70" spans="92:131" ht="11.45" customHeight="1" x14ac:dyDescent="0.2">
      <c r="DW70" s="35"/>
      <c r="DX70" s="56"/>
      <c r="DZ70" s="35"/>
      <c r="EA70" s="56"/>
    </row>
    <row r="71" spans="92:131" ht="11.45" customHeight="1" x14ac:dyDescent="0.2">
      <c r="DW71" s="35"/>
      <c r="DX71" s="56"/>
      <c r="DZ71" s="35"/>
      <c r="EA71" s="56"/>
    </row>
  </sheetData>
  <sheetProtection formatCells="0" selectLockedCells="1"/>
  <mergeCells count="643">
    <mergeCell ref="CI44:CL45"/>
    <mergeCell ref="A45:H45"/>
    <mergeCell ref="I45:O45"/>
    <mergeCell ref="P48:T48"/>
    <mergeCell ref="U48:Y48"/>
    <mergeCell ref="Z48:AD48"/>
    <mergeCell ref="AE48:AI48"/>
    <mergeCell ref="AY49:BC49"/>
    <mergeCell ref="BD49:BH49"/>
    <mergeCell ref="BI49:BM49"/>
    <mergeCell ref="U47:Y47"/>
    <mergeCell ref="Z47:AD47"/>
    <mergeCell ref="A47:H47"/>
    <mergeCell ref="I47:O47"/>
    <mergeCell ref="P47:T47"/>
    <mergeCell ref="P45:T45"/>
    <mergeCell ref="U45:Y45"/>
    <mergeCell ref="AT49:AX49"/>
    <mergeCell ref="AE49:AI49"/>
    <mergeCell ref="AJ49:AN49"/>
    <mergeCell ref="A46:H46"/>
    <mergeCell ref="I46:O46"/>
    <mergeCell ref="P46:T46"/>
    <mergeCell ref="U46:Y46"/>
    <mergeCell ref="AQ33:AU34"/>
    <mergeCell ref="AV33:BL33"/>
    <mergeCell ref="AV34:BL34"/>
    <mergeCell ref="AW14:BL14"/>
    <mergeCell ref="BN14:BQ14"/>
    <mergeCell ref="BR14:CG15"/>
    <mergeCell ref="G15:L15"/>
    <mergeCell ref="N15:S15"/>
    <mergeCell ref="T15:W15"/>
    <mergeCell ref="AD15:AF15"/>
    <mergeCell ref="AH15:AL15"/>
    <mergeCell ref="BN34:BQ34"/>
    <mergeCell ref="BI28:BM28"/>
    <mergeCell ref="AO30:AS30"/>
    <mergeCell ref="CC30:CG30"/>
    <mergeCell ref="A29:H29"/>
    <mergeCell ref="BX30:CB30"/>
    <mergeCell ref="AY29:BC29"/>
    <mergeCell ref="BD29:BH29"/>
    <mergeCell ref="BX29:CB29"/>
    <mergeCell ref="AE29:AI29"/>
    <mergeCell ref="I29:O29"/>
    <mergeCell ref="P29:T29"/>
    <mergeCell ref="U29:Y29"/>
    <mergeCell ref="I48:O48"/>
    <mergeCell ref="BX47:CB47"/>
    <mergeCell ref="AJ47:AN47"/>
    <mergeCell ref="CC47:CG47"/>
    <mergeCell ref="CC48:CG48"/>
    <mergeCell ref="CC49:CG49"/>
    <mergeCell ref="Q54:AJ57"/>
    <mergeCell ref="AK54:AX56"/>
    <mergeCell ref="AK57:AX57"/>
    <mergeCell ref="AY54:BQ57"/>
    <mergeCell ref="BR54:CE56"/>
    <mergeCell ref="BR57:CE57"/>
    <mergeCell ref="AE47:AI47"/>
    <mergeCell ref="AY47:BC47"/>
    <mergeCell ref="BD47:BH47"/>
    <mergeCell ref="BI47:BM47"/>
    <mergeCell ref="BN47:BR47"/>
    <mergeCell ref="BN49:BR49"/>
    <mergeCell ref="BD48:BH48"/>
    <mergeCell ref="BI48:BM48"/>
    <mergeCell ref="BN48:BR48"/>
    <mergeCell ref="AJ48:AN48"/>
    <mergeCell ref="AO48:AS48"/>
    <mergeCell ref="AO47:AS47"/>
    <mergeCell ref="A60:AN60"/>
    <mergeCell ref="BS49:BW49"/>
    <mergeCell ref="BX49:CB49"/>
    <mergeCell ref="A54:B57"/>
    <mergeCell ref="C54:P56"/>
    <mergeCell ref="AT48:AX48"/>
    <mergeCell ref="AY48:BC48"/>
    <mergeCell ref="C57:P57"/>
    <mergeCell ref="BX48:CB48"/>
    <mergeCell ref="A49:AD49"/>
    <mergeCell ref="A50:CG50"/>
    <mergeCell ref="A51:U51"/>
    <mergeCell ref="V51:AP51"/>
    <mergeCell ref="AQ51:BK51"/>
    <mergeCell ref="BL51:CG51"/>
    <mergeCell ref="A52:U52"/>
    <mergeCell ref="CF54:CG57"/>
    <mergeCell ref="V52:AP52"/>
    <mergeCell ref="AQ52:BK52"/>
    <mergeCell ref="BL52:CG52"/>
    <mergeCell ref="AO60:CG60"/>
    <mergeCell ref="AO49:AS49"/>
    <mergeCell ref="BS48:BW48"/>
    <mergeCell ref="A48:H48"/>
    <mergeCell ref="A13:AK13"/>
    <mergeCell ref="AL13:AN13"/>
    <mergeCell ref="AP13:AW13"/>
    <mergeCell ref="AX13:AZ13"/>
    <mergeCell ref="BB13:BI13"/>
    <mergeCell ref="BJ13:BP13"/>
    <mergeCell ref="BR13:CG13"/>
    <mergeCell ref="A14:F15"/>
    <mergeCell ref="G14:L14"/>
    <mergeCell ref="N14:S14"/>
    <mergeCell ref="T14:W14"/>
    <mergeCell ref="X14:AC15"/>
    <mergeCell ref="AD14:AF14"/>
    <mergeCell ref="AH14:AL14"/>
    <mergeCell ref="AM14:AP14"/>
    <mergeCell ref="AQ14:AV15"/>
    <mergeCell ref="BN15:BQ15"/>
    <mergeCell ref="AM15:AP15"/>
    <mergeCell ref="AW15:BL15"/>
    <mergeCell ref="Z45:AD45"/>
    <mergeCell ref="AE45:AI45"/>
    <mergeCell ref="AJ45:AN45"/>
    <mergeCell ref="AO45:AS45"/>
    <mergeCell ref="BX45:CB45"/>
    <mergeCell ref="BD46:BH46"/>
    <mergeCell ref="BI46:BM46"/>
    <mergeCell ref="BN46:BR46"/>
    <mergeCell ref="AY46:BC46"/>
    <mergeCell ref="AE46:AI46"/>
    <mergeCell ref="Z46:AD46"/>
    <mergeCell ref="BX46:CB46"/>
    <mergeCell ref="BS46:BW46"/>
    <mergeCell ref="AJ46:AN46"/>
    <mergeCell ref="AO46:AS46"/>
    <mergeCell ref="AT46:AX46"/>
    <mergeCell ref="A43:H43"/>
    <mergeCell ref="I43:O43"/>
    <mergeCell ref="P43:T43"/>
    <mergeCell ref="U43:Y43"/>
    <mergeCell ref="Z43:AD43"/>
    <mergeCell ref="AE43:AI43"/>
    <mergeCell ref="AT43:AX43"/>
    <mergeCell ref="AY43:BC43"/>
    <mergeCell ref="BD43:BH43"/>
    <mergeCell ref="AJ43:AN43"/>
    <mergeCell ref="AO43:AS43"/>
    <mergeCell ref="A44:H44"/>
    <mergeCell ref="I44:O44"/>
    <mergeCell ref="P44:T44"/>
    <mergeCell ref="U44:Y44"/>
    <mergeCell ref="Z44:AD44"/>
    <mergeCell ref="AE44:AI44"/>
    <mergeCell ref="AJ44:AN44"/>
    <mergeCell ref="BS44:BW44"/>
    <mergeCell ref="BX44:CB44"/>
    <mergeCell ref="AO44:AS44"/>
    <mergeCell ref="AT44:AX44"/>
    <mergeCell ref="AY44:BC44"/>
    <mergeCell ref="BD44:BH44"/>
    <mergeCell ref="BI44:BM44"/>
    <mergeCell ref="BN44:BR44"/>
    <mergeCell ref="CI39:CL40"/>
    <mergeCell ref="A42:H42"/>
    <mergeCell ref="I42:O42"/>
    <mergeCell ref="P42:T42"/>
    <mergeCell ref="U42:Y42"/>
    <mergeCell ref="Z42:AD42"/>
    <mergeCell ref="AE42:AI42"/>
    <mergeCell ref="AJ42:AN42"/>
    <mergeCell ref="BS42:BW42"/>
    <mergeCell ref="AO42:AS42"/>
    <mergeCell ref="AT42:AX42"/>
    <mergeCell ref="AY42:BC42"/>
    <mergeCell ref="BD42:BH42"/>
    <mergeCell ref="BI42:BM42"/>
    <mergeCell ref="BN42:BR42"/>
    <mergeCell ref="AO41:AS41"/>
    <mergeCell ref="AT41:AX41"/>
    <mergeCell ref="BD40:BH40"/>
    <mergeCell ref="AO40:AS40"/>
    <mergeCell ref="AT40:AX40"/>
    <mergeCell ref="AY40:BC40"/>
    <mergeCell ref="AY41:BC41"/>
    <mergeCell ref="BD41:BH41"/>
    <mergeCell ref="BI41:BM41"/>
    <mergeCell ref="BI40:BM40"/>
    <mergeCell ref="A40:H40"/>
    <mergeCell ref="I40:O40"/>
    <mergeCell ref="P40:T40"/>
    <mergeCell ref="U40:Y40"/>
    <mergeCell ref="Z40:AD40"/>
    <mergeCell ref="AE40:AI40"/>
    <mergeCell ref="AJ40:AN40"/>
    <mergeCell ref="AE41:AI41"/>
    <mergeCell ref="AJ41:AN41"/>
    <mergeCell ref="A41:H41"/>
    <mergeCell ref="I41:O41"/>
    <mergeCell ref="P41:T41"/>
    <mergeCell ref="U41:Y41"/>
    <mergeCell ref="Z41:AD41"/>
    <mergeCell ref="A39:H39"/>
    <mergeCell ref="I39:O39"/>
    <mergeCell ref="P39:T39"/>
    <mergeCell ref="U39:Y39"/>
    <mergeCell ref="Z39:AD39"/>
    <mergeCell ref="AE39:AI39"/>
    <mergeCell ref="BN39:BR39"/>
    <mergeCell ref="BS39:BW39"/>
    <mergeCell ref="BS38:BW38"/>
    <mergeCell ref="AJ39:AN39"/>
    <mergeCell ref="AO39:AS39"/>
    <mergeCell ref="AY38:BC38"/>
    <mergeCell ref="BD38:BH38"/>
    <mergeCell ref="BI38:BM38"/>
    <mergeCell ref="BN38:BR38"/>
    <mergeCell ref="AT39:AX39"/>
    <mergeCell ref="AY39:BC39"/>
    <mergeCell ref="BD39:BH39"/>
    <mergeCell ref="BI39:BM39"/>
    <mergeCell ref="DF35:DI35"/>
    <mergeCell ref="AT37:AX37"/>
    <mergeCell ref="AY37:BC37"/>
    <mergeCell ref="BX37:CB37"/>
    <mergeCell ref="A38:H38"/>
    <mergeCell ref="I38:O38"/>
    <mergeCell ref="P38:T38"/>
    <mergeCell ref="U38:Y38"/>
    <mergeCell ref="Z38:AD38"/>
    <mergeCell ref="AE38:AI38"/>
    <mergeCell ref="AJ38:AN38"/>
    <mergeCell ref="AO38:AS38"/>
    <mergeCell ref="AT38:AX38"/>
    <mergeCell ref="BX38:CB38"/>
    <mergeCell ref="U37:Y37"/>
    <mergeCell ref="AE37:AI37"/>
    <mergeCell ref="Z37:AD37"/>
    <mergeCell ref="BD37:BH37"/>
    <mergeCell ref="BI37:BM37"/>
    <mergeCell ref="BN37:BR37"/>
    <mergeCell ref="BS37:BW37"/>
    <mergeCell ref="AJ37:AN37"/>
    <mergeCell ref="BX39:CB39"/>
    <mergeCell ref="DW35:DX35"/>
    <mergeCell ref="DY35:DZ35"/>
    <mergeCell ref="EA35:EB35"/>
    <mergeCell ref="A36:H36"/>
    <mergeCell ref="P36:T36"/>
    <mergeCell ref="U36:Y36"/>
    <mergeCell ref="Z36:AD36"/>
    <mergeCell ref="AE36:AI36"/>
    <mergeCell ref="DL35:DO35"/>
    <mergeCell ref="AT36:AX36"/>
    <mergeCell ref="AY36:BC36"/>
    <mergeCell ref="AJ36:AN36"/>
    <mergeCell ref="AO36:AS36"/>
    <mergeCell ref="DR35:DU35"/>
    <mergeCell ref="BN35:BR35"/>
    <mergeCell ref="BS35:BW36"/>
    <mergeCell ref="BX35:CB35"/>
    <mergeCell ref="CR35:CS35"/>
    <mergeCell ref="BN36:BR36"/>
    <mergeCell ref="BX36:CB36"/>
    <mergeCell ref="AY35:BC35"/>
    <mergeCell ref="AO35:AS35"/>
    <mergeCell ref="DA35:DC35"/>
    <mergeCell ref="AJ30:AN30"/>
    <mergeCell ref="A53:D53"/>
    <mergeCell ref="F53:CG53"/>
    <mergeCell ref="CC37:CG37"/>
    <mergeCell ref="CC38:CG38"/>
    <mergeCell ref="CC39:CG39"/>
    <mergeCell ref="A35:H35"/>
    <mergeCell ref="I35:O36"/>
    <mergeCell ref="P35:T35"/>
    <mergeCell ref="U35:Y35"/>
    <mergeCell ref="BD36:BH36"/>
    <mergeCell ref="BD35:BH35"/>
    <mergeCell ref="BI35:BM35"/>
    <mergeCell ref="Z35:AD35"/>
    <mergeCell ref="AE35:AI35"/>
    <mergeCell ref="AJ35:AN35"/>
    <mergeCell ref="AT35:AX35"/>
    <mergeCell ref="BI36:BM36"/>
    <mergeCell ref="A37:H37"/>
    <mergeCell ref="I37:O37"/>
    <mergeCell ref="P37:T37"/>
    <mergeCell ref="AO37:AS37"/>
    <mergeCell ref="BX42:CB42"/>
    <mergeCell ref="BN43:BR43"/>
    <mergeCell ref="BI29:BM29"/>
    <mergeCell ref="CI29:CL30"/>
    <mergeCell ref="AT30:AX30"/>
    <mergeCell ref="AY30:BC30"/>
    <mergeCell ref="BD30:BH30"/>
    <mergeCell ref="BI30:BM30"/>
    <mergeCell ref="A33:F34"/>
    <mergeCell ref="T33:W33"/>
    <mergeCell ref="BN33:BQ33"/>
    <mergeCell ref="X33:AC34"/>
    <mergeCell ref="AD33:AF33"/>
    <mergeCell ref="AH33:AL33"/>
    <mergeCell ref="AM33:AP33"/>
    <mergeCell ref="AE30:AI30"/>
    <mergeCell ref="BS29:BW29"/>
    <mergeCell ref="BN30:BR30"/>
    <mergeCell ref="BR33:CG34"/>
    <mergeCell ref="G34:L34"/>
    <mergeCell ref="N34:S34"/>
    <mergeCell ref="T34:W34"/>
    <mergeCell ref="AD34:AF34"/>
    <mergeCell ref="AH34:AL34"/>
    <mergeCell ref="AM34:AP34"/>
    <mergeCell ref="A30:AD30"/>
    <mergeCell ref="CC29:CG29"/>
    <mergeCell ref="A27:H27"/>
    <mergeCell ref="I27:O27"/>
    <mergeCell ref="P27:T27"/>
    <mergeCell ref="U27:Y27"/>
    <mergeCell ref="AY27:BC27"/>
    <mergeCell ref="A28:H28"/>
    <mergeCell ref="I28:O28"/>
    <mergeCell ref="P28:T28"/>
    <mergeCell ref="U28:Y28"/>
    <mergeCell ref="AO28:AS28"/>
    <mergeCell ref="AJ27:AN27"/>
    <mergeCell ref="AO27:AS27"/>
    <mergeCell ref="AE28:AI28"/>
    <mergeCell ref="Z28:AD28"/>
    <mergeCell ref="AJ28:AN28"/>
    <mergeCell ref="Z29:AD29"/>
    <mergeCell ref="BN29:BR29"/>
    <mergeCell ref="BD28:BH28"/>
    <mergeCell ref="AY28:BC28"/>
    <mergeCell ref="AO29:AS29"/>
    <mergeCell ref="AT29:AX29"/>
    <mergeCell ref="AT28:AX28"/>
    <mergeCell ref="AJ29:AN29"/>
    <mergeCell ref="BI26:BM26"/>
    <mergeCell ref="BN26:BR26"/>
    <mergeCell ref="BS26:BW26"/>
    <mergeCell ref="BX26:CB26"/>
    <mergeCell ref="AJ26:AN26"/>
    <mergeCell ref="AO26:AS26"/>
    <mergeCell ref="AT26:AX26"/>
    <mergeCell ref="AY26:BC26"/>
    <mergeCell ref="AT27:AX27"/>
    <mergeCell ref="BI27:BM27"/>
    <mergeCell ref="P24:T24"/>
    <mergeCell ref="U24:Y24"/>
    <mergeCell ref="Z24:AD24"/>
    <mergeCell ref="BS24:BW24"/>
    <mergeCell ref="BX24:CB24"/>
    <mergeCell ref="AE25:AI25"/>
    <mergeCell ref="AJ25:AN25"/>
    <mergeCell ref="AO25:AS25"/>
    <mergeCell ref="AT25:AX25"/>
    <mergeCell ref="BI25:BM25"/>
    <mergeCell ref="BN25:BR25"/>
    <mergeCell ref="BS25:BW25"/>
    <mergeCell ref="BX25:CB25"/>
    <mergeCell ref="P25:T25"/>
    <mergeCell ref="U25:Y25"/>
    <mergeCell ref="Z25:AD25"/>
    <mergeCell ref="CI21:CL22"/>
    <mergeCell ref="A23:H23"/>
    <mergeCell ref="I23:O23"/>
    <mergeCell ref="P23:T23"/>
    <mergeCell ref="U23:Y23"/>
    <mergeCell ref="Z23:AD23"/>
    <mergeCell ref="AE23:AI23"/>
    <mergeCell ref="AE24:AI24"/>
    <mergeCell ref="AJ24:AN24"/>
    <mergeCell ref="AO24:AS24"/>
    <mergeCell ref="AT24:AX24"/>
    <mergeCell ref="BD23:BH23"/>
    <mergeCell ref="BI23:BM23"/>
    <mergeCell ref="AJ23:AN23"/>
    <mergeCell ref="AO23:AS23"/>
    <mergeCell ref="AT23:AX23"/>
    <mergeCell ref="AY23:BC23"/>
    <mergeCell ref="AY24:BC24"/>
    <mergeCell ref="BD24:BH24"/>
    <mergeCell ref="BI24:BM24"/>
    <mergeCell ref="BN24:BR24"/>
    <mergeCell ref="BX23:CB23"/>
    <mergeCell ref="A24:H24"/>
    <mergeCell ref="I24:O24"/>
    <mergeCell ref="BN22:BR22"/>
    <mergeCell ref="BS22:BW22"/>
    <mergeCell ref="BX21:CB21"/>
    <mergeCell ref="A22:H22"/>
    <mergeCell ref="I22:O22"/>
    <mergeCell ref="P22:T22"/>
    <mergeCell ref="U22:Y22"/>
    <mergeCell ref="Z22:AD22"/>
    <mergeCell ref="BN23:BR23"/>
    <mergeCell ref="BS23:BW23"/>
    <mergeCell ref="BX22:CB22"/>
    <mergeCell ref="AE22:AI22"/>
    <mergeCell ref="AJ22:AN22"/>
    <mergeCell ref="AO22:AS22"/>
    <mergeCell ref="AT22:AX22"/>
    <mergeCell ref="BD21:BH21"/>
    <mergeCell ref="BI21:BM21"/>
    <mergeCell ref="AO21:AS21"/>
    <mergeCell ref="AT21:AX21"/>
    <mergeCell ref="AY21:BC21"/>
    <mergeCell ref="AY22:BC22"/>
    <mergeCell ref="BD22:BH22"/>
    <mergeCell ref="BI22:BM22"/>
    <mergeCell ref="BN21:BR21"/>
    <mergeCell ref="BS19:BW19"/>
    <mergeCell ref="AO20:AS20"/>
    <mergeCell ref="AJ19:AN19"/>
    <mergeCell ref="AO19:AS19"/>
    <mergeCell ref="BS21:BW21"/>
    <mergeCell ref="BX20:CB20"/>
    <mergeCell ref="A21:H21"/>
    <mergeCell ref="I21:O21"/>
    <mergeCell ref="P21:T21"/>
    <mergeCell ref="U21:Y21"/>
    <mergeCell ref="Z21:AD21"/>
    <mergeCell ref="AE21:AI21"/>
    <mergeCell ref="AJ21:AN21"/>
    <mergeCell ref="BS20:BW20"/>
    <mergeCell ref="AJ17:AN17"/>
    <mergeCell ref="AO17:AS17"/>
    <mergeCell ref="AT17:AX17"/>
    <mergeCell ref="AY17:BC17"/>
    <mergeCell ref="BD17:BH17"/>
    <mergeCell ref="BI17:BM17"/>
    <mergeCell ref="BN17:BR17"/>
    <mergeCell ref="BX19:CB19"/>
    <mergeCell ref="A20:H20"/>
    <mergeCell ref="I20:O20"/>
    <mergeCell ref="P20:T20"/>
    <mergeCell ref="U20:Y20"/>
    <mergeCell ref="Z20:AD20"/>
    <mergeCell ref="AE20:AI20"/>
    <mergeCell ref="AJ20:AN20"/>
    <mergeCell ref="AT20:AX20"/>
    <mergeCell ref="BD19:BH19"/>
    <mergeCell ref="BI19:BM19"/>
    <mergeCell ref="AT19:AX19"/>
    <mergeCell ref="AY19:BC19"/>
    <mergeCell ref="AY20:BC20"/>
    <mergeCell ref="BD20:BH20"/>
    <mergeCell ref="BI20:BM20"/>
    <mergeCell ref="BN20:BR20"/>
    <mergeCell ref="DW16:DX16"/>
    <mergeCell ref="DY16:DZ16"/>
    <mergeCell ref="EA16:EB16"/>
    <mergeCell ref="CV16:CX16"/>
    <mergeCell ref="DA16:DC16"/>
    <mergeCell ref="DF16:DI16"/>
    <mergeCell ref="DL16:DO16"/>
    <mergeCell ref="BS18:BW18"/>
    <mergeCell ref="BX18:CB18"/>
    <mergeCell ref="BS16:BW17"/>
    <mergeCell ref="BX16:CB16"/>
    <mergeCell ref="CR16:CS16"/>
    <mergeCell ref="BX17:CB17"/>
    <mergeCell ref="DR16:DU16"/>
    <mergeCell ref="A32:AK32"/>
    <mergeCell ref="AL32:AN32"/>
    <mergeCell ref="AP32:AW32"/>
    <mergeCell ref="AX32:AZ32"/>
    <mergeCell ref="BB32:BI32"/>
    <mergeCell ref="BJ32:BP32"/>
    <mergeCell ref="A18:H18"/>
    <mergeCell ref="I18:O18"/>
    <mergeCell ref="A16:H16"/>
    <mergeCell ref="I16:O17"/>
    <mergeCell ref="P16:T16"/>
    <mergeCell ref="U16:Y16"/>
    <mergeCell ref="P18:T18"/>
    <mergeCell ref="Z16:AD16"/>
    <mergeCell ref="AE16:AI16"/>
    <mergeCell ref="A17:H17"/>
    <mergeCell ref="P17:T17"/>
    <mergeCell ref="Z17:AD17"/>
    <mergeCell ref="U17:Y17"/>
    <mergeCell ref="BN19:BR19"/>
    <mergeCell ref="A19:H19"/>
    <mergeCell ref="I19:O19"/>
    <mergeCell ref="P19:T19"/>
    <mergeCell ref="U19:Y19"/>
    <mergeCell ref="A6:CG6"/>
    <mergeCell ref="AQ5:AZ5"/>
    <mergeCell ref="BB5:BL5"/>
    <mergeCell ref="BM5:BV5"/>
    <mergeCell ref="CI9:CJ9"/>
    <mergeCell ref="AY9:BB9"/>
    <mergeCell ref="BC9:BP9"/>
    <mergeCell ref="BR9:BY9"/>
    <mergeCell ref="BX5:CG5"/>
    <mergeCell ref="BZ9:CG9"/>
    <mergeCell ref="A9:J9"/>
    <mergeCell ref="L9:AB9"/>
    <mergeCell ref="AC9:AO9"/>
    <mergeCell ref="AQ9:AX9"/>
    <mergeCell ref="CN1:EB2"/>
    <mergeCell ref="CV35:CX35"/>
    <mergeCell ref="AY25:BC25"/>
    <mergeCell ref="BD25:BH25"/>
    <mergeCell ref="BD26:BH26"/>
    <mergeCell ref="BD27:BH27"/>
    <mergeCell ref="CI7:CL8"/>
    <mergeCell ref="AC8:BB8"/>
    <mergeCell ref="AY10:BB10"/>
    <mergeCell ref="BC10:BP10"/>
    <mergeCell ref="BC8:CG8"/>
    <mergeCell ref="A7:CG7"/>
    <mergeCell ref="A8:AB8"/>
    <mergeCell ref="A31:CG31"/>
    <mergeCell ref="CC16:CG16"/>
    <mergeCell ref="CC17:CG17"/>
    <mergeCell ref="G33:L33"/>
    <mergeCell ref="N33:S33"/>
    <mergeCell ref="CC18:CG18"/>
    <mergeCell ref="CC19:CG19"/>
    <mergeCell ref="CC20:CG20"/>
    <mergeCell ref="CC22:CG22"/>
    <mergeCell ref="CC21:CG21"/>
    <mergeCell ref="I25:O25"/>
    <mergeCell ref="Z27:AD27"/>
    <mergeCell ref="AE27:AI27"/>
    <mergeCell ref="L10:R10"/>
    <mergeCell ref="S10:U10"/>
    <mergeCell ref="W10:AB10"/>
    <mergeCell ref="AC10:AO10"/>
    <mergeCell ref="AQ10:AX10"/>
    <mergeCell ref="BR10:BY10"/>
    <mergeCell ref="CI10:CJ10"/>
    <mergeCell ref="A11:M11"/>
    <mergeCell ref="O11:V11"/>
    <mergeCell ref="W11:AB11"/>
    <mergeCell ref="AC11:AO11"/>
    <mergeCell ref="A10:J10"/>
    <mergeCell ref="AQ11:AX11"/>
    <mergeCell ref="AY11:BB11"/>
    <mergeCell ref="BC11:BP11"/>
    <mergeCell ref="BR11:BY11"/>
    <mergeCell ref="CI11:CJ11"/>
    <mergeCell ref="AY18:BC18"/>
    <mergeCell ref="BD18:BH18"/>
    <mergeCell ref="BI18:BM18"/>
    <mergeCell ref="BN18:BR18"/>
    <mergeCell ref="U18:Y18"/>
    <mergeCell ref="BZ10:CG10"/>
    <mergeCell ref="BZ11:CG11"/>
    <mergeCell ref="A26:H26"/>
    <mergeCell ref="A25:H25"/>
    <mergeCell ref="AE17:AI17"/>
    <mergeCell ref="Z18:AD18"/>
    <mergeCell ref="AE18:AI18"/>
    <mergeCell ref="Z19:AD19"/>
    <mergeCell ref="AE19:AI19"/>
    <mergeCell ref="I26:O26"/>
    <mergeCell ref="P26:T26"/>
    <mergeCell ref="U26:Y26"/>
    <mergeCell ref="Z26:AD26"/>
    <mergeCell ref="AE26:AI26"/>
    <mergeCell ref="AJ18:AN18"/>
    <mergeCell ref="AO18:AS18"/>
    <mergeCell ref="AT18:AX18"/>
    <mergeCell ref="AJ16:AN16"/>
    <mergeCell ref="AO16:AS16"/>
    <mergeCell ref="BN16:BR16"/>
    <mergeCell ref="AT16:AX16"/>
    <mergeCell ref="AY16:BC16"/>
    <mergeCell ref="BD16:BH16"/>
    <mergeCell ref="BI16:BM16"/>
    <mergeCell ref="A1:BK1"/>
    <mergeCell ref="BL1:BP1"/>
    <mergeCell ref="BR1:CG1"/>
    <mergeCell ref="A2:BK2"/>
    <mergeCell ref="BL2:BP2"/>
    <mergeCell ref="BR2:CG2"/>
    <mergeCell ref="CC40:CG40"/>
    <mergeCell ref="CC41:CG41"/>
    <mergeCell ref="CC35:CG35"/>
    <mergeCell ref="CC36:CG36"/>
    <mergeCell ref="BR32:CG32"/>
    <mergeCell ref="BN27:BR27"/>
    <mergeCell ref="BS27:BW27"/>
    <mergeCell ref="BX27:CB27"/>
    <mergeCell ref="BS28:BW28"/>
    <mergeCell ref="BX28:CB28"/>
    <mergeCell ref="BS30:BW30"/>
    <mergeCell ref="CC23:CG23"/>
    <mergeCell ref="CC24:CG24"/>
    <mergeCell ref="CC25:CG25"/>
    <mergeCell ref="CC26:CG26"/>
    <mergeCell ref="CC27:CG27"/>
    <mergeCell ref="CC28:CG28"/>
    <mergeCell ref="A12:CG12"/>
    <mergeCell ref="BS43:BW43"/>
    <mergeCell ref="BX43:CB43"/>
    <mergeCell ref="AT45:AX45"/>
    <mergeCell ref="AY45:BC45"/>
    <mergeCell ref="BD45:BH45"/>
    <mergeCell ref="BI45:BM45"/>
    <mergeCell ref="BN45:BR45"/>
    <mergeCell ref="BI43:BM43"/>
    <mergeCell ref="BS45:BW45"/>
    <mergeCell ref="A3:BQ3"/>
    <mergeCell ref="BR3:CG3"/>
    <mergeCell ref="AQ4:AZ4"/>
    <mergeCell ref="BB4:BL4"/>
    <mergeCell ref="BM4:BV4"/>
    <mergeCell ref="BX4:CG4"/>
    <mergeCell ref="I5:T5"/>
    <mergeCell ref="U5:AA5"/>
    <mergeCell ref="AC5:AN5"/>
    <mergeCell ref="I4:T4"/>
    <mergeCell ref="U4:W4"/>
    <mergeCell ref="Y4:AD4"/>
    <mergeCell ref="AE4:AG4"/>
    <mergeCell ref="AI4:AN4"/>
    <mergeCell ref="AO4:AP5"/>
    <mergeCell ref="A4:G4"/>
    <mergeCell ref="A5:G5"/>
    <mergeCell ref="BX40:CB40"/>
    <mergeCell ref="BS41:BW41"/>
    <mergeCell ref="BN28:BR28"/>
    <mergeCell ref="A58:D59"/>
    <mergeCell ref="E58:E59"/>
    <mergeCell ref="F58:Y58"/>
    <mergeCell ref="Z58:AS58"/>
    <mergeCell ref="AT58:BM58"/>
    <mergeCell ref="BN58:CG58"/>
    <mergeCell ref="F59:Y59"/>
    <mergeCell ref="Z59:AS59"/>
    <mergeCell ref="AT59:BM59"/>
    <mergeCell ref="BN59:CG59"/>
    <mergeCell ref="BS47:BW47"/>
    <mergeCell ref="AT47:AX47"/>
    <mergeCell ref="CC46:CG46"/>
    <mergeCell ref="BX41:CB41"/>
    <mergeCell ref="BN40:BR40"/>
    <mergeCell ref="BS40:BW40"/>
    <mergeCell ref="BN41:BR41"/>
    <mergeCell ref="CC42:CG42"/>
    <mergeCell ref="CC43:CG43"/>
    <mergeCell ref="CC44:CG44"/>
    <mergeCell ref="CC45:CG45"/>
  </mergeCells>
  <phoneticPr fontId="2" type="noConversion"/>
  <conditionalFormatting sqref="BR9:BY9 BR11:BY11 BD18:CB29 BD30:BH30 AT30:AX30 AJ30:AN30 BN30:BR30 BX30:CB30 A37:O48 U37:Y48 BD37:CB48 BX49:CB49 C54:P56 AK54 BR54 CC18:CG30 CC37:CG49 BN49:BR49 BD49:BH49 AT49:AX49 AJ49:AN49">
    <cfRule type="containsBlanks" dxfId="80" priority="13" stopIfTrue="1">
      <formula>LEN(TRIM(A9))=0</formula>
    </cfRule>
  </conditionalFormatting>
  <conditionalFormatting sqref="L9:L10 O11 W10 AQ9:AX11 BR10 A18:BC29 P37:T48 Z37:BC48">
    <cfRule type="containsBlanks" dxfId="79" priority="12" stopIfTrue="1">
      <formula>LEN(TRIM(A9))=0</formula>
    </cfRule>
  </conditionalFormatting>
  <conditionalFormatting sqref="AM15 BN14:BQ15 AH15 BR13 BB13">
    <cfRule type="containsBlanks" dxfId="78" priority="11" stopIfTrue="1">
      <formula>LEN(TRIM(AH13))=0</formula>
    </cfRule>
  </conditionalFormatting>
  <conditionalFormatting sqref="AH14 AP13">
    <cfRule type="containsBlanks" dxfId="77" priority="10" stopIfTrue="1">
      <formula>LEN(TRIM(AH13))=0</formula>
    </cfRule>
  </conditionalFormatting>
  <conditionalFormatting sqref="AH34:AP34 N33:N34 BB32 BN33:BQ34 BR32">
    <cfRule type="containsBlanks" dxfId="76" priority="9" stopIfTrue="1">
      <formula>LEN(TRIM(N32))=0</formula>
    </cfRule>
  </conditionalFormatting>
  <conditionalFormatting sqref="AH33">
    <cfRule type="containsBlanks" dxfId="75" priority="8" stopIfTrue="1">
      <formula>LEN(TRIM(AH33))=0</formula>
    </cfRule>
  </conditionalFormatting>
  <conditionalFormatting sqref="A52:CG52">
    <cfRule type="containsBlanks" dxfId="74" priority="6" stopIfTrue="1">
      <formula>LEN(TRIM(A52))=0</formula>
    </cfRule>
  </conditionalFormatting>
  <conditionalFormatting sqref="BB4:BL5 BX4:CG5 AP32">
    <cfRule type="containsBlanks" dxfId="73" priority="5" stopIfTrue="1">
      <formula>LEN(TRIM(AP4))=0</formula>
    </cfRule>
  </conditionalFormatting>
  <conditionalFormatting sqref="BR1:CG2 I4:T5 Y4 AC5 AI4">
    <cfRule type="containsBlanks" dxfId="72" priority="4" stopIfTrue="1">
      <formula>LEN(TRIM(I1))=0</formula>
    </cfRule>
  </conditionalFormatting>
  <conditionalFormatting sqref="N14:S15">
    <cfRule type="containsBlanks" dxfId="71" priority="1" stopIfTrue="1">
      <formula>LEN(TRIM(N14))=0</formula>
    </cfRule>
  </conditionalFormatting>
  <dataValidations count="51">
    <dataValidation type="list" allowBlank="1" showInputMessage="1" showErrorMessage="1" sqref="U17:Y17" xr:uid="{00000000-0002-0000-0E00-000000000000}">
      <formula1>$CN$24:$CN$25</formula1>
    </dataValidation>
    <dataValidation type="list" allowBlank="1" showInputMessage="1" showErrorMessage="1" sqref="T14 T33" xr:uid="{00000000-0002-0000-0E00-000001000000}">
      <formula1>$CN$8:$CN$9</formula1>
    </dataValidation>
    <dataValidation type="list" allowBlank="1" showInputMessage="1" showErrorMessage="1" sqref="AY17:BC17" xr:uid="{00000000-0002-0000-0E00-000002000000}">
      <formula1>$CN$39:$CN$40</formula1>
    </dataValidation>
    <dataValidation type="list" allowBlank="1" showInputMessage="1" showErrorMessage="1" sqref="P16:T16" xr:uid="{00000000-0002-0000-0E00-000003000000}">
      <formula1>$CN$18:$CN$20</formula1>
    </dataValidation>
    <dataValidation type="list" allowBlank="1" showInputMessage="1" showErrorMessage="1" sqref="AJ17:AN17" xr:uid="{00000000-0002-0000-0E00-000004000000}">
      <formula1>$CN$34:$CN$35</formula1>
    </dataValidation>
    <dataValidation type="list" allowBlank="1" showInputMessage="1" showErrorMessage="1" sqref="Z36:AD36 Z17:AD17 AO17:AS17 AO36:AS36" xr:uid="{00000000-0002-0000-0E00-000005000000}">
      <formula1>$CN$29:$CN$30</formula1>
    </dataValidation>
    <dataValidation allowBlank="1" showInputMessage="1" showErrorMessage="1" prompt="Enter the vessel's last port of call" sqref="L9:AB9" xr:uid="{00000000-0002-0000-0E00-000006000000}"/>
    <dataValidation allowBlank="1" showInputMessage="1" showErrorMessage="1" prompt="Enter the date vessel sailed from the last port of call" sqref="L10:R10" xr:uid="{00000000-0002-0000-0E00-000007000000}"/>
    <dataValidation allowBlank="1" showInputMessage="1" showErrorMessage="1" prompt="Enter the time vessel sailed from the last port of call" sqref="W10:AB10" xr:uid="{00000000-0002-0000-0E00-000008000000}"/>
    <dataValidation allowBlank="1" showInputMessage="1" showErrorMessage="1" prompt="Enter the amount of bunkers on departure from the last port of call as advised by the vessel" sqref="O11:V11" xr:uid="{00000000-0002-0000-0E00-000009000000}"/>
    <dataValidation allowBlank="1" showInputMessage="1" showErrorMessage="1" prompt="Enter the consumption rate at sea as advised by the vessel" sqref="AQ9:AX9" xr:uid="{00000000-0002-0000-0E00-00000A000000}"/>
    <dataValidation allowBlank="1" showInputMessage="1" showErrorMessage="1" prompt="Enter the consumption rate in port as advised by the vessel" sqref="AQ10:AX10" xr:uid="{00000000-0002-0000-0E00-00000B000000}"/>
    <dataValidation allowBlank="1" showInputMessage="1" showErrorMessage="1" prompt="Enter the consumption rate at anchorage as advised by the vessel" sqref="AQ11:AX11" xr:uid="{00000000-0002-0000-0E00-00000C000000}"/>
    <dataValidation allowBlank="1" showInputMessage="1" showErrorMessage="1" prompt="Enter the quantity of bunkers consumed during the survey" sqref="BR10:BY10" xr:uid="{00000000-0002-0000-0E00-00000D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D5F171F5-9540-4309-B087-7801A2325DE5}"/>
    <dataValidation allowBlank="1" showInputMessage="1" showErrorMessage="1" prompt="Enter aft draft when opening calculations were made. Please enter in metres or in ft&amp;in, ensuring correct units are selected in adjacent box. Also select whether trim corrections were applied." sqref="N15" xr:uid="{136A6CC0-6DFB-499A-AF8E-0BDEBCC478C0}"/>
    <dataValidation allowBlank="1" showInputMessage="1" showErrorMessage="1" prompt="Enter the name of the vessel tank" sqref="A18:H18" xr:uid="{00000000-0002-0000-0E00-000010000000}"/>
    <dataValidation allowBlank="1" showInputMessage="1" showErrorMessage="1" prompt="Enter the grade of fuel within the tank" sqref="I18:O23" xr:uid="{00000000-0002-0000-0E00-000011000000}"/>
    <dataValidation allowBlank="1" showInputMessage="1" showErrorMessage="1" promptTitle="Opening Density" prompt="Enter the density/API/specific gravity of the fuel within the tank as advised by the vessel. Ensure that it is correctly stated above." sqref="P18:T18 P37:T37" xr:uid="{00000000-0002-0000-0E00-000012000000}"/>
    <dataValidation allowBlank="1" showInputMessage="1" showErrorMessage="1" prompt="Enter the reference height in metres or in Ft&amp;In, this should be available in the vessels calibration tables. Ensure to select the correct units above._x000a_" sqref="U18:Y18" xr:uid="{00000000-0002-0000-0E00-000013000000}"/>
    <dataValidation allowBlank="1" showInputMessage="1" showErrorMessage="1" promptTitle="Opening Soundings" prompt="Enter observed innage/ullage figures. Ensure that innage or ullage is correctly stated above." sqref="Z18:AI18 Z37:AI37" xr:uid="{00000000-0002-0000-0E00-000014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AJ37:AN37" xr:uid="{00000000-0002-0000-0E00-000016000000}"/>
    <dataValidation allowBlank="1" showInputMessage="1" showErrorMessage="1" promptTitle="Opening Soundings" prompt="Enter if any Free Water (F.W.) was observed during the soundings." sqref="AO18:AS18" xr:uid="{00000000-0002-0000-0E00-000017000000}"/>
    <dataValidation allowBlank="1" showInputMessage="1" showErrorMessage="1" promptTitle="Opening Soundings" prompt="Calculate the volume of F.W. This can be entered in m³ or barrels, ensure the correct units are selected above." sqref="AT18:AX18" xr:uid="{00000000-0002-0000-0E00-000018000000}"/>
    <dataValidation allowBlank="1" showInputMessage="1" showErrorMessage="1" promptTitle="Opening Temperatures" prompt="Enter the temperature of the fuel within the tank in either °C or °F. Ensure the correct units are selected above." sqref="AY18:BC18 AY37:BC37" xr:uid="{00000000-0002-0000-0E00-000019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0E00-00001A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0E00-00001B000000}"/>
    <dataValidation allowBlank="1" showInputMessage="1" showErrorMessage="1" promptTitle="Closing Soundings" prompt="Enter if any Free Water (F.W.) was observed during the soundings." sqref="AO37:AS37" xr:uid="{00000000-0002-0000-0E00-000020000000}"/>
    <dataValidation allowBlank="1" showInputMessage="1" showErrorMessage="1" promptTitle="Closing Soundings" prompt="Calculate the volume of F.W. This can be entered in m³ or barrels, ensure the correct units are selected above." sqref="AT37:AX37" xr:uid="{00000000-0002-0000-0E00-000021000000}"/>
    <dataValidation type="list" allowBlank="1" showInputMessage="1" showErrorMessage="1" prompt="Advise the sea condition during the opening soundings" sqref="BR13:CG13" xr:uid="{00000000-0002-0000-0E00-000023000000}">
      <formula1>$CN$57:$CN$62</formula1>
    </dataValidation>
    <dataValidation allowBlank="1" showInputMessage="1" showErrorMessage="1" prompt="Advise the list of the vessel when opening soundings were made and select either °P or °S in the adjacent box" sqref="AH15:AL15" xr:uid="{00000000-0002-0000-0E00-000024000000}"/>
    <dataValidation type="list" allowBlank="1" showInputMessage="1" showErrorMessage="1" prompt="Advise whether trim corrections were made on arrival" sqref="BN14:BQ14" xr:uid="{00000000-0002-0000-0E00-000025000000}">
      <formula1>$CN$13:$CN$14</formula1>
    </dataValidation>
    <dataValidation allowBlank="1" showInputMessage="1" showErrorMessage="1" prompt="Advise time that the opening soundings were made_x000a_" sqref="BB13:BI13" xr:uid="{00000000-0002-0000-0E00-000026000000}"/>
    <dataValidation type="list" allowBlank="1" showInputMessage="1" showErrorMessage="1" sqref="AM15" xr:uid="{00000000-0002-0000-0E00-000027000000}">
      <formula1>$CN$66:$CN$67</formula1>
    </dataValidation>
    <dataValidation type="list" allowBlank="1" showInputMessage="1" showErrorMessage="1" prompt="Advise whether list corrections were made on arrival" sqref="BN15:BQ15" xr:uid="{00000000-0002-0000-0E00-000028000000}">
      <formula1>$CN$13:$CN$14</formula1>
    </dataValidation>
    <dataValidation type="list" allowBlank="1" showInputMessage="1" showErrorMessage="1" prompt="Advise the sea condition during the closing soundings" sqref="BR32:CG32" xr:uid="{00000000-0002-0000-0E00-000029000000}">
      <formula1>$CN$56:$CN$61</formula1>
    </dataValidation>
    <dataValidation type="list" allowBlank="1" showInputMessage="1" showErrorMessage="1" prompt="Advise whether list corrections were made on departure_x000a_" sqref="BN34:BQ34" xr:uid="{00000000-0002-0000-0E00-00002A000000}">
      <formula1>$CN$13:$CN$14</formula1>
    </dataValidation>
    <dataValidation type="list" allowBlank="1" showInputMessage="1" showErrorMessage="1" prompt="Advise whether trim corrections were made on departure" sqref="BN33:BQ33" xr:uid="{00000000-0002-0000-0E00-00002B000000}">
      <formula1>$CN$13:$CN$14</formula1>
    </dataValidation>
    <dataValidation allowBlank="1" showInputMessage="1" showErrorMessage="1" prompt="Advise time that the closing soundings were made_x000a_" sqref="BB32:BI32" xr:uid="{00000000-0002-0000-0E00-00002C000000}"/>
    <dataValidation allowBlank="1" showInputMessage="1" showErrorMessage="1" prompt="Advise the list of the vessel when closing soundings were made and select either °P or °S in the adjacent box" sqref="AH34:AL34" xr:uid="{00000000-0002-0000-0E00-00002D000000}"/>
    <dataValidation type="list" allowBlank="1" showInputMessage="1" showErrorMessage="1" sqref="AM34" xr:uid="{00000000-0002-0000-0E00-00002E000000}">
      <formula1>$CN$65:$CN$66</formula1>
    </dataValidation>
    <dataValidation allowBlank="1" showInputMessage="1" showErrorMessage="1" prompt="Enter the serial number of the thermometer used" sqref="BX5:CG5" xr:uid="{00000000-0002-0000-0E00-00002F000000}"/>
    <dataValidation allowBlank="1" showInputMessage="1" showErrorMessage="1" prompt="Enter the serial number of the sounding tape used" sqref="BX4:CG4" xr:uid="{00000000-0002-0000-0E00-000030000000}"/>
    <dataValidation operator="greaterThan" allowBlank="1" showInputMessage="1" showErrorMessage="1" prompt="Enter the date of the calibration table_x000a_" sqref="BB5:BL5" xr:uid="{00000000-0002-0000-0E00-000031000000}"/>
    <dataValidation allowBlank="1" showInputMessage="1" showErrorMessage="1" prompt="Please enter the name of the company that has certified/created the calibration table." sqref="BB4:BL4" xr:uid="{00000000-0002-0000-0E00-000032000000}"/>
    <dataValidation allowBlank="1" showInputMessage="1" showErrorMessage="1" prompt="Advise date closing measurements were made" sqref="AP32:AW32" xr:uid="{F02B6478-B9C5-4AEF-9861-04DED7F0BE93}"/>
    <dataValidation allowBlank="1" showInputMessage="1" showErrorMessage="1" promptTitle="Laboratory Density" prompt="If sample is analysed in the laboratory please enter the laboratory density." sqref="F59:Y59" xr:uid="{D4744775-C86D-4573-91F2-FBBBE4BCD41B}"/>
    <dataValidation allowBlank="1" showInputMessage="1" showErrorMessage="1" prompt="Use the density of the supplied fuel as advised by the barge/supplier" sqref="CK49" xr:uid="{A3C46D33-867A-46A6-BB4D-D7CED473D665}"/>
    <dataValidation allowBlank="1" showInputMessage="1" showErrorMessage="1" prompt="Use the density of the fuel within the tank as advised by the C/E" sqref="CK48" xr:uid="{FBB77CE1-4512-4ABC-83F5-AC77B5720428}"/>
    <dataValidation allowBlank="1" showInputMessage="1" showErrorMessage="1" prompt="Use the GOV of the tank after bunkering" sqref="CK47" xr:uid="{76DC6071-8C4B-41DD-A69A-3C6B1B5DAF48}"/>
    <dataValidation allowBlank="1" showInputMessage="1" showErrorMessage="1" prompt="Use the GOV of the tank before bunkering" sqref="CK46" xr:uid="{282212CD-4643-4CD2-AA38-62F69F101DEC}"/>
  </dataValidations>
  <printOptions horizontalCentered="1" verticalCentered="1"/>
  <pageMargins left="0.23622047244094491" right="0.23622047244094491" top="0.23622047244094491" bottom="0.23622047244094491" header="0.51181102362204722" footer="0.23622047244094491"/>
  <pageSetup scale="94" orientation="landscape" r:id="rId1"/>
  <headerFooter alignWithMargins="0">
    <oddFooter>&amp;C&amp;06 &amp;P &amp; of &amp;N</oddFooter>
  </headerFooter>
  <drawing r:id="rId2"/>
  <extLst>
    <ext xmlns:x14="http://schemas.microsoft.com/office/spreadsheetml/2009/9/main" uri="{78C0D931-6437-407d-A8EE-F0AAD7539E65}">
      <x14:conditionalFormattings>
        <x14:conditionalFormatting xmlns:xm="http://schemas.microsoft.com/office/excel/2006/main">
          <x14:cfRule type="containsBlanks" priority="3" stopIfTrue="1" id="{BD05B483-D085-4602-861B-B53372D20AF8}">
            <xm:f>LEN(TRIM('Vessel Survey 1'!F46))=0</xm:f>
            <x14:dxf>
              <fill>
                <patternFill>
                  <bgColor rgb="FFCCCCFF"/>
                </patternFill>
              </fill>
            </x14:dxf>
          </x14:cfRule>
          <xm:sqref>F59 CK46:CK49</xm:sqref>
        </x14:conditionalFormatting>
        <x14:conditionalFormatting xmlns:xm="http://schemas.microsoft.com/office/excel/2006/main">
          <x14:cfRule type="containsBlanks" priority="2" stopIfTrue="1" id="{DBC4D4F4-65FE-4024-B4AF-C4B1F6705573}">
            <xm:f>LEN(TRIM('Vessel Survey 1'!Z50))=0</xm:f>
            <x14:dxf>
              <fill>
                <patternFill>
                  <bgColor rgb="FF99FFCC"/>
                </patternFill>
              </fill>
            </x14:dxf>
          </x14:cfRule>
          <xm:sqref>Z59:CG59 CK50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tabColor rgb="FFFFFF00"/>
    <pageSetUpPr fitToPage="1"/>
  </sheetPr>
  <dimension ref="A1:EB66"/>
  <sheetViews>
    <sheetView zoomScaleNormal="100" workbookViewId="0">
      <selection activeCell="AT19" sqref="AT19:AX19"/>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96" t="s">
        <v>280</v>
      </c>
      <c r="BM1" s="196"/>
      <c r="BN1" s="196"/>
      <c r="BO1" s="196"/>
      <c r="BP1" s="196"/>
      <c r="BQ1" s="6" t="s">
        <v>0</v>
      </c>
      <c r="BR1" s="196" t="str">
        <f>IF('Data Entry'!N28="","",'Data Entry'!N28)</f>
        <v/>
      </c>
      <c r="BS1" s="196"/>
      <c r="BT1" s="196"/>
      <c r="BU1" s="196"/>
      <c r="BV1" s="196"/>
      <c r="BW1" s="196"/>
      <c r="BX1" s="196"/>
      <c r="BY1" s="196"/>
      <c r="BZ1" s="196"/>
      <c r="CA1" s="196"/>
      <c r="CB1" s="196"/>
      <c r="CC1" s="196"/>
      <c r="CD1" s="196"/>
      <c r="CE1" s="196"/>
      <c r="CF1" s="196"/>
      <c r="CG1" s="196"/>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164" t="s">
        <v>538</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96" t="s">
        <v>281</v>
      </c>
      <c r="BM2" s="196"/>
      <c r="BN2" s="196"/>
      <c r="BO2" s="196"/>
      <c r="BP2" s="196"/>
      <c r="BQ2" s="6" t="s">
        <v>0</v>
      </c>
      <c r="BR2" s="196" t="str">
        <f>IF('Data Entry'!N39="","",'Data Entry'!N39)</f>
        <v>SC17124</v>
      </c>
      <c r="BS2" s="196"/>
      <c r="BT2" s="196"/>
      <c r="BU2" s="196"/>
      <c r="BV2" s="196"/>
      <c r="BW2" s="196"/>
      <c r="BX2" s="196"/>
      <c r="BY2" s="196"/>
      <c r="BZ2" s="196"/>
      <c r="CA2" s="196"/>
      <c r="CB2" s="196"/>
      <c r="CC2" s="196"/>
      <c r="CD2" s="196"/>
      <c r="CE2" s="196"/>
      <c r="CF2" s="196"/>
      <c r="CG2" s="196"/>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92" t="str">
        <f>IF('Data Entry'!N15="","",'Data Entry'!N15)</f>
        <v/>
      </c>
      <c r="Z4" s="392"/>
      <c r="AA4" s="392"/>
      <c r="AB4" s="392"/>
      <c r="AC4" s="392"/>
      <c r="AD4" s="392"/>
      <c r="AE4" s="155" t="s">
        <v>25</v>
      </c>
      <c r="AF4" s="155"/>
      <c r="AG4" s="155"/>
      <c r="AH4" s="90" t="s">
        <v>0</v>
      </c>
      <c r="AI4" s="155" t="str">
        <f>IF('Data Entry'!N19="","",'Data Entry'!N19)</f>
        <v/>
      </c>
      <c r="AJ4" s="155"/>
      <c r="AK4" s="155"/>
      <c r="AL4" s="155"/>
      <c r="AM4" s="155"/>
      <c r="AN4" s="155"/>
      <c r="AO4" s="155"/>
      <c r="AP4" s="155"/>
      <c r="AQ4" s="155" t="s">
        <v>421</v>
      </c>
      <c r="AR4" s="155"/>
      <c r="AS4" s="155"/>
      <c r="AT4" s="155"/>
      <c r="AU4" s="155"/>
      <c r="AV4" s="155"/>
      <c r="AW4" s="155"/>
      <c r="AX4" s="155"/>
      <c r="AY4" s="155"/>
      <c r="AZ4" s="155"/>
      <c r="BA4" s="90" t="s">
        <v>0</v>
      </c>
      <c r="BB4" s="155"/>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Entry'!N17="","",'Data Entry'!N17)</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92"/>
      <c r="BC5" s="392"/>
      <c r="BD5" s="392"/>
      <c r="BE5" s="392"/>
      <c r="BF5" s="392"/>
      <c r="BG5" s="392"/>
      <c r="BH5" s="392"/>
      <c r="BI5" s="392"/>
      <c r="BJ5" s="392"/>
      <c r="BK5" s="392"/>
      <c r="BL5" s="392"/>
      <c r="BM5" s="155" t="s">
        <v>424</v>
      </c>
      <c r="BN5" s="155"/>
      <c r="BO5" s="155"/>
      <c r="BP5" s="155"/>
      <c r="BQ5" s="155"/>
      <c r="BR5" s="155"/>
      <c r="BS5" s="155"/>
      <c r="BT5" s="155"/>
      <c r="BU5" s="155"/>
      <c r="BV5" s="155"/>
      <c r="BW5" s="90" t="s">
        <v>0</v>
      </c>
      <c r="BX5" s="155"/>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219" t="s">
        <v>29</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367"/>
      <c r="AO8" s="195" t="s">
        <v>351</v>
      </c>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N8" s="107" t="s">
        <v>192</v>
      </c>
    </row>
    <row r="9" spans="1:132" ht="11.45" customHeight="1" x14ac:dyDescent="0.2">
      <c r="A9" s="155" t="s">
        <v>4</v>
      </c>
      <c r="B9" s="155"/>
      <c r="C9" s="155"/>
      <c r="D9" s="155"/>
      <c r="E9" s="155"/>
      <c r="F9" s="155"/>
      <c r="G9" s="155"/>
      <c r="H9" s="155"/>
      <c r="I9" s="155"/>
      <c r="J9" s="155"/>
      <c r="K9" s="91" t="s">
        <v>0</v>
      </c>
      <c r="L9" s="182"/>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402"/>
      <c r="AO9" s="330" t="s">
        <v>229</v>
      </c>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91" t="s">
        <v>0</v>
      </c>
      <c r="BR9" s="335" t="str">
        <f>IF(BX30="","",BX30)</f>
        <v/>
      </c>
      <c r="BS9" s="335"/>
      <c r="BT9" s="335"/>
      <c r="BU9" s="335"/>
      <c r="BV9" s="335"/>
      <c r="BW9" s="335"/>
      <c r="BX9" s="335"/>
      <c r="BY9" s="335"/>
      <c r="BZ9" s="155" t="s">
        <v>173</v>
      </c>
      <c r="CA9" s="155"/>
      <c r="CB9" s="155"/>
      <c r="CC9" s="155"/>
      <c r="CD9" s="155"/>
      <c r="CE9" s="155"/>
      <c r="CF9" s="155"/>
      <c r="CG9" s="155"/>
      <c r="CN9" s="2" t="s">
        <v>193</v>
      </c>
    </row>
    <row r="10" spans="1:132" ht="11.45" customHeight="1" x14ac:dyDescent="0.2">
      <c r="A10" s="155" t="s">
        <v>228</v>
      </c>
      <c r="B10" s="155"/>
      <c r="C10" s="155"/>
      <c r="D10" s="155"/>
      <c r="E10" s="155"/>
      <c r="F10" s="155"/>
      <c r="G10" s="155"/>
      <c r="H10" s="155"/>
      <c r="I10" s="155"/>
      <c r="J10" s="155"/>
      <c r="K10" s="155"/>
      <c r="L10" s="155"/>
      <c r="M10" s="155"/>
      <c r="N10" s="155"/>
      <c r="O10" s="155" t="s">
        <v>2</v>
      </c>
      <c r="P10" s="155"/>
      <c r="Q10" s="155"/>
      <c r="R10" s="155"/>
      <c r="S10" s="91" t="s">
        <v>0</v>
      </c>
      <c r="T10" s="236"/>
      <c r="U10" s="236"/>
      <c r="V10" s="236"/>
      <c r="W10" s="236"/>
      <c r="X10" s="236"/>
      <c r="Y10" s="236"/>
      <c r="Z10" s="236"/>
      <c r="AA10" s="236"/>
      <c r="AB10" s="236"/>
      <c r="AC10" s="315" t="s">
        <v>16</v>
      </c>
      <c r="AD10" s="315"/>
      <c r="AE10" s="315"/>
      <c r="AF10" s="315"/>
      <c r="AG10" s="91" t="s">
        <v>0</v>
      </c>
      <c r="AH10" s="156"/>
      <c r="AI10" s="156"/>
      <c r="AJ10" s="156"/>
      <c r="AK10" s="156"/>
      <c r="AL10" s="156"/>
      <c r="AM10" s="156"/>
      <c r="AN10" s="157"/>
      <c r="AO10" s="330" t="s">
        <v>230</v>
      </c>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91" t="s">
        <v>0</v>
      </c>
      <c r="BR10" s="335" t="str">
        <f>IF(BX49="","",BX49)</f>
        <v/>
      </c>
      <c r="BS10" s="335"/>
      <c r="BT10" s="335"/>
      <c r="BU10" s="335"/>
      <c r="BV10" s="335"/>
      <c r="BW10" s="335"/>
      <c r="BX10" s="335"/>
      <c r="BY10" s="335"/>
      <c r="BZ10" s="155" t="s">
        <v>173</v>
      </c>
      <c r="CA10" s="155"/>
      <c r="CB10" s="155"/>
      <c r="CC10" s="155"/>
      <c r="CD10" s="155"/>
      <c r="CE10" s="155"/>
      <c r="CF10" s="155"/>
      <c r="CG10" s="155"/>
    </row>
    <row r="11" spans="1:132" ht="11.45" customHeight="1" x14ac:dyDescent="0.2">
      <c r="A11" s="155" t="s">
        <v>227</v>
      </c>
      <c r="B11" s="155"/>
      <c r="C11" s="155"/>
      <c r="D11" s="155"/>
      <c r="E11" s="155"/>
      <c r="F11" s="155"/>
      <c r="G11" s="155"/>
      <c r="H11" s="155"/>
      <c r="I11" s="155"/>
      <c r="J11" s="155"/>
      <c r="K11" s="155"/>
      <c r="L11" s="155"/>
      <c r="M11" s="155"/>
      <c r="N11" s="155"/>
      <c r="O11" s="155"/>
      <c r="P11" s="155"/>
      <c r="Q11" s="155"/>
      <c r="R11" s="155"/>
      <c r="S11" s="155"/>
      <c r="T11" s="155"/>
      <c r="U11" s="155"/>
      <c r="V11" s="155"/>
      <c r="W11" s="155"/>
      <c r="X11" s="155"/>
      <c r="Y11" s="155"/>
      <c r="Z11" s="91" t="s">
        <v>0</v>
      </c>
      <c r="AA11" s="364"/>
      <c r="AB11" s="364"/>
      <c r="AC11" s="364"/>
      <c r="AD11" s="364"/>
      <c r="AE11" s="364"/>
      <c r="AF11" s="364"/>
      <c r="AG11" s="364"/>
      <c r="AH11" s="364"/>
      <c r="AI11" s="155" t="s">
        <v>173</v>
      </c>
      <c r="AJ11" s="155"/>
      <c r="AK11" s="155"/>
      <c r="AL11" s="155"/>
      <c r="AM11" s="155"/>
      <c r="AN11" s="366"/>
      <c r="AO11" s="155" t="s">
        <v>234</v>
      </c>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91" t="s">
        <v>0</v>
      </c>
      <c r="BR11" s="382" t="str">
        <f>IF(OR(BR9="",BR10=""),"",ROUND(ABS(BR9-BR10),3))</f>
        <v/>
      </c>
      <c r="BS11" s="382"/>
      <c r="BT11" s="382"/>
      <c r="BU11" s="382"/>
      <c r="BV11" s="382"/>
      <c r="BW11" s="382"/>
      <c r="BX11" s="382"/>
      <c r="BY11" s="382"/>
      <c r="BZ11" s="155" t="s">
        <v>173</v>
      </c>
      <c r="CA11" s="155"/>
      <c r="CB11" s="155"/>
      <c r="CC11" s="155"/>
      <c r="CD11" s="155"/>
      <c r="CE11" s="155"/>
      <c r="CF11" s="155"/>
      <c r="CG11" s="155"/>
    </row>
    <row r="12" spans="1:132" ht="11.45" customHeight="1" thickBot="1" x14ac:dyDescent="0.25">
      <c r="A12" s="363"/>
      <c r="B12" s="363"/>
      <c r="C12" s="363"/>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c r="AP12" s="363"/>
      <c r="AQ12" s="363"/>
      <c r="AR12" s="363"/>
      <c r="AS12" s="363"/>
      <c r="AT12" s="363"/>
      <c r="AU12" s="363"/>
      <c r="AV12" s="363"/>
      <c r="AW12" s="363"/>
      <c r="AX12" s="363"/>
      <c r="AY12" s="363"/>
      <c r="AZ12" s="363"/>
      <c r="BA12" s="363"/>
      <c r="BB12" s="363"/>
      <c r="BC12" s="363"/>
      <c r="BD12" s="363"/>
      <c r="BE12" s="363"/>
      <c r="BF12" s="363"/>
      <c r="BG12" s="363"/>
      <c r="BH12" s="363"/>
      <c r="BI12" s="363"/>
      <c r="BJ12" s="363"/>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N12" s="1" t="s">
        <v>224</v>
      </c>
    </row>
    <row r="13" spans="1:132" ht="11.45" customHeight="1" x14ac:dyDescent="0.2">
      <c r="A13" s="396" t="s">
        <v>27</v>
      </c>
      <c r="B13" s="396"/>
      <c r="C13" s="396"/>
      <c r="D13" s="396"/>
      <c r="E13" s="396"/>
      <c r="F13" s="396"/>
      <c r="G13" s="396"/>
      <c r="H13" s="396"/>
      <c r="I13" s="396"/>
      <c r="J13" s="396"/>
      <c r="K13" s="396"/>
      <c r="L13" s="396"/>
      <c r="M13" s="396"/>
      <c r="N13" s="396"/>
      <c r="O13" s="396"/>
      <c r="P13" s="396"/>
      <c r="Q13" s="396"/>
      <c r="R13" s="396"/>
      <c r="S13" s="396"/>
      <c r="T13" s="396"/>
      <c r="U13" s="396"/>
      <c r="V13" s="396"/>
      <c r="W13" s="396"/>
      <c r="X13" s="396"/>
      <c r="Y13" s="396"/>
      <c r="Z13" s="396"/>
      <c r="AA13" s="396"/>
      <c r="AB13" s="396"/>
      <c r="AC13" s="396"/>
      <c r="AD13" s="396"/>
      <c r="AE13" s="396"/>
      <c r="AF13" s="396"/>
      <c r="AG13" s="396"/>
      <c r="AH13" s="396"/>
      <c r="AI13" s="396"/>
      <c r="AJ13" s="396"/>
      <c r="AK13" s="396"/>
      <c r="AL13" s="397" t="s">
        <v>2</v>
      </c>
      <c r="AM13" s="397"/>
      <c r="AN13" s="397"/>
      <c r="AO13" s="97" t="s">
        <v>0</v>
      </c>
      <c r="AP13" s="440" t="str">
        <f>IF('Data Entry'!N15="","",'Data Entry'!N15)</f>
        <v/>
      </c>
      <c r="AQ13" s="440"/>
      <c r="AR13" s="440"/>
      <c r="AS13" s="440"/>
      <c r="AT13" s="440"/>
      <c r="AU13" s="440"/>
      <c r="AV13" s="440"/>
      <c r="AW13" s="440"/>
      <c r="AX13" s="397" t="s">
        <v>16</v>
      </c>
      <c r="AY13" s="397"/>
      <c r="AZ13" s="397"/>
      <c r="BA13" s="97" t="s">
        <v>0</v>
      </c>
      <c r="BB13" s="399">
        <v>0.45833333333333331</v>
      </c>
      <c r="BC13" s="399"/>
      <c r="BD13" s="399"/>
      <c r="BE13" s="399"/>
      <c r="BF13" s="399"/>
      <c r="BG13" s="399"/>
      <c r="BH13" s="399"/>
      <c r="BI13" s="399"/>
      <c r="BJ13" s="397" t="s">
        <v>425</v>
      </c>
      <c r="BK13" s="397"/>
      <c r="BL13" s="397"/>
      <c r="BM13" s="397"/>
      <c r="BN13" s="397"/>
      <c r="BO13" s="397"/>
      <c r="BP13" s="397"/>
      <c r="BQ13" s="97" t="s">
        <v>0</v>
      </c>
      <c r="BR13" s="397" t="s">
        <v>430</v>
      </c>
      <c r="BS13" s="397"/>
      <c r="BT13" s="397"/>
      <c r="BU13" s="397"/>
      <c r="BV13" s="397"/>
      <c r="BW13" s="397"/>
      <c r="BX13" s="397"/>
      <c r="BY13" s="397"/>
      <c r="BZ13" s="397"/>
      <c r="CA13" s="397"/>
      <c r="CB13" s="397"/>
      <c r="CC13" s="397"/>
      <c r="CD13" s="397"/>
      <c r="CE13" s="397"/>
      <c r="CF13" s="397"/>
      <c r="CG13" s="397"/>
      <c r="CN13" s="107" t="s">
        <v>93</v>
      </c>
      <c r="CO13" s="91"/>
      <c r="CP13" s="91"/>
      <c r="CQ13" s="91"/>
    </row>
    <row r="14" spans="1:132" ht="11.45" customHeight="1" x14ac:dyDescent="0.2">
      <c r="A14" s="196"/>
      <c r="B14" s="196"/>
      <c r="C14" s="196"/>
      <c r="D14" s="196"/>
      <c r="E14" s="196"/>
      <c r="F14" s="196"/>
      <c r="G14" s="196" t="s">
        <v>196</v>
      </c>
      <c r="H14" s="196"/>
      <c r="I14" s="196"/>
      <c r="J14" s="196"/>
      <c r="K14" s="196"/>
      <c r="L14" s="196"/>
      <c r="M14" s="6" t="s">
        <v>0</v>
      </c>
      <c r="N14" s="403">
        <v>1.8</v>
      </c>
      <c r="O14" s="403"/>
      <c r="P14" s="403"/>
      <c r="Q14" s="403"/>
      <c r="R14" s="403"/>
      <c r="S14" s="403"/>
      <c r="T14" s="403" t="s">
        <v>192</v>
      </c>
      <c r="U14" s="403"/>
      <c r="V14" s="403"/>
      <c r="W14" s="403"/>
      <c r="X14" s="408"/>
      <c r="Y14" s="408"/>
      <c r="Z14" s="408"/>
      <c r="AA14" s="408"/>
      <c r="AB14" s="408"/>
      <c r="AC14" s="408"/>
      <c r="AD14" s="404" t="s">
        <v>427</v>
      </c>
      <c r="AE14" s="404"/>
      <c r="AF14" s="404"/>
      <c r="AG14" s="6" t="s">
        <v>0</v>
      </c>
      <c r="AH14" s="403">
        <f>IF(OR(N14="",N15=""),"",(N15-N14))</f>
        <v>0.7</v>
      </c>
      <c r="AI14" s="403"/>
      <c r="AJ14" s="403"/>
      <c r="AK14" s="403"/>
      <c r="AL14" s="403"/>
      <c r="AM14" s="410" t="str">
        <f>T14</f>
        <v xml:space="preserve"> M</v>
      </c>
      <c r="AN14" s="410"/>
      <c r="AO14" s="410"/>
      <c r="AP14" s="410"/>
      <c r="AQ14" s="196"/>
      <c r="AR14" s="196"/>
      <c r="AS14" s="196"/>
      <c r="AT14" s="196"/>
      <c r="AU14" s="196"/>
      <c r="AV14" s="196"/>
      <c r="AW14" s="403" t="s">
        <v>434</v>
      </c>
      <c r="AX14" s="403"/>
      <c r="AY14" s="403"/>
      <c r="AZ14" s="403"/>
      <c r="BA14" s="403"/>
      <c r="BB14" s="403"/>
      <c r="BC14" s="403"/>
      <c r="BD14" s="403"/>
      <c r="BE14" s="403"/>
      <c r="BF14" s="403"/>
      <c r="BG14" s="403"/>
      <c r="BH14" s="403"/>
      <c r="BI14" s="403"/>
      <c r="BJ14" s="403"/>
      <c r="BK14" s="403"/>
      <c r="BL14" s="403"/>
      <c r="BM14" s="88" t="s">
        <v>0</v>
      </c>
      <c r="BN14" s="196" t="s">
        <v>93</v>
      </c>
      <c r="BO14" s="196"/>
      <c r="BP14" s="196"/>
      <c r="BQ14" s="196"/>
      <c r="BR14" s="196"/>
      <c r="BS14" s="196"/>
      <c r="BT14" s="196"/>
      <c r="BU14" s="196"/>
      <c r="BV14" s="196"/>
      <c r="BW14" s="196"/>
      <c r="BX14" s="196"/>
      <c r="BY14" s="196"/>
      <c r="BZ14" s="196"/>
      <c r="CA14" s="196"/>
      <c r="CB14" s="196"/>
      <c r="CC14" s="196"/>
      <c r="CD14" s="196"/>
      <c r="CE14" s="196"/>
      <c r="CF14" s="196"/>
      <c r="CG14" s="196"/>
      <c r="CN14" s="2" t="s">
        <v>94</v>
      </c>
      <c r="CZ14" s="91"/>
      <c r="DA14" s="91"/>
      <c r="DB14" s="91"/>
      <c r="DC14" s="91"/>
      <c r="DD14" s="91"/>
    </row>
    <row r="15" spans="1:132" ht="11.45" customHeight="1" x14ac:dyDescent="0.2">
      <c r="A15" s="395"/>
      <c r="B15" s="395"/>
      <c r="C15" s="395"/>
      <c r="D15" s="395"/>
      <c r="E15" s="395"/>
      <c r="F15" s="395"/>
      <c r="G15" s="395" t="s">
        <v>426</v>
      </c>
      <c r="H15" s="395"/>
      <c r="I15" s="395"/>
      <c r="J15" s="395"/>
      <c r="K15" s="395"/>
      <c r="L15" s="395"/>
      <c r="M15" s="6" t="s">
        <v>0</v>
      </c>
      <c r="N15" s="406">
        <v>2.5</v>
      </c>
      <c r="O15" s="406"/>
      <c r="P15" s="406"/>
      <c r="Q15" s="406"/>
      <c r="R15" s="406"/>
      <c r="S15" s="406"/>
      <c r="T15" s="407" t="str">
        <f>T14</f>
        <v xml:space="preserve"> M</v>
      </c>
      <c r="U15" s="407"/>
      <c r="V15" s="407"/>
      <c r="W15" s="407"/>
      <c r="X15" s="409"/>
      <c r="Y15" s="409"/>
      <c r="Z15" s="409"/>
      <c r="AA15" s="409"/>
      <c r="AB15" s="409"/>
      <c r="AC15" s="409"/>
      <c r="AD15" s="405" t="s">
        <v>428</v>
      </c>
      <c r="AE15" s="405"/>
      <c r="AF15" s="405"/>
      <c r="AG15" s="6" t="s">
        <v>0</v>
      </c>
      <c r="AH15" s="395">
        <v>0</v>
      </c>
      <c r="AI15" s="395"/>
      <c r="AJ15" s="395"/>
      <c r="AK15" s="395"/>
      <c r="AL15" s="395"/>
      <c r="AM15" s="395"/>
      <c r="AN15" s="395"/>
      <c r="AO15" s="395"/>
      <c r="AP15" s="395"/>
      <c r="AQ15" s="395"/>
      <c r="AR15" s="395"/>
      <c r="AS15" s="395"/>
      <c r="AT15" s="395"/>
      <c r="AU15" s="395"/>
      <c r="AV15" s="395"/>
      <c r="AW15" s="406" t="s">
        <v>435</v>
      </c>
      <c r="AX15" s="406"/>
      <c r="AY15" s="406"/>
      <c r="AZ15" s="406"/>
      <c r="BA15" s="406"/>
      <c r="BB15" s="406"/>
      <c r="BC15" s="406"/>
      <c r="BD15" s="406"/>
      <c r="BE15" s="406"/>
      <c r="BF15" s="406"/>
      <c r="BG15" s="406"/>
      <c r="BH15" s="406"/>
      <c r="BI15" s="406"/>
      <c r="BJ15" s="406"/>
      <c r="BK15" s="406"/>
      <c r="BL15" s="406"/>
      <c r="BM15" s="88" t="s">
        <v>0</v>
      </c>
      <c r="BN15" s="395" t="s">
        <v>93</v>
      </c>
      <c r="BO15" s="395"/>
      <c r="BP15" s="395"/>
      <c r="BQ15" s="395"/>
      <c r="BR15" s="395"/>
      <c r="BS15" s="395"/>
      <c r="BT15" s="395"/>
      <c r="BU15" s="395"/>
      <c r="BV15" s="395"/>
      <c r="BW15" s="395"/>
      <c r="BX15" s="395"/>
      <c r="BY15" s="395"/>
      <c r="BZ15" s="395"/>
      <c r="CA15" s="395"/>
      <c r="CB15" s="395"/>
      <c r="CC15" s="395"/>
      <c r="CD15" s="395"/>
      <c r="CE15" s="395"/>
      <c r="CF15" s="395"/>
      <c r="CG15" s="395"/>
    </row>
    <row r="16" spans="1:132" ht="11.45" customHeight="1" x14ac:dyDescent="0.2">
      <c r="A16" s="359" t="s">
        <v>7</v>
      </c>
      <c r="B16" s="360"/>
      <c r="C16" s="360"/>
      <c r="D16" s="360"/>
      <c r="E16" s="360"/>
      <c r="F16" s="360"/>
      <c r="G16" s="360"/>
      <c r="H16" s="388"/>
      <c r="I16" s="329" t="s">
        <v>197</v>
      </c>
      <c r="J16" s="414"/>
      <c r="K16" s="414"/>
      <c r="L16" s="414"/>
      <c r="M16" s="414"/>
      <c r="N16" s="414"/>
      <c r="O16" s="415"/>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416"/>
      <c r="J17" s="417"/>
      <c r="K17" s="417"/>
      <c r="L17" s="417"/>
      <c r="M17" s="417"/>
      <c r="N17" s="417"/>
      <c r="O17" s="418"/>
      <c r="P17" s="333" t="str">
        <f>IF(P16=$CN$18,"@ 60°F",IF(P16=$CN$19,"@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550"/>
      <c r="B18" s="550"/>
      <c r="C18" s="550"/>
      <c r="D18" s="550"/>
      <c r="E18" s="550"/>
      <c r="F18" s="550"/>
      <c r="G18" s="550"/>
      <c r="H18" s="550"/>
      <c r="I18" s="345"/>
      <c r="J18" s="345"/>
      <c r="K18" s="345"/>
      <c r="L18" s="345"/>
      <c r="M18" s="345"/>
      <c r="N18" s="345"/>
      <c r="O18" s="345"/>
      <c r="P18" s="313"/>
      <c r="Q18" s="313"/>
      <c r="R18" s="313"/>
      <c r="S18" s="313"/>
      <c r="T18" s="313"/>
      <c r="U18" s="308"/>
      <c r="V18" s="308"/>
      <c r="W18" s="308"/>
      <c r="X18" s="308"/>
      <c r="Y18" s="308"/>
      <c r="Z18" s="308"/>
      <c r="AA18" s="308"/>
      <c r="AB18" s="308"/>
      <c r="AC18" s="309"/>
      <c r="AD18" s="308"/>
      <c r="AE18" s="308"/>
      <c r="AF18" s="308"/>
      <c r="AG18" s="308"/>
      <c r="AH18" s="309"/>
      <c r="AI18" s="308"/>
      <c r="AJ18" s="308"/>
      <c r="AK18" s="308"/>
      <c r="AL18" s="308"/>
      <c r="AM18" s="308"/>
      <c r="AN18" s="308"/>
      <c r="AO18" s="308"/>
      <c r="AP18" s="308"/>
      <c r="AQ18" s="308"/>
      <c r="AR18" s="308"/>
      <c r="AS18" s="308"/>
      <c r="AT18" s="308"/>
      <c r="AU18" s="308"/>
      <c r="AV18" s="308"/>
      <c r="AW18" s="308"/>
      <c r="AX18" s="308"/>
      <c r="AY18" s="312"/>
      <c r="AZ18" s="312"/>
      <c r="BA18" s="312"/>
      <c r="BB18" s="312"/>
      <c r="BC18" s="312"/>
      <c r="BD18" s="311" t="str">
        <f>IF(OR(AJ18="",AT18=""),"",AJ18-AT18)</f>
        <v/>
      </c>
      <c r="BE18" s="311"/>
      <c r="BF18" s="311"/>
      <c r="BG18" s="311"/>
      <c r="BH18" s="311"/>
      <c r="BI18" s="310" t="str">
        <f t="shared" ref="BI18:BI29" si="0">IF(OR(AY18="",P18=""),"",IF($CN$53=1,DW18,IF($CN$53=2,DY18,IF($CN$53=3,EA18,IF($CN$53=4,DX18,IF($CN$53=5,DZ18,IF($CN$53=6,EB18)))))))</f>
        <v/>
      </c>
      <c r="BJ18" s="310"/>
      <c r="BK18" s="310"/>
      <c r="BL18" s="310"/>
      <c r="BM18" s="310"/>
      <c r="BN18" s="311" t="str">
        <f t="shared" ref="BN18:BN29" si="1">IF(OR(BD18="",BI18=""),"",BD18*BI18)</f>
        <v/>
      </c>
      <c r="BO18" s="311"/>
      <c r="BP18" s="311"/>
      <c r="BQ18" s="311"/>
      <c r="BR18" s="311"/>
      <c r="BS18" s="332" t="str">
        <f t="shared" ref="BS18:BS29" si="2">IF(OR(BD18="",P18="",BI18=""),"",ROUND((DS18-0.0011),4))</f>
        <v/>
      </c>
      <c r="BT18" s="332"/>
      <c r="BU18" s="332"/>
      <c r="BV18" s="332"/>
      <c r="BW18" s="332"/>
      <c r="BX18" s="311" t="str">
        <f t="shared" ref="BX18:BX29" si="3">IF(OR(BD18="",P18="",BI18=""),"",IF($AJ$17=$CN$34,ROUND(BN18*BS18,3),ROUND(CS18*BI18*BS18,3)))</f>
        <v/>
      </c>
      <c r="BY18" s="311"/>
      <c r="BZ18" s="311"/>
      <c r="CA18" s="311"/>
      <c r="CB18" s="311"/>
      <c r="CC18" s="311" t="str">
        <f t="shared" ref="CC18:CC29" si="4">IF(OR(BD18="",P18="",BI18=""),"",IF($AJ$17=$CN$34,ROUND(BN18*DQ18,3),ROUND(CS18*BI18*DQ18,3)))</f>
        <v/>
      </c>
      <c r="CD18" s="311"/>
      <c r="CE18" s="311"/>
      <c r="CF18" s="311"/>
      <c r="CG18" s="311"/>
      <c r="CN18" s="107" t="s">
        <v>13</v>
      </c>
      <c r="CP18" s="107">
        <f t="shared" ref="CP18:CP29" si="5">IF(OR(AY18="",BD18=""),0,AY18*BD18)</f>
        <v>0</v>
      </c>
      <c r="CR18" s="28" t="e">
        <f t="shared" ref="CR18:CR29" si="6">IF($BD$17=$CN$35,BD18,(BD18*6.28981))</f>
        <v>#VALUE!</v>
      </c>
      <c r="CS18" s="29" t="str">
        <f t="shared" ref="CS18:CS29" si="7">IF($BD$17=$CN$34,BD18,(BD18/6.28981))</f>
        <v/>
      </c>
      <c r="CU18" s="30">
        <f t="shared" ref="CU18:CU29" si="8">IF($AY$17=$CN$40,AY18,(AY18*1.8+32))</f>
        <v>32</v>
      </c>
      <c r="CV18" s="31">
        <f t="shared" ref="CV18:CV29" si="9">ROUND(CU18*2,0)/2</f>
        <v>32</v>
      </c>
      <c r="CW18" s="32">
        <f>ROUND(CU18,1)</f>
        <v>32</v>
      </c>
      <c r="CX18" s="33">
        <f>(1.8*((((CW18-32)/1.8)-((-0.148759+((-0.267408+((1.08076+((1.269056+((-4.089591+((-1.871251+((7.438081+(-3.536296*(((CW18-32)/1.8)/630)))*(((CW18-32)/1.8)/630)))*(((CW18-32)/1.8)/630)))*(((CW18-32)/1.8)/630)))*(((CW18-32)/1.8)/630)))*(((CW18-32)/1.8)/630)))*(((CW18-32)/1.8)/630)))*(((CW18-32)/1.8)/630)))))+32</f>
        <v>32</v>
      </c>
      <c r="CY18" s="26"/>
      <c r="CZ18" s="30">
        <f t="shared" ref="CZ18:CZ29" si="10">IF($AY$17=$CN$39,AY18,(AY18-32)/1.8)</f>
        <v>0</v>
      </c>
      <c r="DA18" s="28">
        <f t="shared" ref="DA18:DA29" si="11">ROUND(CZ18*4,0)/4</f>
        <v>0</v>
      </c>
      <c r="DB18" s="34">
        <f>ROUND(CZ18,1)</f>
        <v>0</v>
      </c>
      <c r="DC18" s="33">
        <f>DB18-((-0.148759+((-0.267408+((1.08076+((1.269056+((-4.089591+((-1.871251+((7.438081+(-3.536296*(DB18/630)))*(DB18/630)))*(DB18/630)))*(DB18/630)))*(DB18/630)))*(DB18/630)))*(DB18/630)))*(DB18/630))</f>
        <v>0</v>
      </c>
      <c r="DD18" s="35"/>
      <c r="DE18" s="30" t="e">
        <f t="shared" ref="DE18:DE29" si="12">IF($P$16=$CN$18,P18,(141.5/DK18)-131.5)</f>
        <v>#DIV/0!</v>
      </c>
      <c r="DF18" s="31" t="e">
        <f t="shared" ref="DF18:DF29" si="13">ROUND(DE18*2,0)/2</f>
        <v>#DIV/0!</v>
      </c>
      <c r="DG18" s="32" t="e">
        <f>ROUND(DE18,1)</f>
        <v>#DIV/0!</v>
      </c>
      <c r="DH18" s="33" t="e">
        <f>(141.5/(DG18+131.5))*999.016</f>
        <v>#DIV/0!</v>
      </c>
      <c r="DI18" s="33" t="e">
        <f>DH18*(1+((EXP(((0.01374979547/2)*(((103.872/DH18)+0.2701)*(1/DH18)))*(1+(0.8*((0.01374979547/2)*(((103.872/DH18)+0.2701)*(1/DH18))))))-1)/(1+(((0.01374979547/2)*(((103.872/DH18)+0.2701)*(1/DH18)))*(1+(1.6*((0.01374979547/2)*(((103.872/DH18)+0.2701)*(1/DH18)))))*(((2*103.872)+(0.2701+DH18))/(103.872+(0.2701*DH18)))))))</f>
        <v>#DIV/0!</v>
      </c>
      <c r="DK18" s="36" t="e">
        <f t="shared" ref="DK18:DK29" si="14">IF($P$16=$CN$19,P18,IF($P$16=$CN$18,141.5/(P18+131.5),DQ18*ROUND(EXP(-(186.9696/(((TRUNC(5*(DQ18*100)+0.5)/5)*0.01)*1000)^2+0.4862/(((TRUNC(5*(DQ18*100)+0.5)/5)*0.01)*1000))*(0.56)*(1+0.8*(186.9696/(((TRUNC(5*(DQ18*100)+0.5)/5)*0.01)*1000)^2+0.4862/(((TRUNC(5*(DQ18*100)+0.5)/5)*0.01)*1000))*0.56)),4)/0.999012))</f>
        <v>#DIV/0!</v>
      </c>
      <c r="DL18" s="37" t="e">
        <f>ROUND(DK18*5,2)/5</f>
        <v>#DIV/0!</v>
      </c>
      <c r="DM18" s="38" t="e">
        <f>ROUND(DK18,4)</f>
        <v>#DIV/0!</v>
      </c>
      <c r="DN18" s="33" t="e">
        <f>DM18*999.016</f>
        <v>#DIV/0!</v>
      </c>
      <c r="DO18" s="33" t="e">
        <f>DN18*(1+((EXP(((0.01374979547/2)*(((103.872/DN18)+0.2701)*(1/DN18)))*(1+(0.8*((0.01374979547/2)*(((103.872/DN18)+0.2701)*(1/DN18))))))-1)/(1+(((0.01374979547/2)*(((103.872/DN18)+0.2701)*(1/DN18)))*(1+(1.6*((0.01374979547/2)*(((103.872/DN18)+0.2701)*(1/DN18)))))*(((2*103.872)+(0.2701+DN18))/(103.872+(0.2701*DN18)))))))</f>
        <v>#DIV/0!</v>
      </c>
      <c r="DQ18" s="36">
        <f t="shared" ref="DQ18:DQ29" si="15">IF($P$16=$CN$20,P18,DK18*0.999012*ROUND(EXP(-((103.872/((((TRUNC(5*(DK18*100)+0.5)/5)*0.01)*999.012)^2))+(0.2701/(((TRUNC(5*(DK18*100)+0.5)/5)*0.01)*999.012)))*(-1)*(1+(0.8*((103.872/((((TRUNC(5*(DK18*100)+0.5)/5)*0.01)*999.012)^2))+(0.2701/(((TRUNC(5*(DK18*100)+0.5)/5)*0.01)*999.012)))*(-1)))),4))</f>
        <v>0</v>
      </c>
      <c r="DR18" s="39">
        <f>ROUND(DQ18*5,2)/5</f>
        <v>0</v>
      </c>
      <c r="DS18" s="38">
        <f>ROUND(DQ18,4)</f>
        <v>0</v>
      </c>
      <c r="DT18" s="33">
        <f>DS18*1000</f>
        <v>0</v>
      </c>
      <c r="DU18" s="33" t="e">
        <f>DT18*(1+((EXP(((0.01374979547/2)*(((186.9696/DT18)+0.4862)*(1/DT18)))*(1+(0.8*((0.01374979547/2)*(((186.9696/DT18)+0.4862)*(1/DT18))))))-1)/(1+(((0.01374979547/2)*(((186.9696/DT18)+0.4862)*(1/DT18)))*(1+(1.6*((0.01374979547/2)*(((186.9696/DT18)+0.4862)*(1/DT18)))))*(((2*186.9696)+(0.4862+DT18))/(186.9696+(0.4862*DT18)))))))</f>
        <v>#DIV/0!</v>
      </c>
      <c r="DW18" s="38" t="e">
        <f>ROUND(EXP(-((103.872/(((141.5/(DF18+131.5))*999.012)^2))+(0.2701/((141.5/(DF18+131.5))*999.012)))*(CV18-60)*(1+(0.8*((103.872/(((141.5/(DF18+131.5))*999.012)^2))+(0.2701/((141.5/(DF18+131.5))*999.012)))*(CV18-60)))),4)</f>
        <v>#DIV/0!</v>
      </c>
      <c r="DX18" s="40" t="e">
        <f>ROUND(EXP(-(((103.872/DI18)+0.2701)*(1/DI18))*(CX18-60.0068749)*(1+(0.8*(((103.872/DI18)+0.2701)*(1/DI18))*((CX18-60.0068749)+0.01374979547)))),5)</f>
        <v>#DIV/0!</v>
      </c>
      <c r="DY18" s="36" t="e">
        <f>ROUND(EXP(-((103.872/((DL18*999.012)^2))+(0.2701/(DL18*999.012)))*(CV18-60)*(1+(0.8*((103.872/((DL18*999.012)^2))+(0.2701/(DL18*999.012)))*(CV18-60)))),4)</f>
        <v>#DIV/0!</v>
      </c>
      <c r="DZ18" s="40" t="e">
        <f>ROUND(EXP(-(((103.872/DO18)+0.2701)*(1/DO18))*(CX18-60.0068749)*(1+(0.8*(((103.872/DO18)+0.2701)*(1/DO18))*((CX18-60.0068749)+0.01374979547)))),5)</f>
        <v>#DIV/0!</v>
      </c>
      <c r="EA18" s="36" t="e">
        <f>ROUND(EXP(-((186.9696/((DR18*1000)^2))+(0.4862/(DR18*1000)))*(DA18-15)*(1+(0.8*((186.9696/((DR18*1000)^2))+(0.4862/(DR18*1000)))*(DA18-15)))),4)</f>
        <v>#DIV/0!</v>
      </c>
      <c r="EB18" s="40" t="e">
        <f>ROUND(EXP(-((((186.9696/DU18)+0.4862)*(1/DU18)))*(DC18-15.00367851)*(1+(0.8*((((186.9696/DU18)+0.4862)*(1/DU18)))*((DC18-15.00367851)+0.01374979547)))),5)</f>
        <v>#DIV/0!</v>
      </c>
    </row>
    <row r="19" spans="1:132" ht="11.45" customHeight="1" x14ac:dyDescent="0.2">
      <c r="A19" s="550"/>
      <c r="B19" s="550"/>
      <c r="C19" s="550"/>
      <c r="D19" s="550"/>
      <c r="E19" s="550"/>
      <c r="F19" s="550"/>
      <c r="G19" s="550"/>
      <c r="H19" s="550"/>
      <c r="I19" s="345"/>
      <c r="J19" s="345"/>
      <c r="K19" s="345"/>
      <c r="L19" s="345"/>
      <c r="M19" s="345"/>
      <c r="N19" s="345"/>
      <c r="O19" s="345"/>
      <c r="P19" s="313"/>
      <c r="Q19" s="313"/>
      <c r="R19" s="313"/>
      <c r="S19" s="313"/>
      <c r="T19" s="313"/>
      <c r="U19" s="308"/>
      <c r="V19" s="308"/>
      <c r="W19" s="308"/>
      <c r="X19" s="308"/>
      <c r="Y19" s="308"/>
      <c r="Z19" s="308"/>
      <c r="AA19" s="308"/>
      <c r="AB19" s="308"/>
      <c r="AC19" s="309"/>
      <c r="AD19" s="308"/>
      <c r="AE19" s="308"/>
      <c r="AF19" s="308"/>
      <c r="AG19" s="308"/>
      <c r="AH19" s="309"/>
      <c r="AI19" s="308"/>
      <c r="AJ19" s="308"/>
      <c r="AK19" s="308"/>
      <c r="AL19" s="308"/>
      <c r="AM19" s="308"/>
      <c r="AN19" s="308"/>
      <c r="AO19" s="308"/>
      <c r="AP19" s="308"/>
      <c r="AQ19" s="308"/>
      <c r="AR19" s="308"/>
      <c r="AS19" s="308"/>
      <c r="AT19" s="308"/>
      <c r="AU19" s="308"/>
      <c r="AV19" s="308"/>
      <c r="AW19" s="308"/>
      <c r="AX19" s="308"/>
      <c r="AY19" s="312"/>
      <c r="AZ19" s="312"/>
      <c r="BA19" s="312"/>
      <c r="BB19" s="312"/>
      <c r="BC19" s="312"/>
      <c r="BD19" s="311" t="str">
        <f t="shared" ref="BD19:BD29" si="16">IF(OR(AJ19="",AT19=""),"",AJ19-AT19)</f>
        <v/>
      </c>
      <c r="BE19" s="311"/>
      <c r="BF19" s="311"/>
      <c r="BG19" s="311"/>
      <c r="BH19" s="311"/>
      <c r="BI19" s="310" t="str">
        <f t="shared" si="0"/>
        <v/>
      </c>
      <c r="BJ19" s="310"/>
      <c r="BK19" s="310"/>
      <c r="BL19" s="310"/>
      <c r="BM19" s="310"/>
      <c r="BN19" s="311" t="str">
        <f t="shared" si="1"/>
        <v/>
      </c>
      <c r="BO19" s="311"/>
      <c r="BP19" s="311"/>
      <c r="BQ19" s="311"/>
      <c r="BR19" s="311"/>
      <c r="BS19" s="332" t="str">
        <f t="shared" si="2"/>
        <v/>
      </c>
      <c r="BT19" s="332"/>
      <c r="BU19" s="332"/>
      <c r="BV19" s="332"/>
      <c r="BW19" s="332"/>
      <c r="BX19" s="311" t="str">
        <f t="shared" si="3"/>
        <v/>
      </c>
      <c r="BY19" s="311"/>
      <c r="BZ19" s="311"/>
      <c r="CA19" s="311"/>
      <c r="CB19" s="311"/>
      <c r="CC19" s="311" t="str">
        <f t="shared" si="4"/>
        <v/>
      </c>
      <c r="CD19" s="311"/>
      <c r="CE19" s="311"/>
      <c r="CF19" s="311"/>
      <c r="CG19" s="311"/>
      <c r="CN19" s="87" t="s">
        <v>85</v>
      </c>
      <c r="CP19" s="87">
        <f t="shared" si="5"/>
        <v>0</v>
      </c>
      <c r="CR19" s="28" t="e">
        <f t="shared" si="6"/>
        <v>#VALUE!</v>
      </c>
      <c r="CS19" s="29" t="str">
        <f t="shared" si="7"/>
        <v/>
      </c>
      <c r="CU19" s="28">
        <f t="shared" si="8"/>
        <v>32</v>
      </c>
      <c r="CV19" s="31">
        <f t="shared" si="9"/>
        <v>32</v>
      </c>
      <c r="CW19" s="32">
        <f>ROUND(CU19,1)</f>
        <v>32</v>
      </c>
      <c r="CX19" s="32">
        <f t="shared" ref="CX19:CX29" si="17">(1.8*((((CW19-32)/1.8)-((-0.148759+((-0.267408+((1.08076+((1.269056+((-4.089591+((-1.871251+((7.438081+(-3.536296*(((CW19-32)/1.8)/630)))*(((CW19-32)/1.8)/630)))*(((CW19-32)/1.8)/630)))*(((CW19-32)/1.8)/630)))*(((CW19-32)/1.8)/630)))*(((CW19-32)/1.8)/630)))*(((CW19-32)/1.8)/630)))*(((CW19-32)/1.8)/630)))))+32</f>
        <v>32</v>
      </c>
      <c r="CY19" s="26"/>
      <c r="CZ19" s="28">
        <f t="shared" si="10"/>
        <v>0</v>
      </c>
      <c r="DA19" s="28">
        <f t="shared" si="11"/>
        <v>0</v>
      </c>
      <c r="DB19" s="34">
        <f>ROUND(CZ19,1)</f>
        <v>0</v>
      </c>
      <c r="DC19" s="32">
        <f t="shared" ref="DC19:DC29" si="18">DB19-((-0.148759+((-0.267408+((1.08076+((1.269056+((-4.089591+((-1.871251+((7.438081+(-3.536296*(DB19/630)))*(DB19/630)))*(DB19/630)))*(DB19/630)))*(DB19/630)))*(DB19/630)))*(DB19/630)))*(DB19/630))</f>
        <v>0</v>
      </c>
      <c r="DD19" s="35"/>
      <c r="DE19" s="28" t="e">
        <f t="shared" si="12"/>
        <v>#DIV/0!</v>
      </c>
      <c r="DF19" s="31" t="e">
        <f t="shared" si="13"/>
        <v>#DIV/0!</v>
      </c>
      <c r="DG19" s="32" t="e">
        <f>ROUND(DE19,1)</f>
        <v>#DIV/0!</v>
      </c>
      <c r="DH19" s="32" t="e">
        <f t="shared" ref="DH19:DH29" si="19">(141.5/(DG19+131.5))*999.016</f>
        <v>#DIV/0!</v>
      </c>
      <c r="DI19" s="32" t="e">
        <f t="shared" ref="DI19:DI29" si="20">DH19*(1+((EXP(((0.01374979547/2)*(((103.872/DH19)+0.2701)*(1/DH19)))*(1+(0.8*((0.01374979547/2)*(((103.872/DH19)+0.2701)*(1/DH19))))))-1)/(1+(((0.01374979547/2)*(((103.872/DH19)+0.2701)*(1/DH19)))*(1+(1.6*((0.01374979547/2)*(((103.872/DH19)+0.2701)*(1/DH19)))))*(((2*103.872)+(0.2701+DH19))/(103.872+(0.2701*DH19)))))))</f>
        <v>#DIV/0!</v>
      </c>
      <c r="DK19" s="38" t="e">
        <f t="shared" si="14"/>
        <v>#DIV/0!</v>
      </c>
      <c r="DL19" s="41" t="e">
        <f>ROUND(DK19*5,2)/5</f>
        <v>#DIV/0!</v>
      </c>
      <c r="DM19" s="38" t="e">
        <f>ROUND(DK19,4)</f>
        <v>#DIV/0!</v>
      </c>
      <c r="DN19" s="32" t="e">
        <f t="shared" ref="DN19:DN29" si="21">DM19*999.016</f>
        <v>#DIV/0!</v>
      </c>
      <c r="DO19" s="32" t="e">
        <f>DN19*(1+((EXP(((0.01374979547/2)*(((103.872/DN19)+0.2701)*(1/DN19)))*(1+(0.8*((0.01374979547/2)*(((103.872/DN19)+0.2701)*(1/DN19))))))-1)/(1+(((0.01374979547/2)*(((103.872/DN19)+0.2701)*(1/DN19)))*(1+(1.6*((0.01374979547/2)*(((103.872/DN19)+0.2701)*(1/DN19)))))*(((2*103.872)+(0.2701+DN19))/(103.872+(0.2701*DN19)))))))</f>
        <v>#DIV/0!</v>
      </c>
      <c r="DQ19" s="38">
        <f t="shared" si="15"/>
        <v>0</v>
      </c>
      <c r="DR19" s="29">
        <f>ROUND(DQ19*5,2)/5</f>
        <v>0</v>
      </c>
      <c r="DS19" s="38">
        <f>ROUND(DQ19,4)</f>
        <v>0</v>
      </c>
      <c r="DT19" s="32">
        <f t="shared" ref="DT19:DT29" si="22">DS19*1000</f>
        <v>0</v>
      </c>
      <c r="DU19" s="32" t="e">
        <f t="shared" ref="DU19:DU29" si="23">DT19*(1+((EXP(((0.01374979547/2)*(((186.9696/DT19)+0.4862)*(1/DT19)))*(1+(0.8*((0.01374979547/2)*(((186.9696/DT19)+0.4862)*(1/DT19))))))-1)/(1+(((0.01374979547/2)*(((186.9696/DT19)+0.4862)*(1/DT19)))*(1+(1.6*((0.01374979547/2)*(((186.9696/DT19)+0.4862)*(1/DT19)))))*(((2*186.9696)+(0.4862+DT19))/(186.9696+(0.4862*DT19)))))))</f>
        <v>#DIV/0!</v>
      </c>
      <c r="DW19" s="38" t="e">
        <f>ROUND(EXP(-((103.872/(((141.5/(DF19+131.5))*999.012)^2))+(0.2701/((141.5/(DF19+131.5))*999.012)))*(CV19-60)*(1+(0.8*((103.872/(((141.5/(DF19+131.5))*999.012)^2))+(0.2701/((141.5/(DF19+131.5))*999.012)))*(CV19-60)))),4)</f>
        <v>#DIV/0!</v>
      </c>
      <c r="DX19" s="42" t="e">
        <f>ROUND(EXP(-(((103.872/DI19)+0.2701)*(1/DI19))*(CX19-60.0068749)*(1+(0.8*(((103.872/DI19)+0.2701)*(1/DI19))*((CX19-60.0068749)+0.01374979547)))),5)</f>
        <v>#DIV/0!</v>
      </c>
      <c r="DY19" s="38" t="e">
        <f>ROUND(EXP(-((103.872/((DL19*999.012)^2))+(0.2701/(DL19*999.012)))*(CV19-60)*(1+(0.8*((103.872/((DL19*999.012)^2))+(0.2701/(DL19*999.012)))*(CV19-60)))),4)</f>
        <v>#DIV/0!</v>
      </c>
      <c r="DZ19" s="42" t="e">
        <f>ROUND(EXP(-(((103.872/DO19)+0.2701)*(1/DO19))*(CX19-60.0068749)*(1+(0.8*(((103.872/DO19)+0.2701)*(1/DO19))*((CX19-60.0068749)+0.01374979547)))),5)</f>
        <v>#DIV/0!</v>
      </c>
      <c r="EA19" s="38" t="e">
        <f>ROUND(EXP(-((186.9696/((DR19*1000)^2))+(0.4862/(DR19*1000)))*(DA19-15)*(1+(0.8*((186.9696/((DR19*1000)^2))+(0.4862/(DR19*1000)))*(DA19-15)))),4)</f>
        <v>#DIV/0!</v>
      </c>
      <c r="EB19" s="42" t="e">
        <f>ROUND(EXP(-((((186.9696/DU19)+0.4862)*(1/DU19)))*(DC19-15.00367851)*(1+(0.8*((((186.9696/DU19)+0.4862)*(1/DU19)))*((DC19-15.00367851)+0.01374979547)))),5)</f>
        <v>#DIV/0!</v>
      </c>
    </row>
    <row r="20" spans="1:132" ht="11.45" customHeight="1" x14ac:dyDescent="0.2">
      <c r="A20" s="317"/>
      <c r="B20" s="317"/>
      <c r="C20" s="317"/>
      <c r="D20" s="317"/>
      <c r="E20" s="317"/>
      <c r="F20" s="317"/>
      <c r="G20" s="317"/>
      <c r="H20" s="317"/>
      <c r="I20" s="345"/>
      <c r="J20" s="345"/>
      <c r="K20" s="345"/>
      <c r="L20" s="345"/>
      <c r="M20" s="345"/>
      <c r="N20" s="345"/>
      <c r="O20" s="345"/>
      <c r="P20" s="313"/>
      <c r="Q20" s="313"/>
      <c r="R20" s="313"/>
      <c r="S20" s="313"/>
      <c r="T20" s="313"/>
      <c r="U20" s="308"/>
      <c r="V20" s="308"/>
      <c r="W20" s="308"/>
      <c r="X20" s="308"/>
      <c r="Y20" s="308"/>
      <c r="Z20" s="308"/>
      <c r="AA20" s="308"/>
      <c r="AB20" s="308"/>
      <c r="AC20" s="309"/>
      <c r="AD20" s="308"/>
      <c r="AE20" s="308"/>
      <c r="AF20" s="308"/>
      <c r="AG20" s="308"/>
      <c r="AH20" s="309"/>
      <c r="AI20" s="308"/>
      <c r="AJ20" s="308"/>
      <c r="AK20" s="308"/>
      <c r="AL20" s="308"/>
      <c r="AM20" s="308"/>
      <c r="AN20" s="308"/>
      <c r="AO20" s="308"/>
      <c r="AP20" s="308"/>
      <c r="AQ20" s="308"/>
      <c r="AR20" s="308"/>
      <c r="AS20" s="308"/>
      <c r="AT20" s="308"/>
      <c r="AU20" s="308"/>
      <c r="AV20" s="308"/>
      <c r="AW20" s="308"/>
      <c r="AX20" s="308"/>
      <c r="AY20" s="312"/>
      <c r="AZ20" s="312"/>
      <c r="BA20" s="312"/>
      <c r="BB20" s="312"/>
      <c r="BC20" s="312"/>
      <c r="BD20" s="311" t="str">
        <f t="shared" si="16"/>
        <v/>
      </c>
      <c r="BE20" s="311"/>
      <c r="BF20" s="311"/>
      <c r="BG20" s="311"/>
      <c r="BH20" s="311"/>
      <c r="BI20" s="310" t="str">
        <f t="shared" si="0"/>
        <v/>
      </c>
      <c r="BJ20" s="310"/>
      <c r="BK20" s="310"/>
      <c r="BL20" s="310"/>
      <c r="BM20" s="310"/>
      <c r="BN20" s="311" t="str">
        <f t="shared" si="1"/>
        <v/>
      </c>
      <c r="BO20" s="311"/>
      <c r="BP20" s="311"/>
      <c r="BQ20" s="311"/>
      <c r="BR20" s="311"/>
      <c r="BS20" s="332" t="str">
        <f t="shared" si="2"/>
        <v/>
      </c>
      <c r="BT20" s="332"/>
      <c r="BU20" s="332"/>
      <c r="BV20" s="332"/>
      <c r="BW20" s="332"/>
      <c r="BX20" s="311" t="str">
        <f t="shared" si="3"/>
        <v/>
      </c>
      <c r="BY20" s="311"/>
      <c r="BZ20" s="311"/>
      <c r="CA20" s="311"/>
      <c r="CB20" s="311"/>
      <c r="CC20" s="311" t="str">
        <f t="shared" si="4"/>
        <v/>
      </c>
      <c r="CD20" s="311"/>
      <c r="CE20" s="311"/>
      <c r="CF20" s="311"/>
      <c r="CG20" s="311"/>
      <c r="CN20" s="2" t="s">
        <v>84</v>
      </c>
      <c r="CP20" s="87">
        <f t="shared" si="5"/>
        <v>0</v>
      </c>
      <c r="CR20" s="28" t="e">
        <f t="shared" si="6"/>
        <v>#VALUE!</v>
      </c>
      <c r="CS20" s="29" t="str">
        <f t="shared" si="7"/>
        <v/>
      </c>
      <c r="CU20" s="28">
        <f t="shared" si="8"/>
        <v>32</v>
      </c>
      <c r="CV20" s="31">
        <f t="shared" si="9"/>
        <v>32</v>
      </c>
      <c r="CW20" s="32">
        <f t="shared" ref="CW20:CW28" si="24">ROUND(CU20,1)</f>
        <v>32</v>
      </c>
      <c r="CX20" s="32">
        <f t="shared" si="17"/>
        <v>32</v>
      </c>
      <c r="CY20" s="26"/>
      <c r="CZ20" s="28">
        <f t="shared" si="10"/>
        <v>0</v>
      </c>
      <c r="DA20" s="28">
        <f t="shared" si="11"/>
        <v>0</v>
      </c>
      <c r="DB20" s="34">
        <f t="shared" ref="DB20:DB28" si="25">ROUND(CZ20,1)</f>
        <v>0</v>
      </c>
      <c r="DC20" s="32">
        <f t="shared" si="18"/>
        <v>0</v>
      </c>
      <c r="DD20" s="35"/>
      <c r="DE20" s="28" t="e">
        <f t="shared" si="12"/>
        <v>#DIV/0!</v>
      </c>
      <c r="DF20" s="31" t="e">
        <f t="shared" si="13"/>
        <v>#DIV/0!</v>
      </c>
      <c r="DG20" s="32" t="e">
        <f t="shared" ref="DG20:DG28" si="26">ROUND(DE20,1)</f>
        <v>#DIV/0!</v>
      </c>
      <c r="DH20" s="32" t="e">
        <f t="shared" si="19"/>
        <v>#DIV/0!</v>
      </c>
      <c r="DI20" s="32" t="e">
        <f t="shared" si="20"/>
        <v>#DIV/0!</v>
      </c>
      <c r="DK20" s="38" t="e">
        <f t="shared" si="14"/>
        <v>#DIV/0!</v>
      </c>
      <c r="DL20" s="41" t="e">
        <f t="shared" ref="DL20:DL28" si="27">ROUND(DK20*5,2)/5</f>
        <v>#DIV/0!</v>
      </c>
      <c r="DM20" s="38" t="e">
        <f t="shared" ref="DM20:DM28" si="28">ROUND(DK20,4)</f>
        <v>#DIV/0!</v>
      </c>
      <c r="DN20" s="32" t="e">
        <f t="shared" si="21"/>
        <v>#DIV/0!</v>
      </c>
      <c r="DO20" s="32" t="e">
        <f t="shared" ref="DO20:DO28" si="29">DN20*(1+((EXP(((0.01374979547/2)*(((103.872/DN20)+0.2701)*(1/DN20)))*(1+(0.8*((0.01374979547/2)*(((103.872/DN20)+0.2701)*(1/DN20))))))-1)/(1+(((0.01374979547/2)*(((103.872/DN20)+0.2701)*(1/DN20)))*(1+(1.6*((0.01374979547/2)*(((103.872/DN20)+0.2701)*(1/DN20)))))*(((2*103.872)+(0.2701+DN20))/(103.872+(0.2701*DN20)))))))</f>
        <v>#DIV/0!</v>
      </c>
      <c r="DQ20" s="38">
        <f t="shared" si="15"/>
        <v>0</v>
      </c>
      <c r="DR20" s="29">
        <f t="shared" ref="DR20:DR28" si="30">ROUND(DQ20*5,2)/5</f>
        <v>0</v>
      </c>
      <c r="DS20" s="38">
        <f t="shared" ref="DS20:DS28" si="31">ROUND(DQ20,4)</f>
        <v>0</v>
      </c>
      <c r="DT20" s="32">
        <f t="shared" si="22"/>
        <v>0</v>
      </c>
      <c r="DU20" s="32" t="e">
        <f t="shared" si="23"/>
        <v>#DIV/0!</v>
      </c>
      <c r="DW20" s="38" t="e">
        <f t="shared" ref="DW20:DW28" si="32">ROUND(EXP(-((103.872/(((141.5/(DF20+131.5))*999.012)^2))+(0.2701/((141.5/(DF20+131.5))*999.012)))*(CV20-60)*(1+(0.8*((103.872/(((141.5/(DF20+131.5))*999.012)^2))+(0.2701/((141.5/(DF20+131.5))*999.012)))*(CV20-60)))),4)</f>
        <v>#DIV/0!</v>
      </c>
      <c r="DX20" s="42" t="e">
        <f t="shared" ref="DX20:DX28" si="33">ROUND(EXP(-(((103.872/DI20)+0.2701)*(1/DI20))*(CX20-60.0068749)*(1+(0.8*(((103.872/DI20)+0.2701)*(1/DI20))*((CX20-60.0068749)+0.01374979547)))),5)</f>
        <v>#DIV/0!</v>
      </c>
      <c r="DY20" s="38" t="e">
        <f t="shared" ref="DY20:DY28" si="34">ROUND(EXP(-((103.872/((DL20*999.012)^2))+(0.2701/(DL20*999.012)))*(CV20-60)*(1+(0.8*((103.872/((DL20*999.012)^2))+(0.2701/(DL20*999.012)))*(CV20-60)))),4)</f>
        <v>#DIV/0!</v>
      </c>
      <c r="DZ20" s="42" t="e">
        <f t="shared" ref="DZ20:DZ28" si="35">ROUND(EXP(-(((103.872/DO20)+0.2701)*(1/DO20))*(CX20-60.0068749)*(1+(0.8*(((103.872/DO20)+0.2701)*(1/DO20))*((CX20-60.0068749)+0.01374979547)))),5)</f>
        <v>#DIV/0!</v>
      </c>
      <c r="EA20" s="38" t="e">
        <f t="shared" ref="EA20:EA28" si="36">ROUND(EXP(-((186.9696/((DR20*1000)^2))+(0.4862/(DR20*1000)))*(DA20-15)*(1+(0.8*((186.9696/((DR20*1000)^2))+(0.4862/(DR20*1000)))*(DA20-15)))),4)</f>
        <v>#DIV/0!</v>
      </c>
      <c r="EB20" s="42" t="e">
        <f t="shared" ref="EB20:EB28" si="37">ROUND(EXP(-((((186.9696/DU20)+0.4862)*(1/DU20)))*(DC20-15.00367851)*(1+(0.8*((((186.9696/DU20)+0.4862)*(1/DU20)))*((DC20-15.00367851)+0.01374979547)))),5)</f>
        <v>#DIV/0!</v>
      </c>
    </row>
    <row r="21" spans="1:132" ht="11.45" customHeight="1" x14ac:dyDescent="0.2">
      <c r="A21" s="317"/>
      <c r="B21" s="317"/>
      <c r="C21" s="317"/>
      <c r="D21" s="317"/>
      <c r="E21" s="317"/>
      <c r="F21" s="317"/>
      <c r="G21" s="317"/>
      <c r="H21" s="317"/>
      <c r="I21" s="345"/>
      <c r="J21" s="345"/>
      <c r="K21" s="345"/>
      <c r="L21" s="345"/>
      <c r="M21" s="345"/>
      <c r="N21" s="345"/>
      <c r="O21" s="345"/>
      <c r="P21" s="313"/>
      <c r="Q21" s="313"/>
      <c r="R21" s="313"/>
      <c r="S21" s="313"/>
      <c r="T21" s="313"/>
      <c r="U21" s="308"/>
      <c r="V21" s="308"/>
      <c r="W21" s="308"/>
      <c r="X21" s="308"/>
      <c r="Y21" s="308"/>
      <c r="Z21" s="308"/>
      <c r="AA21" s="308"/>
      <c r="AB21" s="308"/>
      <c r="AC21" s="309"/>
      <c r="AD21" s="308"/>
      <c r="AE21" s="308"/>
      <c r="AF21" s="308"/>
      <c r="AG21" s="308"/>
      <c r="AH21" s="309"/>
      <c r="AI21" s="308"/>
      <c r="AJ21" s="308"/>
      <c r="AK21" s="308"/>
      <c r="AL21" s="308"/>
      <c r="AM21" s="308"/>
      <c r="AN21" s="308"/>
      <c r="AO21" s="308"/>
      <c r="AP21" s="308"/>
      <c r="AQ21" s="308"/>
      <c r="AR21" s="308"/>
      <c r="AS21" s="308"/>
      <c r="AT21" s="308"/>
      <c r="AU21" s="308"/>
      <c r="AV21" s="308"/>
      <c r="AW21" s="308"/>
      <c r="AX21" s="308"/>
      <c r="AY21" s="312"/>
      <c r="AZ21" s="312"/>
      <c r="BA21" s="312"/>
      <c r="BB21" s="312"/>
      <c r="BC21" s="312"/>
      <c r="BD21" s="311" t="str">
        <f t="shared" si="16"/>
        <v/>
      </c>
      <c r="BE21" s="311"/>
      <c r="BF21" s="311"/>
      <c r="BG21" s="311"/>
      <c r="BH21" s="311"/>
      <c r="BI21" s="310" t="str">
        <f t="shared" si="0"/>
        <v/>
      </c>
      <c r="BJ21" s="310"/>
      <c r="BK21" s="310"/>
      <c r="BL21" s="310"/>
      <c r="BM21" s="310"/>
      <c r="BN21" s="311" t="str">
        <f t="shared" si="1"/>
        <v/>
      </c>
      <c r="BO21" s="311"/>
      <c r="BP21" s="311"/>
      <c r="BQ21" s="311"/>
      <c r="BR21" s="311"/>
      <c r="BS21" s="332" t="str">
        <f t="shared" si="2"/>
        <v/>
      </c>
      <c r="BT21" s="332"/>
      <c r="BU21" s="332"/>
      <c r="BV21" s="332"/>
      <c r="BW21" s="332"/>
      <c r="BX21" s="311" t="str">
        <f t="shared" si="3"/>
        <v/>
      </c>
      <c r="BY21" s="311"/>
      <c r="BZ21" s="311"/>
      <c r="CA21" s="311"/>
      <c r="CB21" s="311"/>
      <c r="CC21" s="311" t="str">
        <f t="shared" si="4"/>
        <v/>
      </c>
      <c r="CD21" s="311"/>
      <c r="CE21" s="311"/>
      <c r="CF21" s="311"/>
      <c r="CG21" s="311"/>
      <c r="CI21" s="323" t="s">
        <v>175</v>
      </c>
      <c r="CJ21" s="324"/>
      <c r="CK21" s="324"/>
      <c r="CL21" s="325"/>
      <c r="CP21" s="87">
        <f t="shared" si="5"/>
        <v>0</v>
      </c>
      <c r="CR21" s="28" t="e">
        <f t="shared" si="6"/>
        <v>#VALUE!</v>
      </c>
      <c r="CS21" s="29" t="str">
        <f t="shared" si="7"/>
        <v/>
      </c>
      <c r="CU21" s="28">
        <f t="shared" si="8"/>
        <v>32</v>
      </c>
      <c r="CV21" s="31">
        <f t="shared" si="9"/>
        <v>32</v>
      </c>
      <c r="CW21" s="32">
        <f t="shared" si="24"/>
        <v>32</v>
      </c>
      <c r="CX21" s="32">
        <f t="shared" si="17"/>
        <v>32</v>
      </c>
      <c r="CY21" s="26"/>
      <c r="CZ21" s="28">
        <f t="shared" si="10"/>
        <v>0</v>
      </c>
      <c r="DA21" s="28">
        <f t="shared" si="11"/>
        <v>0</v>
      </c>
      <c r="DB21" s="34">
        <f t="shared" si="25"/>
        <v>0</v>
      </c>
      <c r="DC21" s="32">
        <f t="shared" si="18"/>
        <v>0</v>
      </c>
      <c r="DD21" s="35"/>
      <c r="DE21" s="28" t="e">
        <f t="shared" si="12"/>
        <v>#DIV/0!</v>
      </c>
      <c r="DF21" s="31" t="e">
        <f t="shared" si="13"/>
        <v>#DIV/0!</v>
      </c>
      <c r="DG21" s="32" t="e">
        <f t="shared" si="26"/>
        <v>#DIV/0!</v>
      </c>
      <c r="DH21" s="32" t="e">
        <f t="shared" si="19"/>
        <v>#DIV/0!</v>
      </c>
      <c r="DI21" s="32" t="e">
        <f t="shared" si="20"/>
        <v>#DIV/0!</v>
      </c>
      <c r="DK21" s="38" t="e">
        <f t="shared" si="14"/>
        <v>#DIV/0!</v>
      </c>
      <c r="DL21" s="41" t="e">
        <f t="shared" si="27"/>
        <v>#DIV/0!</v>
      </c>
      <c r="DM21" s="38" t="e">
        <f t="shared" si="28"/>
        <v>#DIV/0!</v>
      </c>
      <c r="DN21" s="32" t="e">
        <f t="shared" si="21"/>
        <v>#DIV/0!</v>
      </c>
      <c r="DO21" s="32" t="e">
        <f t="shared" si="29"/>
        <v>#DIV/0!</v>
      </c>
      <c r="DQ21" s="38">
        <f t="shared" si="15"/>
        <v>0</v>
      </c>
      <c r="DR21" s="29">
        <f t="shared" si="30"/>
        <v>0</v>
      </c>
      <c r="DS21" s="38">
        <f t="shared" si="31"/>
        <v>0</v>
      </c>
      <c r="DT21" s="32">
        <f t="shared" si="22"/>
        <v>0</v>
      </c>
      <c r="DU21" s="32" t="e">
        <f t="shared" si="23"/>
        <v>#DIV/0!</v>
      </c>
      <c r="DW21" s="38" t="e">
        <f t="shared" si="32"/>
        <v>#DIV/0!</v>
      </c>
      <c r="DX21" s="42" t="e">
        <f t="shared" si="33"/>
        <v>#DIV/0!</v>
      </c>
      <c r="DY21" s="38" t="e">
        <f t="shared" si="34"/>
        <v>#DIV/0!</v>
      </c>
      <c r="DZ21" s="42" t="e">
        <f t="shared" si="35"/>
        <v>#DIV/0!</v>
      </c>
      <c r="EA21" s="38" t="e">
        <f t="shared" si="36"/>
        <v>#DIV/0!</v>
      </c>
      <c r="EB21" s="42" t="e">
        <f t="shared" si="37"/>
        <v>#DIV/0!</v>
      </c>
    </row>
    <row r="22" spans="1:132" ht="11.45" customHeight="1" x14ac:dyDescent="0.2">
      <c r="A22" s="317"/>
      <c r="B22" s="317"/>
      <c r="C22" s="317"/>
      <c r="D22" s="317"/>
      <c r="E22" s="317"/>
      <c r="F22" s="317"/>
      <c r="G22" s="317"/>
      <c r="H22" s="317"/>
      <c r="I22" s="345"/>
      <c r="J22" s="345"/>
      <c r="K22" s="345"/>
      <c r="L22" s="345"/>
      <c r="M22" s="345"/>
      <c r="N22" s="345"/>
      <c r="O22" s="345"/>
      <c r="P22" s="313"/>
      <c r="Q22" s="313"/>
      <c r="R22" s="313"/>
      <c r="S22" s="313"/>
      <c r="T22" s="313"/>
      <c r="U22" s="308"/>
      <c r="V22" s="308"/>
      <c r="W22" s="308"/>
      <c r="X22" s="308"/>
      <c r="Y22" s="308"/>
      <c r="Z22" s="308"/>
      <c r="AA22" s="308"/>
      <c r="AB22" s="308"/>
      <c r="AC22" s="309"/>
      <c r="AD22" s="308"/>
      <c r="AE22" s="308"/>
      <c r="AF22" s="308"/>
      <c r="AG22" s="308"/>
      <c r="AH22" s="309"/>
      <c r="AI22" s="308"/>
      <c r="AJ22" s="308"/>
      <c r="AK22" s="308"/>
      <c r="AL22" s="308"/>
      <c r="AM22" s="308"/>
      <c r="AN22" s="308"/>
      <c r="AO22" s="308"/>
      <c r="AP22" s="308"/>
      <c r="AQ22" s="308"/>
      <c r="AR22" s="308"/>
      <c r="AS22" s="308"/>
      <c r="AT22" s="308"/>
      <c r="AU22" s="308"/>
      <c r="AV22" s="308"/>
      <c r="AW22" s="308"/>
      <c r="AX22" s="308"/>
      <c r="AY22" s="312"/>
      <c r="AZ22" s="312"/>
      <c r="BA22" s="312"/>
      <c r="BB22" s="312"/>
      <c r="BC22" s="312"/>
      <c r="BD22" s="311" t="str">
        <f t="shared" si="16"/>
        <v/>
      </c>
      <c r="BE22" s="311"/>
      <c r="BF22" s="311"/>
      <c r="BG22" s="311"/>
      <c r="BH22" s="311"/>
      <c r="BI22" s="310" t="str">
        <f t="shared" si="0"/>
        <v/>
      </c>
      <c r="BJ22" s="310"/>
      <c r="BK22" s="310"/>
      <c r="BL22" s="310"/>
      <c r="BM22" s="310"/>
      <c r="BN22" s="311" t="str">
        <f t="shared" si="1"/>
        <v/>
      </c>
      <c r="BO22" s="311"/>
      <c r="BP22" s="311"/>
      <c r="BQ22" s="311"/>
      <c r="BR22" s="311"/>
      <c r="BS22" s="332" t="str">
        <f t="shared" si="2"/>
        <v/>
      </c>
      <c r="BT22" s="332"/>
      <c r="BU22" s="332"/>
      <c r="BV22" s="332"/>
      <c r="BW22" s="332"/>
      <c r="BX22" s="311" t="str">
        <f t="shared" si="3"/>
        <v/>
      </c>
      <c r="BY22" s="311"/>
      <c r="BZ22" s="311"/>
      <c r="CA22" s="311"/>
      <c r="CB22" s="311"/>
      <c r="CC22" s="311" t="str">
        <f t="shared" si="4"/>
        <v/>
      </c>
      <c r="CD22" s="311"/>
      <c r="CE22" s="311"/>
      <c r="CF22" s="311"/>
      <c r="CG22" s="311"/>
      <c r="CI22" s="326"/>
      <c r="CJ22" s="327"/>
      <c r="CK22" s="327"/>
      <c r="CL22" s="328"/>
      <c r="CP22" s="87">
        <f t="shared" si="5"/>
        <v>0</v>
      </c>
      <c r="CR22" s="28" t="e">
        <f t="shared" si="6"/>
        <v>#VALUE!</v>
      </c>
      <c r="CS22" s="29" t="str">
        <f t="shared" si="7"/>
        <v/>
      </c>
      <c r="CU22" s="28">
        <f t="shared" si="8"/>
        <v>32</v>
      </c>
      <c r="CV22" s="31">
        <f t="shared" si="9"/>
        <v>32</v>
      </c>
      <c r="CW22" s="32">
        <f t="shared" si="24"/>
        <v>32</v>
      </c>
      <c r="CX22" s="32">
        <f t="shared" si="17"/>
        <v>32</v>
      </c>
      <c r="CY22" s="26"/>
      <c r="CZ22" s="28">
        <f t="shared" si="10"/>
        <v>0</v>
      </c>
      <c r="DA22" s="28">
        <f t="shared" si="11"/>
        <v>0</v>
      </c>
      <c r="DB22" s="34">
        <f t="shared" si="25"/>
        <v>0</v>
      </c>
      <c r="DC22" s="32">
        <f t="shared" si="18"/>
        <v>0</v>
      </c>
      <c r="DD22" s="35"/>
      <c r="DE22" s="28" t="e">
        <f t="shared" si="12"/>
        <v>#DIV/0!</v>
      </c>
      <c r="DF22" s="31" t="e">
        <f t="shared" si="13"/>
        <v>#DIV/0!</v>
      </c>
      <c r="DG22" s="32" t="e">
        <f t="shared" si="26"/>
        <v>#DIV/0!</v>
      </c>
      <c r="DH22" s="32" t="e">
        <f t="shared" si="19"/>
        <v>#DIV/0!</v>
      </c>
      <c r="DI22" s="32" t="e">
        <f t="shared" si="20"/>
        <v>#DIV/0!</v>
      </c>
      <c r="DK22" s="38" t="e">
        <f t="shared" si="14"/>
        <v>#DIV/0!</v>
      </c>
      <c r="DL22" s="41" t="e">
        <f t="shared" si="27"/>
        <v>#DIV/0!</v>
      </c>
      <c r="DM22" s="38" t="e">
        <f t="shared" si="28"/>
        <v>#DIV/0!</v>
      </c>
      <c r="DN22" s="32" t="e">
        <f t="shared" si="21"/>
        <v>#DIV/0!</v>
      </c>
      <c r="DO22" s="32" t="e">
        <f t="shared" si="29"/>
        <v>#DIV/0!</v>
      </c>
      <c r="DQ22" s="38">
        <f t="shared" si="15"/>
        <v>0</v>
      </c>
      <c r="DR22" s="29">
        <f t="shared" si="30"/>
        <v>0</v>
      </c>
      <c r="DS22" s="38">
        <f t="shared" si="31"/>
        <v>0</v>
      </c>
      <c r="DT22" s="32">
        <f t="shared" si="22"/>
        <v>0</v>
      </c>
      <c r="DU22" s="32" t="e">
        <f t="shared" si="23"/>
        <v>#DIV/0!</v>
      </c>
      <c r="DW22" s="38" t="e">
        <f t="shared" si="32"/>
        <v>#DIV/0!</v>
      </c>
      <c r="DX22" s="42" t="e">
        <f t="shared" si="33"/>
        <v>#DIV/0!</v>
      </c>
      <c r="DY22" s="38" t="e">
        <f t="shared" si="34"/>
        <v>#DIV/0!</v>
      </c>
      <c r="DZ22" s="42" t="e">
        <f t="shared" si="35"/>
        <v>#DIV/0!</v>
      </c>
      <c r="EA22" s="38" t="e">
        <f t="shared" si="36"/>
        <v>#DIV/0!</v>
      </c>
      <c r="EB22" s="42" t="e">
        <f t="shared" si="37"/>
        <v>#DIV/0!</v>
      </c>
    </row>
    <row r="23" spans="1:132" ht="11.45" customHeight="1" x14ac:dyDescent="0.2">
      <c r="A23" s="317"/>
      <c r="B23" s="317"/>
      <c r="C23" s="317"/>
      <c r="D23" s="317"/>
      <c r="E23" s="317"/>
      <c r="F23" s="317"/>
      <c r="G23" s="317"/>
      <c r="H23" s="317"/>
      <c r="I23" s="345"/>
      <c r="J23" s="345"/>
      <c r="K23" s="345"/>
      <c r="L23" s="345"/>
      <c r="M23" s="345"/>
      <c r="N23" s="345"/>
      <c r="O23" s="345"/>
      <c r="P23" s="313"/>
      <c r="Q23" s="313"/>
      <c r="R23" s="313"/>
      <c r="S23" s="313"/>
      <c r="T23" s="313"/>
      <c r="U23" s="308"/>
      <c r="V23" s="308"/>
      <c r="W23" s="308"/>
      <c r="X23" s="308"/>
      <c r="Y23" s="308"/>
      <c r="Z23" s="308"/>
      <c r="AA23" s="308"/>
      <c r="AB23" s="308"/>
      <c r="AC23" s="309"/>
      <c r="AD23" s="308"/>
      <c r="AE23" s="308"/>
      <c r="AF23" s="308"/>
      <c r="AG23" s="308"/>
      <c r="AH23" s="309"/>
      <c r="AI23" s="308"/>
      <c r="AJ23" s="308"/>
      <c r="AK23" s="308"/>
      <c r="AL23" s="308"/>
      <c r="AM23" s="308"/>
      <c r="AN23" s="308"/>
      <c r="AO23" s="308"/>
      <c r="AP23" s="308"/>
      <c r="AQ23" s="308"/>
      <c r="AR23" s="308"/>
      <c r="AS23" s="308"/>
      <c r="AT23" s="308"/>
      <c r="AU23" s="308"/>
      <c r="AV23" s="308"/>
      <c r="AW23" s="308"/>
      <c r="AX23" s="308"/>
      <c r="AY23" s="312"/>
      <c r="AZ23" s="312"/>
      <c r="BA23" s="312"/>
      <c r="BB23" s="312"/>
      <c r="BC23" s="312"/>
      <c r="BD23" s="311" t="str">
        <f t="shared" si="16"/>
        <v/>
      </c>
      <c r="BE23" s="311"/>
      <c r="BF23" s="311"/>
      <c r="BG23" s="311"/>
      <c r="BH23" s="311"/>
      <c r="BI23" s="310" t="str">
        <f t="shared" si="0"/>
        <v/>
      </c>
      <c r="BJ23" s="310"/>
      <c r="BK23" s="310"/>
      <c r="BL23" s="310"/>
      <c r="BM23" s="310"/>
      <c r="BN23" s="311" t="str">
        <f t="shared" si="1"/>
        <v/>
      </c>
      <c r="BO23" s="311"/>
      <c r="BP23" s="311"/>
      <c r="BQ23" s="311"/>
      <c r="BR23" s="311"/>
      <c r="BS23" s="332" t="str">
        <f t="shared" si="2"/>
        <v/>
      </c>
      <c r="BT23" s="332"/>
      <c r="BU23" s="332"/>
      <c r="BV23" s="332"/>
      <c r="BW23" s="332"/>
      <c r="BX23" s="311" t="str">
        <f t="shared" si="3"/>
        <v/>
      </c>
      <c r="BY23" s="311"/>
      <c r="BZ23" s="311"/>
      <c r="CA23" s="311"/>
      <c r="CB23" s="311"/>
      <c r="CC23" s="311" t="str">
        <f t="shared" si="4"/>
        <v/>
      </c>
      <c r="CD23" s="311"/>
      <c r="CE23" s="311"/>
      <c r="CF23" s="311"/>
      <c r="CG23" s="311"/>
      <c r="CI23" s="108" t="s">
        <v>170</v>
      </c>
      <c r="CJ23" s="109"/>
      <c r="CK23" s="43" t="e">
        <f>AVERAGE(AY18:BC29)</f>
        <v>#DIV/0!</v>
      </c>
      <c r="CL23" s="21" t="s">
        <v>174</v>
      </c>
      <c r="CN23" s="1" t="s">
        <v>217</v>
      </c>
      <c r="CP23" s="87">
        <f t="shared" si="5"/>
        <v>0</v>
      </c>
      <c r="CR23" s="28" t="e">
        <f t="shared" si="6"/>
        <v>#VALUE!</v>
      </c>
      <c r="CS23" s="29" t="str">
        <f t="shared" si="7"/>
        <v/>
      </c>
      <c r="CU23" s="28">
        <f t="shared" si="8"/>
        <v>32</v>
      </c>
      <c r="CV23" s="31">
        <f t="shared" si="9"/>
        <v>32</v>
      </c>
      <c r="CW23" s="32">
        <f t="shared" si="24"/>
        <v>32</v>
      </c>
      <c r="CX23" s="32">
        <f t="shared" si="17"/>
        <v>32</v>
      </c>
      <c r="CY23" s="26"/>
      <c r="CZ23" s="28">
        <f t="shared" si="10"/>
        <v>0</v>
      </c>
      <c r="DA23" s="28">
        <f t="shared" si="11"/>
        <v>0</v>
      </c>
      <c r="DB23" s="34">
        <f t="shared" si="25"/>
        <v>0</v>
      </c>
      <c r="DC23" s="32">
        <f t="shared" si="18"/>
        <v>0</v>
      </c>
      <c r="DD23" s="35"/>
      <c r="DE23" s="28" t="e">
        <f t="shared" si="12"/>
        <v>#DIV/0!</v>
      </c>
      <c r="DF23" s="31" t="e">
        <f t="shared" si="13"/>
        <v>#DIV/0!</v>
      </c>
      <c r="DG23" s="32" t="e">
        <f t="shared" si="26"/>
        <v>#DIV/0!</v>
      </c>
      <c r="DH23" s="32" t="e">
        <f t="shared" si="19"/>
        <v>#DIV/0!</v>
      </c>
      <c r="DI23" s="32" t="e">
        <f t="shared" si="20"/>
        <v>#DIV/0!</v>
      </c>
      <c r="DK23" s="38" t="e">
        <f t="shared" si="14"/>
        <v>#DIV/0!</v>
      </c>
      <c r="DL23" s="41" t="e">
        <f t="shared" si="27"/>
        <v>#DIV/0!</v>
      </c>
      <c r="DM23" s="38" t="e">
        <f t="shared" si="28"/>
        <v>#DIV/0!</v>
      </c>
      <c r="DN23" s="32" t="e">
        <f t="shared" si="21"/>
        <v>#DIV/0!</v>
      </c>
      <c r="DO23" s="32" t="e">
        <f t="shared" si="29"/>
        <v>#DIV/0!</v>
      </c>
      <c r="DQ23" s="38">
        <f t="shared" si="15"/>
        <v>0</v>
      </c>
      <c r="DR23" s="29">
        <f t="shared" si="30"/>
        <v>0</v>
      </c>
      <c r="DS23" s="38">
        <f t="shared" si="31"/>
        <v>0</v>
      </c>
      <c r="DT23" s="32">
        <f t="shared" si="22"/>
        <v>0</v>
      </c>
      <c r="DU23" s="32" t="e">
        <f t="shared" si="23"/>
        <v>#DIV/0!</v>
      </c>
      <c r="DW23" s="38" t="e">
        <f t="shared" si="32"/>
        <v>#DIV/0!</v>
      </c>
      <c r="DX23" s="42" t="e">
        <f t="shared" si="33"/>
        <v>#DIV/0!</v>
      </c>
      <c r="DY23" s="38" t="e">
        <f t="shared" si="34"/>
        <v>#DIV/0!</v>
      </c>
      <c r="DZ23" s="42" t="e">
        <f t="shared" si="35"/>
        <v>#DIV/0!</v>
      </c>
      <c r="EA23" s="38" t="e">
        <f t="shared" si="36"/>
        <v>#DIV/0!</v>
      </c>
      <c r="EB23" s="42" t="e">
        <f t="shared" si="37"/>
        <v>#DIV/0!</v>
      </c>
    </row>
    <row r="24" spans="1:132" ht="11.45" customHeight="1" x14ac:dyDescent="0.2">
      <c r="A24" s="550"/>
      <c r="B24" s="550"/>
      <c r="C24" s="550"/>
      <c r="D24" s="550"/>
      <c r="E24" s="550"/>
      <c r="F24" s="550"/>
      <c r="G24" s="550"/>
      <c r="H24" s="550"/>
      <c r="I24" s="345"/>
      <c r="J24" s="345"/>
      <c r="K24" s="345"/>
      <c r="L24" s="345"/>
      <c r="M24" s="345"/>
      <c r="N24" s="345"/>
      <c r="O24" s="345"/>
      <c r="P24" s="313"/>
      <c r="Q24" s="313"/>
      <c r="R24" s="313"/>
      <c r="S24" s="313"/>
      <c r="T24" s="313"/>
      <c r="U24" s="308"/>
      <c r="V24" s="308"/>
      <c r="W24" s="308"/>
      <c r="X24" s="308"/>
      <c r="Y24" s="308"/>
      <c r="Z24" s="308"/>
      <c r="AA24" s="308"/>
      <c r="AB24" s="308"/>
      <c r="AC24" s="309"/>
      <c r="AD24" s="308"/>
      <c r="AE24" s="308"/>
      <c r="AF24" s="308"/>
      <c r="AG24" s="308"/>
      <c r="AH24" s="309"/>
      <c r="AI24" s="308"/>
      <c r="AJ24" s="308"/>
      <c r="AK24" s="308"/>
      <c r="AL24" s="308"/>
      <c r="AM24" s="308"/>
      <c r="AN24" s="308"/>
      <c r="AO24" s="308"/>
      <c r="AP24" s="308"/>
      <c r="AQ24" s="308"/>
      <c r="AR24" s="308"/>
      <c r="AS24" s="308"/>
      <c r="AT24" s="308"/>
      <c r="AU24" s="308"/>
      <c r="AV24" s="308"/>
      <c r="AW24" s="308"/>
      <c r="AX24" s="308"/>
      <c r="AY24" s="312"/>
      <c r="AZ24" s="312"/>
      <c r="BA24" s="312"/>
      <c r="BB24" s="312"/>
      <c r="BC24" s="312"/>
      <c r="BD24" s="311" t="str">
        <f t="shared" si="16"/>
        <v/>
      </c>
      <c r="BE24" s="311"/>
      <c r="BF24" s="311"/>
      <c r="BG24" s="311"/>
      <c r="BH24" s="311"/>
      <c r="BI24" s="310" t="str">
        <f t="shared" si="0"/>
        <v/>
      </c>
      <c r="BJ24" s="310"/>
      <c r="BK24" s="310"/>
      <c r="BL24" s="310"/>
      <c r="BM24" s="310"/>
      <c r="BN24" s="311" t="str">
        <f t="shared" si="1"/>
        <v/>
      </c>
      <c r="BO24" s="311"/>
      <c r="BP24" s="311"/>
      <c r="BQ24" s="311"/>
      <c r="BR24" s="311"/>
      <c r="BS24" s="332" t="str">
        <f t="shared" si="2"/>
        <v/>
      </c>
      <c r="BT24" s="332"/>
      <c r="BU24" s="332"/>
      <c r="BV24" s="332"/>
      <c r="BW24" s="332"/>
      <c r="BX24" s="311" t="str">
        <f t="shared" si="3"/>
        <v/>
      </c>
      <c r="BY24" s="311"/>
      <c r="BZ24" s="311"/>
      <c r="CA24" s="311"/>
      <c r="CB24" s="311"/>
      <c r="CC24" s="311" t="str">
        <f t="shared" si="4"/>
        <v/>
      </c>
      <c r="CD24" s="311"/>
      <c r="CE24" s="311"/>
      <c r="CF24" s="311"/>
      <c r="CG24" s="311"/>
      <c r="CI24" s="9" t="s">
        <v>171</v>
      </c>
      <c r="CJ24" s="10"/>
      <c r="CK24" s="44" t="e">
        <f>SUM(CP18:CP29)/BD30</f>
        <v>#VALUE!</v>
      </c>
      <c r="CL24" s="11" t="s">
        <v>174</v>
      </c>
      <c r="CN24" s="107" t="s">
        <v>459</v>
      </c>
      <c r="CP24" s="87">
        <f t="shared" si="5"/>
        <v>0</v>
      </c>
      <c r="CR24" s="28" t="e">
        <f t="shared" si="6"/>
        <v>#VALUE!</v>
      </c>
      <c r="CS24" s="29" t="str">
        <f t="shared" si="7"/>
        <v/>
      </c>
      <c r="CU24" s="28">
        <f t="shared" si="8"/>
        <v>32</v>
      </c>
      <c r="CV24" s="31">
        <f t="shared" si="9"/>
        <v>32</v>
      </c>
      <c r="CW24" s="32">
        <f t="shared" si="24"/>
        <v>32</v>
      </c>
      <c r="CX24" s="32">
        <f t="shared" si="17"/>
        <v>32</v>
      </c>
      <c r="CY24" s="26"/>
      <c r="CZ24" s="28">
        <f t="shared" si="10"/>
        <v>0</v>
      </c>
      <c r="DA24" s="28">
        <f t="shared" si="11"/>
        <v>0</v>
      </c>
      <c r="DB24" s="34">
        <f t="shared" si="25"/>
        <v>0</v>
      </c>
      <c r="DC24" s="32">
        <f t="shared" si="18"/>
        <v>0</v>
      </c>
      <c r="DD24" s="35"/>
      <c r="DE24" s="28" t="e">
        <f t="shared" si="12"/>
        <v>#DIV/0!</v>
      </c>
      <c r="DF24" s="31" t="e">
        <f t="shared" si="13"/>
        <v>#DIV/0!</v>
      </c>
      <c r="DG24" s="32" t="e">
        <f t="shared" si="26"/>
        <v>#DIV/0!</v>
      </c>
      <c r="DH24" s="32" t="e">
        <f t="shared" si="19"/>
        <v>#DIV/0!</v>
      </c>
      <c r="DI24" s="32" t="e">
        <f t="shared" si="20"/>
        <v>#DIV/0!</v>
      </c>
      <c r="DK24" s="38" t="e">
        <f t="shared" si="14"/>
        <v>#DIV/0!</v>
      </c>
      <c r="DL24" s="41" t="e">
        <f t="shared" si="27"/>
        <v>#DIV/0!</v>
      </c>
      <c r="DM24" s="38" t="e">
        <f t="shared" si="28"/>
        <v>#DIV/0!</v>
      </c>
      <c r="DN24" s="32" t="e">
        <f t="shared" si="21"/>
        <v>#DIV/0!</v>
      </c>
      <c r="DO24" s="32" t="e">
        <f t="shared" si="29"/>
        <v>#DIV/0!</v>
      </c>
      <c r="DQ24" s="38">
        <f t="shared" si="15"/>
        <v>0</v>
      </c>
      <c r="DR24" s="29">
        <f t="shared" si="30"/>
        <v>0</v>
      </c>
      <c r="DS24" s="38">
        <f t="shared" si="31"/>
        <v>0</v>
      </c>
      <c r="DT24" s="32">
        <f t="shared" si="22"/>
        <v>0</v>
      </c>
      <c r="DU24" s="32" t="e">
        <f t="shared" si="23"/>
        <v>#DIV/0!</v>
      </c>
      <c r="DW24" s="38" t="e">
        <f t="shared" si="32"/>
        <v>#DIV/0!</v>
      </c>
      <c r="DX24" s="42" t="e">
        <f t="shared" si="33"/>
        <v>#DIV/0!</v>
      </c>
      <c r="DY24" s="38" t="e">
        <f t="shared" si="34"/>
        <v>#DIV/0!</v>
      </c>
      <c r="DZ24" s="42" t="e">
        <f t="shared" si="35"/>
        <v>#DIV/0!</v>
      </c>
      <c r="EA24" s="38" t="e">
        <f t="shared" si="36"/>
        <v>#DIV/0!</v>
      </c>
      <c r="EB24" s="42" t="e">
        <f t="shared" si="37"/>
        <v>#DIV/0!</v>
      </c>
    </row>
    <row r="25" spans="1:132" ht="11.45" customHeight="1" x14ac:dyDescent="0.2">
      <c r="A25" s="550"/>
      <c r="B25" s="550"/>
      <c r="C25" s="550"/>
      <c r="D25" s="550"/>
      <c r="E25" s="550"/>
      <c r="F25" s="550"/>
      <c r="G25" s="550"/>
      <c r="H25" s="550"/>
      <c r="I25" s="345"/>
      <c r="J25" s="345"/>
      <c r="K25" s="345"/>
      <c r="L25" s="345"/>
      <c r="M25" s="345"/>
      <c r="N25" s="345"/>
      <c r="O25" s="345"/>
      <c r="P25" s="313"/>
      <c r="Q25" s="313"/>
      <c r="R25" s="313"/>
      <c r="S25" s="313"/>
      <c r="T25" s="313"/>
      <c r="U25" s="308"/>
      <c r="V25" s="308"/>
      <c r="W25" s="308"/>
      <c r="X25" s="308"/>
      <c r="Y25" s="308"/>
      <c r="Z25" s="308"/>
      <c r="AA25" s="308"/>
      <c r="AB25" s="308"/>
      <c r="AC25" s="309"/>
      <c r="AD25" s="308"/>
      <c r="AE25" s="308"/>
      <c r="AF25" s="308"/>
      <c r="AG25" s="308"/>
      <c r="AH25" s="309"/>
      <c r="AI25" s="308"/>
      <c r="AJ25" s="308"/>
      <c r="AK25" s="308"/>
      <c r="AL25" s="308"/>
      <c r="AM25" s="308"/>
      <c r="AN25" s="308"/>
      <c r="AO25" s="308"/>
      <c r="AP25" s="308"/>
      <c r="AQ25" s="308"/>
      <c r="AR25" s="308"/>
      <c r="AS25" s="308"/>
      <c r="AT25" s="308"/>
      <c r="AU25" s="308"/>
      <c r="AV25" s="308"/>
      <c r="AW25" s="308"/>
      <c r="AX25" s="308"/>
      <c r="AY25" s="312"/>
      <c r="AZ25" s="312"/>
      <c r="BA25" s="312"/>
      <c r="BB25" s="312"/>
      <c r="BC25" s="312"/>
      <c r="BD25" s="311" t="str">
        <f t="shared" si="16"/>
        <v/>
      </c>
      <c r="BE25" s="311"/>
      <c r="BF25" s="311"/>
      <c r="BG25" s="311"/>
      <c r="BH25" s="311"/>
      <c r="BI25" s="310" t="str">
        <f t="shared" si="0"/>
        <v/>
      </c>
      <c r="BJ25" s="310"/>
      <c r="BK25" s="310"/>
      <c r="BL25" s="310"/>
      <c r="BM25" s="310"/>
      <c r="BN25" s="311" t="str">
        <f t="shared" si="1"/>
        <v/>
      </c>
      <c r="BO25" s="311"/>
      <c r="BP25" s="311"/>
      <c r="BQ25" s="311"/>
      <c r="BR25" s="311"/>
      <c r="BS25" s="332" t="str">
        <f t="shared" si="2"/>
        <v/>
      </c>
      <c r="BT25" s="332"/>
      <c r="BU25" s="332"/>
      <c r="BV25" s="332"/>
      <c r="BW25" s="332"/>
      <c r="BX25" s="311" t="str">
        <f t="shared" si="3"/>
        <v/>
      </c>
      <c r="BY25" s="311"/>
      <c r="BZ25" s="311"/>
      <c r="CA25" s="311"/>
      <c r="CB25" s="311"/>
      <c r="CC25" s="311" t="str">
        <f t="shared" si="4"/>
        <v/>
      </c>
      <c r="CD25" s="311"/>
      <c r="CE25" s="311"/>
      <c r="CF25" s="311"/>
      <c r="CG25" s="311"/>
      <c r="CN25" s="2" t="s">
        <v>55</v>
      </c>
      <c r="CP25" s="87">
        <f t="shared" si="5"/>
        <v>0</v>
      </c>
      <c r="CR25" s="28" t="e">
        <f t="shared" si="6"/>
        <v>#VALUE!</v>
      </c>
      <c r="CS25" s="29" t="str">
        <f t="shared" si="7"/>
        <v/>
      </c>
      <c r="CU25" s="28">
        <f t="shared" si="8"/>
        <v>32</v>
      </c>
      <c r="CV25" s="31">
        <f t="shared" si="9"/>
        <v>32</v>
      </c>
      <c r="CW25" s="32">
        <f t="shared" si="24"/>
        <v>32</v>
      </c>
      <c r="CX25" s="32">
        <f t="shared" si="17"/>
        <v>32</v>
      </c>
      <c r="CY25" s="26"/>
      <c r="CZ25" s="28">
        <f t="shared" si="10"/>
        <v>0</v>
      </c>
      <c r="DA25" s="28">
        <f t="shared" si="11"/>
        <v>0</v>
      </c>
      <c r="DB25" s="34">
        <f t="shared" si="25"/>
        <v>0</v>
      </c>
      <c r="DC25" s="32">
        <f t="shared" si="18"/>
        <v>0</v>
      </c>
      <c r="DD25" s="35"/>
      <c r="DE25" s="28" t="e">
        <f t="shared" si="12"/>
        <v>#DIV/0!</v>
      </c>
      <c r="DF25" s="31" t="e">
        <f t="shared" si="13"/>
        <v>#DIV/0!</v>
      </c>
      <c r="DG25" s="32" t="e">
        <f t="shared" si="26"/>
        <v>#DIV/0!</v>
      </c>
      <c r="DH25" s="32" t="e">
        <f t="shared" si="19"/>
        <v>#DIV/0!</v>
      </c>
      <c r="DI25" s="32" t="e">
        <f t="shared" si="20"/>
        <v>#DIV/0!</v>
      </c>
      <c r="DK25" s="38" t="e">
        <f t="shared" si="14"/>
        <v>#DIV/0!</v>
      </c>
      <c r="DL25" s="41" t="e">
        <f t="shared" si="27"/>
        <v>#DIV/0!</v>
      </c>
      <c r="DM25" s="38" t="e">
        <f t="shared" si="28"/>
        <v>#DIV/0!</v>
      </c>
      <c r="DN25" s="32" t="e">
        <f t="shared" si="21"/>
        <v>#DIV/0!</v>
      </c>
      <c r="DO25" s="32" t="e">
        <f t="shared" si="29"/>
        <v>#DIV/0!</v>
      </c>
      <c r="DQ25" s="38">
        <f t="shared" si="15"/>
        <v>0</v>
      </c>
      <c r="DR25" s="29">
        <f t="shared" si="30"/>
        <v>0</v>
      </c>
      <c r="DS25" s="38">
        <f t="shared" si="31"/>
        <v>0</v>
      </c>
      <c r="DT25" s="32">
        <f t="shared" si="22"/>
        <v>0</v>
      </c>
      <c r="DU25" s="32" t="e">
        <f t="shared" si="23"/>
        <v>#DIV/0!</v>
      </c>
      <c r="DW25" s="38" t="e">
        <f t="shared" si="32"/>
        <v>#DIV/0!</v>
      </c>
      <c r="DX25" s="42" t="e">
        <f t="shared" si="33"/>
        <v>#DIV/0!</v>
      </c>
      <c r="DY25" s="38" t="e">
        <f t="shared" si="34"/>
        <v>#DIV/0!</v>
      </c>
      <c r="DZ25" s="42" t="e">
        <f t="shared" si="35"/>
        <v>#DIV/0!</v>
      </c>
      <c r="EA25" s="38" t="e">
        <f t="shared" si="36"/>
        <v>#DIV/0!</v>
      </c>
      <c r="EB25" s="42" t="e">
        <f t="shared" si="37"/>
        <v>#DIV/0!</v>
      </c>
    </row>
    <row r="26" spans="1:132" ht="11.45" customHeight="1" x14ac:dyDescent="0.2">
      <c r="A26" s="317"/>
      <c r="B26" s="317"/>
      <c r="C26" s="317"/>
      <c r="D26" s="317"/>
      <c r="E26" s="317"/>
      <c r="F26" s="317"/>
      <c r="G26" s="317"/>
      <c r="H26" s="317"/>
      <c r="I26" s="345"/>
      <c r="J26" s="345"/>
      <c r="K26" s="345"/>
      <c r="L26" s="345"/>
      <c r="M26" s="345"/>
      <c r="N26" s="345"/>
      <c r="O26" s="345"/>
      <c r="P26" s="313"/>
      <c r="Q26" s="313"/>
      <c r="R26" s="313"/>
      <c r="S26" s="313"/>
      <c r="T26" s="313"/>
      <c r="U26" s="308"/>
      <c r="V26" s="308"/>
      <c r="W26" s="308"/>
      <c r="X26" s="308"/>
      <c r="Y26" s="308"/>
      <c r="Z26" s="308"/>
      <c r="AA26" s="308"/>
      <c r="AB26" s="308"/>
      <c r="AC26" s="309"/>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6"/>
        <v/>
      </c>
      <c r="BE26" s="311"/>
      <c r="BF26" s="311"/>
      <c r="BG26" s="311"/>
      <c r="BH26" s="311"/>
      <c r="BI26" s="310" t="str">
        <f t="shared" si="0"/>
        <v/>
      </c>
      <c r="BJ26" s="310"/>
      <c r="BK26" s="310"/>
      <c r="BL26" s="310"/>
      <c r="BM26" s="310"/>
      <c r="BN26" s="311" t="str">
        <f t="shared" si="1"/>
        <v/>
      </c>
      <c r="BO26" s="311"/>
      <c r="BP26" s="311"/>
      <c r="BQ26" s="311"/>
      <c r="BR26" s="311"/>
      <c r="BS26" s="332" t="str">
        <f t="shared" si="2"/>
        <v/>
      </c>
      <c r="BT26" s="332"/>
      <c r="BU26" s="332"/>
      <c r="BV26" s="332"/>
      <c r="BW26" s="332"/>
      <c r="BX26" s="311" t="str">
        <f t="shared" si="3"/>
        <v/>
      </c>
      <c r="BY26" s="311"/>
      <c r="BZ26" s="311"/>
      <c r="CA26" s="311"/>
      <c r="CB26" s="311"/>
      <c r="CC26" s="311" t="str">
        <f t="shared" si="4"/>
        <v/>
      </c>
      <c r="CD26" s="311"/>
      <c r="CE26" s="311"/>
      <c r="CF26" s="311"/>
      <c r="CG26" s="311"/>
      <c r="CP26" s="87">
        <f t="shared" si="5"/>
        <v>0</v>
      </c>
      <c r="CR26" s="28" t="e">
        <f t="shared" si="6"/>
        <v>#VALUE!</v>
      </c>
      <c r="CS26" s="29" t="str">
        <f t="shared" si="7"/>
        <v/>
      </c>
      <c r="CU26" s="28">
        <f t="shared" si="8"/>
        <v>32</v>
      </c>
      <c r="CV26" s="31">
        <f t="shared" si="9"/>
        <v>32</v>
      </c>
      <c r="CW26" s="32">
        <f t="shared" si="24"/>
        <v>32</v>
      </c>
      <c r="CX26" s="32">
        <f t="shared" si="17"/>
        <v>32</v>
      </c>
      <c r="CY26" s="26"/>
      <c r="CZ26" s="28">
        <f t="shared" si="10"/>
        <v>0</v>
      </c>
      <c r="DA26" s="28">
        <f t="shared" si="11"/>
        <v>0</v>
      </c>
      <c r="DB26" s="34">
        <f t="shared" si="25"/>
        <v>0</v>
      </c>
      <c r="DC26" s="32">
        <f t="shared" si="18"/>
        <v>0</v>
      </c>
      <c r="DD26" s="35"/>
      <c r="DE26" s="28" t="e">
        <f t="shared" si="12"/>
        <v>#DIV/0!</v>
      </c>
      <c r="DF26" s="31" t="e">
        <f t="shared" si="13"/>
        <v>#DIV/0!</v>
      </c>
      <c r="DG26" s="32" t="e">
        <f t="shared" si="26"/>
        <v>#DIV/0!</v>
      </c>
      <c r="DH26" s="32" t="e">
        <f t="shared" si="19"/>
        <v>#DIV/0!</v>
      </c>
      <c r="DI26" s="32" t="e">
        <f t="shared" si="20"/>
        <v>#DIV/0!</v>
      </c>
      <c r="DK26" s="38" t="e">
        <f t="shared" si="14"/>
        <v>#DIV/0!</v>
      </c>
      <c r="DL26" s="41" t="e">
        <f t="shared" si="27"/>
        <v>#DIV/0!</v>
      </c>
      <c r="DM26" s="38" t="e">
        <f t="shared" si="28"/>
        <v>#DIV/0!</v>
      </c>
      <c r="DN26" s="32" t="e">
        <f t="shared" si="21"/>
        <v>#DIV/0!</v>
      </c>
      <c r="DO26" s="32" t="e">
        <f t="shared" si="29"/>
        <v>#DIV/0!</v>
      </c>
      <c r="DQ26" s="38">
        <f t="shared" si="15"/>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313"/>
      <c r="Q27" s="313"/>
      <c r="R27" s="313"/>
      <c r="S27" s="313"/>
      <c r="T27" s="3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6"/>
        <v/>
      </c>
      <c r="BE27" s="311"/>
      <c r="BF27" s="311"/>
      <c r="BG27" s="311"/>
      <c r="BH27" s="311"/>
      <c r="BI27" s="310" t="str">
        <f t="shared" si="0"/>
        <v/>
      </c>
      <c r="BJ27" s="310"/>
      <c r="BK27" s="310"/>
      <c r="BL27" s="310"/>
      <c r="BM27" s="310"/>
      <c r="BN27" s="311" t="str">
        <f t="shared" si="1"/>
        <v/>
      </c>
      <c r="BO27" s="311"/>
      <c r="BP27" s="311"/>
      <c r="BQ27" s="311"/>
      <c r="BR27" s="311"/>
      <c r="BS27" s="332" t="str">
        <f t="shared" si="2"/>
        <v/>
      </c>
      <c r="BT27" s="332"/>
      <c r="BU27" s="332"/>
      <c r="BV27" s="332"/>
      <c r="BW27" s="332"/>
      <c r="BX27" s="311" t="str">
        <f t="shared" si="3"/>
        <v/>
      </c>
      <c r="BY27" s="311"/>
      <c r="BZ27" s="311"/>
      <c r="CA27" s="311"/>
      <c r="CB27" s="311"/>
      <c r="CC27" s="311" t="str">
        <f t="shared" si="4"/>
        <v/>
      </c>
      <c r="CD27" s="311"/>
      <c r="CE27" s="311"/>
      <c r="CF27" s="311"/>
      <c r="CG27" s="311"/>
      <c r="CP27" s="87">
        <f t="shared" si="5"/>
        <v>0</v>
      </c>
      <c r="CR27" s="28" t="e">
        <f t="shared" si="6"/>
        <v>#VALUE!</v>
      </c>
      <c r="CS27" s="29" t="str">
        <f t="shared" si="7"/>
        <v/>
      </c>
      <c r="CU27" s="28">
        <f t="shared" si="8"/>
        <v>32</v>
      </c>
      <c r="CV27" s="31">
        <f t="shared" si="9"/>
        <v>32</v>
      </c>
      <c r="CW27" s="32">
        <f t="shared" si="24"/>
        <v>32</v>
      </c>
      <c r="CX27" s="32">
        <f t="shared" si="17"/>
        <v>32</v>
      </c>
      <c r="CY27" s="26"/>
      <c r="CZ27" s="28">
        <f t="shared" si="10"/>
        <v>0</v>
      </c>
      <c r="DA27" s="28">
        <f t="shared" si="11"/>
        <v>0</v>
      </c>
      <c r="DB27" s="34">
        <f t="shared" si="25"/>
        <v>0</v>
      </c>
      <c r="DC27" s="32">
        <f t="shared" si="18"/>
        <v>0</v>
      </c>
      <c r="DD27" s="35"/>
      <c r="DE27" s="28" t="e">
        <f t="shared" si="12"/>
        <v>#DIV/0!</v>
      </c>
      <c r="DF27" s="31" t="e">
        <f t="shared" si="13"/>
        <v>#DIV/0!</v>
      </c>
      <c r="DG27" s="32" t="e">
        <f t="shared" si="26"/>
        <v>#DIV/0!</v>
      </c>
      <c r="DH27" s="32" t="e">
        <f t="shared" si="19"/>
        <v>#DIV/0!</v>
      </c>
      <c r="DI27" s="32" t="e">
        <f t="shared" si="20"/>
        <v>#DIV/0!</v>
      </c>
      <c r="DK27" s="38" t="e">
        <f t="shared" si="14"/>
        <v>#DIV/0!</v>
      </c>
      <c r="DL27" s="41" t="e">
        <f t="shared" si="27"/>
        <v>#DIV/0!</v>
      </c>
      <c r="DM27" s="38" t="e">
        <f t="shared" si="28"/>
        <v>#DIV/0!</v>
      </c>
      <c r="DN27" s="32" t="e">
        <f t="shared" si="21"/>
        <v>#DIV/0!</v>
      </c>
      <c r="DO27" s="32" t="e">
        <f t="shared" si="29"/>
        <v>#DIV/0!</v>
      </c>
      <c r="DQ27" s="38">
        <f t="shared" si="15"/>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6"/>
        <v/>
      </c>
      <c r="BE28" s="311"/>
      <c r="BF28" s="311"/>
      <c r="BG28" s="311"/>
      <c r="BH28" s="311"/>
      <c r="BI28" s="310" t="str">
        <f t="shared" si="0"/>
        <v/>
      </c>
      <c r="BJ28" s="310"/>
      <c r="BK28" s="310"/>
      <c r="BL28" s="310"/>
      <c r="BM28" s="310"/>
      <c r="BN28" s="311" t="str">
        <f t="shared" si="1"/>
        <v/>
      </c>
      <c r="BO28" s="311"/>
      <c r="BP28" s="311"/>
      <c r="BQ28" s="311"/>
      <c r="BR28" s="311"/>
      <c r="BS28" s="332" t="str">
        <f t="shared" si="2"/>
        <v/>
      </c>
      <c r="BT28" s="332"/>
      <c r="BU28" s="332"/>
      <c r="BV28" s="332"/>
      <c r="BW28" s="332"/>
      <c r="BX28" s="311" t="str">
        <f t="shared" si="3"/>
        <v/>
      </c>
      <c r="BY28" s="311"/>
      <c r="BZ28" s="311"/>
      <c r="CA28" s="311"/>
      <c r="CB28" s="311"/>
      <c r="CC28" s="311" t="str">
        <f t="shared" si="4"/>
        <v/>
      </c>
      <c r="CD28" s="311"/>
      <c r="CE28" s="311"/>
      <c r="CF28" s="311"/>
      <c r="CG28" s="311"/>
      <c r="CN28" s="1" t="s">
        <v>216</v>
      </c>
      <c r="CP28" s="87">
        <f t="shared" si="5"/>
        <v>0</v>
      </c>
      <c r="CR28" s="28" t="e">
        <f t="shared" si="6"/>
        <v>#VALUE!</v>
      </c>
      <c r="CS28" s="29" t="str">
        <f t="shared" si="7"/>
        <v/>
      </c>
      <c r="CU28" s="28">
        <f t="shared" si="8"/>
        <v>32</v>
      </c>
      <c r="CV28" s="31">
        <f t="shared" si="9"/>
        <v>32</v>
      </c>
      <c r="CW28" s="32">
        <f t="shared" si="24"/>
        <v>32</v>
      </c>
      <c r="CX28" s="32">
        <f t="shared" si="17"/>
        <v>32</v>
      </c>
      <c r="CY28" s="26"/>
      <c r="CZ28" s="28">
        <f t="shared" si="10"/>
        <v>0</v>
      </c>
      <c r="DA28" s="28">
        <f t="shared" si="11"/>
        <v>0</v>
      </c>
      <c r="DB28" s="34">
        <f t="shared" si="25"/>
        <v>0</v>
      </c>
      <c r="DC28" s="32">
        <f t="shared" si="18"/>
        <v>0</v>
      </c>
      <c r="DD28" s="35"/>
      <c r="DE28" s="28" t="e">
        <f t="shared" si="12"/>
        <v>#DIV/0!</v>
      </c>
      <c r="DF28" s="31" t="e">
        <f t="shared" si="13"/>
        <v>#DIV/0!</v>
      </c>
      <c r="DG28" s="32" t="e">
        <f t="shared" si="26"/>
        <v>#DIV/0!</v>
      </c>
      <c r="DH28" s="32" t="e">
        <f t="shared" si="19"/>
        <v>#DIV/0!</v>
      </c>
      <c r="DI28" s="32" t="e">
        <f t="shared" si="20"/>
        <v>#DIV/0!</v>
      </c>
      <c r="DK28" s="38" t="e">
        <f t="shared" si="14"/>
        <v>#DIV/0!</v>
      </c>
      <c r="DL28" s="41" t="e">
        <f t="shared" si="27"/>
        <v>#DIV/0!</v>
      </c>
      <c r="DM28" s="38" t="e">
        <f t="shared" si="28"/>
        <v>#DIV/0!</v>
      </c>
      <c r="DN28" s="32" t="e">
        <f t="shared" si="21"/>
        <v>#DIV/0!</v>
      </c>
      <c r="DO28" s="32" t="e">
        <f t="shared" si="29"/>
        <v>#DIV/0!</v>
      </c>
      <c r="DQ28" s="38">
        <f t="shared" si="15"/>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6"/>
        <v/>
      </c>
      <c r="BE29" s="311"/>
      <c r="BF29" s="311"/>
      <c r="BG29" s="311"/>
      <c r="BH29" s="311"/>
      <c r="BI29" s="310" t="str">
        <f t="shared" si="0"/>
        <v/>
      </c>
      <c r="BJ29" s="310"/>
      <c r="BK29" s="310"/>
      <c r="BL29" s="310"/>
      <c r="BM29" s="310"/>
      <c r="BN29" s="311" t="str">
        <f t="shared" si="1"/>
        <v/>
      </c>
      <c r="BO29" s="311"/>
      <c r="BP29" s="311"/>
      <c r="BQ29" s="311"/>
      <c r="BR29" s="311"/>
      <c r="BS29" s="332" t="str">
        <f t="shared" si="2"/>
        <v/>
      </c>
      <c r="BT29" s="332"/>
      <c r="BU29" s="332"/>
      <c r="BV29" s="332"/>
      <c r="BW29" s="332"/>
      <c r="BX29" s="311" t="str">
        <f t="shared" si="3"/>
        <v/>
      </c>
      <c r="BY29" s="311"/>
      <c r="BZ29" s="311"/>
      <c r="CA29" s="311"/>
      <c r="CB29" s="311"/>
      <c r="CC29" s="311" t="str">
        <f t="shared" si="4"/>
        <v/>
      </c>
      <c r="CD29" s="311"/>
      <c r="CE29" s="311"/>
      <c r="CF29" s="311"/>
      <c r="CG29" s="311"/>
      <c r="CI29" s="323" t="s">
        <v>166</v>
      </c>
      <c r="CJ29" s="324"/>
      <c r="CK29" s="324"/>
      <c r="CL29" s="325"/>
      <c r="CN29" s="107" t="s">
        <v>198</v>
      </c>
      <c r="CP29" s="2">
        <f t="shared" si="5"/>
        <v>0</v>
      </c>
      <c r="CR29" s="45" t="e">
        <f t="shared" si="6"/>
        <v>#VALUE!</v>
      </c>
      <c r="CS29" s="46" t="str">
        <f t="shared" si="7"/>
        <v/>
      </c>
      <c r="CU29" s="45">
        <f t="shared" si="8"/>
        <v>32</v>
      </c>
      <c r="CV29" s="47">
        <f t="shared" si="9"/>
        <v>32</v>
      </c>
      <c r="CW29" s="48">
        <f>ROUND(CU29,1)</f>
        <v>32</v>
      </c>
      <c r="CX29" s="48">
        <f t="shared" si="17"/>
        <v>32</v>
      </c>
      <c r="CZ29" s="45">
        <f t="shared" si="10"/>
        <v>0</v>
      </c>
      <c r="DA29" s="45">
        <f t="shared" si="11"/>
        <v>0</v>
      </c>
      <c r="DB29" s="49">
        <f>ROUND(CZ29,1)</f>
        <v>0</v>
      </c>
      <c r="DC29" s="48">
        <f t="shared" si="18"/>
        <v>0</v>
      </c>
      <c r="DD29" s="35"/>
      <c r="DE29" s="45" t="e">
        <f t="shared" si="12"/>
        <v>#DIV/0!</v>
      </c>
      <c r="DF29" s="47" t="e">
        <f t="shared" si="13"/>
        <v>#DIV/0!</v>
      </c>
      <c r="DG29" s="48" t="e">
        <f>ROUND(DE29,1)</f>
        <v>#DIV/0!</v>
      </c>
      <c r="DH29" s="48" t="e">
        <f t="shared" si="19"/>
        <v>#DIV/0!</v>
      </c>
      <c r="DI29" s="48" t="e">
        <f t="shared" si="20"/>
        <v>#DIV/0!</v>
      </c>
      <c r="DK29" s="50" t="e">
        <f t="shared" si="14"/>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5"/>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t="str">
        <f>IF(COUNT(AJ18:AN29)=0,"",ROUND(SUM(AJ18:AN29),3))</f>
        <v/>
      </c>
      <c r="AK30" s="321"/>
      <c r="AL30" s="321"/>
      <c r="AM30" s="321"/>
      <c r="AN30" s="322"/>
      <c r="AO30" s="341" t="s">
        <v>214</v>
      </c>
      <c r="AP30" s="341"/>
      <c r="AQ30" s="341"/>
      <c r="AR30" s="341"/>
      <c r="AS30" s="341"/>
      <c r="AT30" s="320" t="str">
        <f>IF(COUNT(AT18:AX29)=0,"",ROUND(SUM(AT18:AX29),3))</f>
        <v/>
      </c>
      <c r="AU30" s="321"/>
      <c r="AV30" s="321"/>
      <c r="AW30" s="321"/>
      <c r="AX30" s="322"/>
      <c r="AY30" s="341" t="s">
        <v>211</v>
      </c>
      <c r="AZ30" s="341"/>
      <c r="BA30" s="341"/>
      <c r="BB30" s="341"/>
      <c r="BC30" s="341"/>
      <c r="BD30" s="320" t="str">
        <f>IF(COUNT(BD18:BH29)=0,"",ROUND(SUM(BD18:BH29),3))</f>
        <v/>
      </c>
      <c r="BE30" s="321"/>
      <c r="BF30" s="321"/>
      <c r="BG30" s="321"/>
      <c r="BH30" s="322"/>
      <c r="BI30" s="341" t="s">
        <v>210</v>
      </c>
      <c r="BJ30" s="341"/>
      <c r="BK30" s="341"/>
      <c r="BL30" s="341"/>
      <c r="BM30" s="341"/>
      <c r="BN30" s="320" t="str">
        <f>IF(COUNT(BN18:BR29)=0,"",ROUND(SUM(BN18:BR29),3))</f>
        <v/>
      </c>
      <c r="BO30" s="321"/>
      <c r="BP30" s="321"/>
      <c r="BQ30" s="321"/>
      <c r="BR30" s="322"/>
      <c r="BS30" s="341" t="s">
        <v>209</v>
      </c>
      <c r="BT30" s="341"/>
      <c r="BU30" s="341"/>
      <c r="BV30" s="341"/>
      <c r="BW30" s="341"/>
      <c r="BX30" s="320" t="str">
        <f>IF(COUNT(BX18:CB29)=0,"",ROUND(SUM(BX18:CB29),3))</f>
        <v/>
      </c>
      <c r="BY30" s="321"/>
      <c r="BZ30" s="321"/>
      <c r="CA30" s="321"/>
      <c r="CB30" s="322"/>
      <c r="CC30" s="320" t="str">
        <f>IF(COUNT(CC18:CG29)=0,"",ROUND(SUM(CC18:CG29),3))</f>
        <v/>
      </c>
      <c r="CD30" s="321"/>
      <c r="CE30" s="321"/>
      <c r="CF30" s="321"/>
      <c r="CG30" s="322"/>
      <c r="CI30" s="326"/>
      <c r="CJ30" s="327"/>
      <c r="CK30" s="327"/>
      <c r="CL30" s="328"/>
      <c r="CN30" s="2" t="s">
        <v>226</v>
      </c>
      <c r="CP30" s="91"/>
      <c r="DW30" s="91"/>
      <c r="DX30" s="91"/>
    </row>
    <row r="31" spans="1:132" ht="11.45" customHeight="1" thickBot="1" x14ac:dyDescent="0.25">
      <c r="A31" s="381"/>
      <c r="B31" s="381"/>
      <c r="C31" s="381"/>
      <c r="D31" s="381"/>
      <c r="E31" s="381"/>
      <c r="F31" s="381"/>
      <c r="G31" s="381"/>
      <c r="H31" s="381"/>
      <c r="I31" s="381"/>
      <c r="J31" s="381"/>
      <c r="K31" s="381"/>
      <c r="L31" s="381"/>
      <c r="M31" s="381"/>
      <c r="N31" s="381"/>
      <c r="O31" s="381"/>
      <c r="P31" s="381"/>
      <c r="Q31" s="381"/>
      <c r="R31" s="381"/>
      <c r="S31" s="381"/>
      <c r="T31" s="381"/>
      <c r="U31" s="381"/>
      <c r="V31" s="381"/>
      <c r="W31" s="381"/>
      <c r="X31" s="381"/>
      <c r="Y31" s="381"/>
      <c r="Z31" s="381"/>
      <c r="AA31" s="381"/>
      <c r="AB31" s="381"/>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81"/>
      <c r="BA31" s="381"/>
      <c r="BB31" s="381"/>
      <c r="BC31" s="381"/>
      <c r="BD31" s="381"/>
      <c r="BE31" s="381"/>
      <c r="BF31" s="381"/>
      <c r="BG31" s="381"/>
      <c r="BH31" s="381"/>
      <c r="BI31" s="381"/>
      <c r="BJ31" s="381"/>
      <c r="BK31" s="381"/>
      <c r="BL31" s="381"/>
      <c r="BM31" s="381"/>
      <c r="BN31" s="381"/>
      <c r="BO31" s="381"/>
      <c r="BP31" s="381"/>
      <c r="BQ31" s="381"/>
      <c r="BR31" s="381"/>
      <c r="BS31" s="381"/>
      <c r="BT31" s="381"/>
      <c r="BU31" s="381"/>
      <c r="BV31" s="381"/>
      <c r="BW31" s="381"/>
      <c r="BX31" s="381"/>
      <c r="BY31" s="381"/>
      <c r="BZ31" s="381"/>
      <c r="CA31" s="381"/>
      <c r="CB31" s="381"/>
      <c r="CC31" s="381"/>
      <c r="CD31" s="381"/>
      <c r="CE31" s="381"/>
      <c r="CF31" s="381"/>
      <c r="CG31" s="381"/>
      <c r="CI31" s="5"/>
      <c r="CJ31" s="113">
        <v>-110</v>
      </c>
      <c r="CK31" s="114">
        <v>-108.1</v>
      </c>
      <c r="CL31" s="115">
        <v>-108</v>
      </c>
      <c r="CP31" s="91"/>
      <c r="DW31" s="91"/>
      <c r="DX31" s="91"/>
    </row>
    <row r="32" spans="1:132" ht="11.45" customHeight="1" x14ac:dyDescent="0.2">
      <c r="A32" s="336" t="s">
        <v>28</v>
      </c>
      <c r="B32" s="336"/>
      <c r="C32" s="336"/>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336"/>
      <c r="AB32" s="336"/>
      <c r="AC32" s="336"/>
      <c r="AD32" s="336"/>
      <c r="AE32" s="336"/>
      <c r="AF32" s="336"/>
      <c r="AG32" s="336"/>
      <c r="AH32" s="336"/>
      <c r="AI32" s="336"/>
      <c r="AJ32" s="336"/>
      <c r="AK32" s="336"/>
      <c r="AL32" s="343" t="s">
        <v>2</v>
      </c>
      <c r="AM32" s="343"/>
      <c r="AN32" s="343"/>
      <c r="AO32" s="95" t="s">
        <v>0</v>
      </c>
      <c r="AP32" s="393" t="str">
        <f>AP13</f>
        <v/>
      </c>
      <c r="AQ32" s="393"/>
      <c r="AR32" s="393"/>
      <c r="AS32" s="393"/>
      <c r="AT32" s="393"/>
      <c r="AU32" s="393"/>
      <c r="AV32" s="393"/>
      <c r="AW32" s="393"/>
      <c r="AX32" s="343" t="s">
        <v>16</v>
      </c>
      <c r="AY32" s="343"/>
      <c r="AZ32" s="343"/>
      <c r="BA32" s="95" t="s">
        <v>0</v>
      </c>
      <c r="BB32" s="365">
        <v>0.6875</v>
      </c>
      <c r="BC32" s="365"/>
      <c r="BD32" s="365"/>
      <c r="BE32" s="365"/>
      <c r="BF32" s="365"/>
      <c r="BG32" s="365"/>
      <c r="BH32" s="365"/>
      <c r="BI32" s="365"/>
      <c r="BJ32" s="343" t="s">
        <v>425</v>
      </c>
      <c r="BK32" s="343"/>
      <c r="BL32" s="343"/>
      <c r="BM32" s="343"/>
      <c r="BN32" s="343"/>
      <c r="BO32" s="343"/>
      <c r="BP32" s="343"/>
      <c r="BQ32" s="95" t="s">
        <v>0</v>
      </c>
      <c r="BR32" s="343" t="s">
        <v>430</v>
      </c>
      <c r="BS32" s="343"/>
      <c r="BT32" s="343"/>
      <c r="BU32" s="343"/>
      <c r="BV32" s="343"/>
      <c r="BW32" s="343"/>
      <c r="BX32" s="343"/>
      <c r="BY32" s="343"/>
      <c r="BZ32" s="343"/>
      <c r="CA32" s="343"/>
      <c r="CB32" s="343"/>
      <c r="CC32" s="343"/>
      <c r="CD32" s="343"/>
      <c r="CE32" s="343"/>
      <c r="CF32" s="343"/>
      <c r="CG32" s="343"/>
      <c r="CI32" s="116">
        <v>34</v>
      </c>
      <c r="CJ32" s="117">
        <v>-140</v>
      </c>
      <c r="CK32" s="53">
        <f>(CL32-CJ32)/(CL31-CJ31)*(CK31-CJ31)+CJ32</f>
        <v>-140</v>
      </c>
      <c r="CL32" s="118">
        <v>-140</v>
      </c>
      <c r="CP32" s="91"/>
      <c r="CR32" s="91"/>
      <c r="CS32" s="91"/>
      <c r="CY32" s="91"/>
      <c r="DW32" s="91"/>
      <c r="DX32" s="91"/>
    </row>
    <row r="33" spans="1:132" ht="11.45" customHeight="1" x14ac:dyDescent="0.2">
      <c r="A33" s="155"/>
      <c r="B33" s="155"/>
      <c r="C33" s="155"/>
      <c r="D33" s="155"/>
      <c r="E33" s="155"/>
      <c r="F33" s="155"/>
      <c r="G33" s="155" t="s">
        <v>196</v>
      </c>
      <c r="H33" s="155"/>
      <c r="I33" s="155"/>
      <c r="J33" s="155"/>
      <c r="K33" s="155"/>
      <c r="L33" s="155"/>
      <c r="M33" s="90" t="s">
        <v>0</v>
      </c>
      <c r="N33" s="340">
        <v>1</v>
      </c>
      <c r="O33" s="340"/>
      <c r="P33" s="340"/>
      <c r="Q33" s="340"/>
      <c r="R33" s="340"/>
      <c r="S33" s="340"/>
      <c r="T33" s="340" t="s">
        <v>192</v>
      </c>
      <c r="U33" s="340"/>
      <c r="V33" s="340"/>
      <c r="W33" s="340"/>
      <c r="X33" s="350"/>
      <c r="Y33" s="350"/>
      <c r="Z33" s="350"/>
      <c r="AA33" s="350"/>
      <c r="AB33" s="350"/>
      <c r="AC33" s="350"/>
      <c r="AD33" s="352" t="s">
        <v>427</v>
      </c>
      <c r="AE33" s="352"/>
      <c r="AF33" s="352"/>
      <c r="AG33" s="90" t="s">
        <v>0</v>
      </c>
      <c r="AH33" s="340">
        <f>IF(OR(N33="",N34=""),"",(N34-N33))</f>
        <v>1.1000000000000001</v>
      </c>
      <c r="AI33" s="340"/>
      <c r="AJ33" s="340"/>
      <c r="AK33" s="340"/>
      <c r="AL33" s="340"/>
      <c r="AM33" s="342" t="str">
        <f>T33</f>
        <v xml:space="preserve"> M</v>
      </c>
      <c r="AN33" s="342"/>
      <c r="AO33" s="342"/>
      <c r="AP33" s="342"/>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103" t="s">
        <v>0</v>
      </c>
      <c r="BN33" s="155" t="s">
        <v>93</v>
      </c>
      <c r="BO33" s="155"/>
      <c r="BP33" s="155"/>
      <c r="BQ33" s="155"/>
      <c r="BR33" s="155"/>
      <c r="BS33" s="155"/>
      <c r="BT33" s="155"/>
      <c r="BU33" s="155"/>
      <c r="BV33" s="155"/>
      <c r="BW33" s="155"/>
      <c r="BX33" s="155"/>
      <c r="BY33" s="155"/>
      <c r="BZ33" s="155"/>
      <c r="CA33" s="155"/>
      <c r="CB33" s="155"/>
      <c r="CC33" s="155"/>
      <c r="CD33" s="155"/>
      <c r="CE33" s="155"/>
      <c r="CF33" s="155"/>
      <c r="CG33" s="155"/>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162"/>
      <c r="B34" s="162"/>
      <c r="C34" s="162"/>
      <c r="D34" s="162"/>
      <c r="E34" s="162"/>
      <c r="F34" s="162"/>
      <c r="G34" s="162" t="s">
        <v>426</v>
      </c>
      <c r="H34" s="162"/>
      <c r="I34" s="162"/>
      <c r="J34" s="162"/>
      <c r="K34" s="162"/>
      <c r="L34" s="162"/>
      <c r="M34" s="90" t="s">
        <v>0</v>
      </c>
      <c r="N34" s="355">
        <v>2.1</v>
      </c>
      <c r="O34" s="355"/>
      <c r="P34" s="355"/>
      <c r="Q34" s="355"/>
      <c r="R34" s="355"/>
      <c r="S34" s="355"/>
      <c r="T34" s="358" t="str">
        <f>T33</f>
        <v xml:space="preserve"> M</v>
      </c>
      <c r="U34" s="358"/>
      <c r="V34" s="358"/>
      <c r="W34" s="358"/>
      <c r="X34" s="351"/>
      <c r="Y34" s="351"/>
      <c r="Z34" s="351"/>
      <c r="AA34" s="351"/>
      <c r="AB34" s="351"/>
      <c r="AC34" s="351"/>
      <c r="AD34" s="353" t="s">
        <v>428</v>
      </c>
      <c r="AE34" s="353"/>
      <c r="AF34" s="353"/>
      <c r="AG34" s="90" t="s">
        <v>0</v>
      </c>
      <c r="AH34" s="162">
        <v>0</v>
      </c>
      <c r="AI34" s="162"/>
      <c r="AJ34" s="162"/>
      <c r="AK34" s="162"/>
      <c r="AL34" s="162"/>
      <c r="AM34" s="162"/>
      <c r="AN34" s="162"/>
      <c r="AO34" s="162"/>
      <c r="AP34" s="16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103" t="s">
        <v>0</v>
      </c>
      <c r="BN34" s="162" t="s">
        <v>93</v>
      </c>
      <c r="BO34" s="162"/>
      <c r="BP34" s="162"/>
      <c r="BQ34" s="162"/>
      <c r="BR34" s="162"/>
      <c r="BS34" s="162"/>
      <c r="BT34" s="162"/>
      <c r="BU34" s="162"/>
      <c r="BV34" s="162"/>
      <c r="BW34" s="162"/>
      <c r="BX34" s="162"/>
      <c r="BY34" s="162"/>
      <c r="BZ34" s="162"/>
      <c r="CA34" s="162"/>
      <c r="CB34" s="162"/>
      <c r="CC34" s="162"/>
      <c r="CD34" s="162"/>
      <c r="CE34" s="162"/>
      <c r="CF34" s="162"/>
      <c r="CG34" s="16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 t="shared" ref="P35:P40" si="38">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 t="shared" si="38"/>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19" t="str">
        <f t="shared" ref="A37:A48" si="39">IF(A18="","",A18)</f>
        <v/>
      </c>
      <c r="B37" s="319"/>
      <c r="C37" s="319"/>
      <c r="D37" s="319"/>
      <c r="E37" s="319"/>
      <c r="F37" s="319"/>
      <c r="G37" s="319"/>
      <c r="H37" s="319"/>
      <c r="I37" s="318" t="str">
        <f t="shared" ref="I37:I48" si="40">IF(I18="","",I18)</f>
        <v/>
      </c>
      <c r="J37" s="318"/>
      <c r="K37" s="318"/>
      <c r="L37" s="318"/>
      <c r="M37" s="318"/>
      <c r="N37" s="318"/>
      <c r="O37" s="318"/>
      <c r="P37" s="443" t="str">
        <f t="shared" si="38"/>
        <v/>
      </c>
      <c r="Q37" s="443"/>
      <c r="R37" s="443"/>
      <c r="S37" s="443"/>
      <c r="T37" s="443"/>
      <c r="U37" s="308" t="str">
        <f t="shared" ref="U37:U48" si="41">IF(U18="","",U18)</f>
        <v/>
      </c>
      <c r="V37" s="308"/>
      <c r="W37" s="308"/>
      <c r="X37" s="308"/>
      <c r="Y37" s="308"/>
      <c r="Z37" s="308"/>
      <c r="AA37" s="308"/>
      <c r="AB37" s="308"/>
      <c r="AC37" s="309"/>
      <c r="AD37" s="308"/>
      <c r="AE37" s="308"/>
      <c r="AF37" s="308"/>
      <c r="AG37" s="308"/>
      <c r="AH37" s="309"/>
      <c r="AI37" s="308"/>
      <c r="AJ37" s="308"/>
      <c r="AK37" s="308"/>
      <c r="AL37" s="308"/>
      <c r="AM37" s="308"/>
      <c r="AN37" s="308"/>
      <c r="AO37" s="308"/>
      <c r="AP37" s="308"/>
      <c r="AQ37" s="308"/>
      <c r="AR37" s="308"/>
      <c r="AS37" s="308"/>
      <c r="AT37" s="308"/>
      <c r="AU37" s="308"/>
      <c r="AV37" s="308"/>
      <c r="AW37" s="308"/>
      <c r="AX37" s="308"/>
      <c r="AY37" s="312"/>
      <c r="AZ37" s="312"/>
      <c r="BA37" s="312"/>
      <c r="BB37" s="312"/>
      <c r="BC37" s="312"/>
      <c r="BD37" s="311"/>
      <c r="BE37" s="311"/>
      <c r="BF37" s="311"/>
      <c r="BG37" s="311"/>
      <c r="BH37" s="311"/>
      <c r="BI37" s="310" t="str">
        <f t="shared" ref="BI37:BI48" si="42">IF(OR(AY37="",P37=""),"",IF($CN$53=1,DW37,IF($CN$53=2,DY37,IF($CN$53=3,EA37,IF($CN$53=4,DX37,IF($CN$53=5,DZ37,IF($CN$53=6,EB37)))))))</f>
        <v/>
      </c>
      <c r="BJ37" s="310"/>
      <c r="BK37" s="310"/>
      <c r="BL37" s="310"/>
      <c r="BM37" s="310"/>
      <c r="BN37" s="311" t="str">
        <f t="shared" ref="BN37:BN48" si="43">IF(OR(BD37="",BI37=""),"",BD37*BI37)</f>
        <v/>
      </c>
      <c r="BO37" s="311"/>
      <c r="BP37" s="311"/>
      <c r="BQ37" s="311"/>
      <c r="BR37" s="311"/>
      <c r="BS37" s="332" t="str">
        <f t="shared" ref="BS37:BS48" si="44">IF(OR(BD37="",P37="",BI37=""),"",ROUND((DS37-0.0011),4))</f>
        <v/>
      </c>
      <c r="BT37" s="332"/>
      <c r="BU37" s="332"/>
      <c r="BV37" s="332"/>
      <c r="BW37" s="332"/>
      <c r="BX37" s="311" t="str">
        <f t="shared" ref="BX37:BX48" si="45">IF(OR(BD37="",P37="",BI37=""),"",IF($AJ$17=$CN$34,ROUND(BN37*BS37,3),ROUND(CS37*BI37*BS37,3)))</f>
        <v/>
      </c>
      <c r="BY37" s="311"/>
      <c r="BZ37" s="311"/>
      <c r="CA37" s="311"/>
      <c r="CB37" s="311"/>
      <c r="CC37" s="311" t="str">
        <f t="shared" ref="CC37:CC48" si="46">IF(OR(BD37="",P37="",BI37=""),"",IF($AJ$17=$CN$34,ROUND(BN37*DQ37,3),ROUND(CS37*BI37*DQ37,3)))</f>
        <v/>
      </c>
      <c r="CD37" s="311"/>
      <c r="CE37" s="311"/>
      <c r="CF37" s="311"/>
      <c r="CG37" s="311"/>
      <c r="CH37" s="55"/>
      <c r="CP37" s="107">
        <f t="shared" ref="CP37:CP48" si="47">IF(OR(AY37="",BD37=""),0,AY37*BD37)</f>
        <v>0</v>
      </c>
      <c r="CR37" s="28">
        <f t="shared" ref="CR37:CR48" si="48">IF($BD$17=$CN$35,BD37,(BD37*6.28981))</f>
        <v>0</v>
      </c>
      <c r="CS37" s="29">
        <f t="shared" ref="CS37:CS48" si="49">IF($BD$17=$CN$34,BD37,(BD37/6.28981))</f>
        <v>0</v>
      </c>
      <c r="CU37" s="30">
        <f t="shared" ref="CU37:CU48" si="50">IF($AY$17=$CN$40,AY37,(AY37*1.8+32))</f>
        <v>32</v>
      </c>
      <c r="CV37" s="31">
        <f t="shared" ref="CV37:CV48" si="51">ROUND(CU37*2,0)/2</f>
        <v>32</v>
      </c>
      <c r="CW37" s="32">
        <f>ROUND(CU37,1)</f>
        <v>32</v>
      </c>
      <c r="CX37" s="33">
        <f>(1.8*((((CW37-32)/1.8)-((-0.148759+((-0.267408+((1.08076+((1.269056+((-4.089591+((-1.871251+((7.438081+(-3.536296*(((CW37-32)/1.8)/630)))*(((CW37-32)/1.8)/630)))*(((CW37-32)/1.8)/630)))*(((CW37-32)/1.8)/630)))*(((CW37-32)/1.8)/630)))*(((CW37-32)/1.8)/630)))*(((CW37-32)/1.8)/630)))*(((CW37-32)/1.8)/630)))))+32</f>
        <v>32</v>
      </c>
      <c r="CY37" s="26"/>
      <c r="CZ37" s="30">
        <f t="shared" ref="CZ37:CZ48" si="52">IF($AY$17=$CN$39,AY37,(AY37-32)/1.8)</f>
        <v>0</v>
      </c>
      <c r="DA37" s="28">
        <f t="shared" ref="DA37:DA48" si="53">ROUND(CZ37*4,0)/4</f>
        <v>0</v>
      </c>
      <c r="DB37" s="34">
        <f>ROUND(CZ37,1)</f>
        <v>0</v>
      </c>
      <c r="DC37" s="33">
        <f>DB37-((-0.148759+((-0.267408+((1.08076+((1.269056+((-4.089591+((-1.871251+((7.438081+(-3.536296*(DB37/630)))*(DB37/630)))*(DB37/630)))*(DB37/630)))*(DB37/630)))*(DB37/630)))*(DB37/630)))*(DB37/630))</f>
        <v>0</v>
      </c>
      <c r="DD37" s="35"/>
      <c r="DE37" s="30" t="e">
        <f t="shared" ref="DE37:DE48" si="54">IF($P$16=$CN$18,P37,(141.5/DK37)-131.5)</f>
        <v>#VALUE!</v>
      </c>
      <c r="DF37" s="31" t="e">
        <f t="shared" ref="DF37:DF48" si="55">ROUND(DE37*2,0)/2</f>
        <v>#VALUE!</v>
      </c>
      <c r="DG37" s="32" t="e">
        <f>ROUND(DE37,1)</f>
        <v>#VALUE!</v>
      </c>
      <c r="DH37" s="33" t="e">
        <f>(141.5/(DG37+131.5))*999.016</f>
        <v>#VALUE!</v>
      </c>
      <c r="DI37" s="33" t="e">
        <f>DH37*(1+((EXP(((0.01374979547/2)*(((103.872/DH37)+0.2701)*(1/DH37)))*(1+(0.8*((0.01374979547/2)*(((103.872/DH37)+0.2701)*(1/DH37))))))-1)/(1+(((0.01374979547/2)*(((103.872/DH37)+0.2701)*(1/DH37)))*(1+(1.6*((0.01374979547/2)*(((103.872/DH37)+0.2701)*(1/DH37)))))*(((2*103.872)+(0.2701+DH37))/(103.872+(0.2701*DH37)))))))</f>
        <v>#VALUE!</v>
      </c>
      <c r="DK37" s="36" t="e">
        <f t="shared" ref="DK37:DK48" si="56">IF($P$16=$CN$19,P37,IF($P$16=$CN$18,141.5/(P37+131.5),DQ37*ROUND(EXP(-(186.9696/(((TRUNC(5*(DQ37*100)+0.5)/5)*0.01)*1000)^2+0.4862/(((TRUNC(5*(DQ37*100)+0.5)/5)*0.01)*1000))*(0.56)*(1+0.8*(186.9696/(((TRUNC(5*(DQ37*100)+0.5)/5)*0.01)*1000)^2+0.4862/(((TRUNC(5*(DQ37*100)+0.5)/5)*0.01)*1000))*0.56)),4)/0.999012))</f>
        <v>#VALUE!</v>
      </c>
      <c r="DL37" s="37" t="e">
        <f>ROUND(DK37*5,2)/5</f>
        <v>#VALUE!</v>
      </c>
      <c r="DM37" s="38" t="e">
        <f>ROUND(DK37,4)</f>
        <v>#VALUE!</v>
      </c>
      <c r="DN37" s="33" t="e">
        <f>DM37*999.016</f>
        <v>#VALUE!</v>
      </c>
      <c r="DO37" s="33" t="e">
        <f>DN37*(1+((EXP(((0.01374979547/2)*(((103.872/DN37)+0.2701)*(1/DN37)))*(1+(0.8*((0.01374979547/2)*(((103.872/DN37)+0.2701)*(1/DN37))))))-1)/(1+(((0.01374979547/2)*(((103.872/DN37)+0.2701)*(1/DN37)))*(1+(1.6*((0.01374979547/2)*(((103.872/DN37)+0.2701)*(1/DN37)))))*(((2*103.872)+(0.2701+DN37))/(103.872+(0.2701*DN37)))))))</f>
        <v>#VALUE!</v>
      </c>
      <c r="DQ37" s="36" t="str">
        <f t="shared" ref="DQ37:DQ48" si="57">IF($P$16=$CN$20,P37,DK37*0.999012*ROUND(EXP(-((103.872/((((TRUNC(5*(DK37*100)+0.5)/5)*0.01)*999.012)^2))+(0.2701/(((TRUNC(5*(DK37*100)+0.5)/5)*0.01)*999.012)))*(-1)*(1+(0.8*((103.872/((((TRUNC(5*(DK37*100)+0.5)/5)*0.01)*999.012)^2))+(0.2701/(((TRUNC(5*(DK37*100)+0.5)/5)*0.01)*999.012)))*(-1)))),4))</f>
        <v/>
      </c>
      <c r="DR37" s="39" t="e">
        <f>ROUND(DQ37*5,2)/5</f>
        <v>#VALUE!</v>
      </c>
      <c r="DS37" s="38" t="e">
        <f>ROUND(DQ37,4)</f>
        <v>#VALUE!</v>
      </c>
      <c r="DT37" s="33" t="e">
        <f>DS37*1000</f>
        <v>#VALUE!</v>
      </c>
      <c r="DU37" s="33" t="e">
        <f>DT37*(1+((EXP(((0.01374979547/2)*(((186.9696/DT37)+0.4862)*(1/DT37)))*(1+(0.8*((0.01374979547/2)*(((186.9696/DT37)+0.4862)*(1/DT37))))))-1)/(1+(((0.01374979547/2)*(((186.9696/DT37)+0.4862)*(1/DT37)))*(1+(1.6*((0.01374979547/2)*(((186.9696/DT37)+0.4862)*(1/DT37)))))*(((2*186.9696)+(0.4862+DT37))/(186.9696+(0.4862*DT37)))))))</f>
        <v>#VALUE!</v>
      </c>
      <c r="DW37" s="38" t="e">
        <f>ROUND(EXP(-((103.872/(((141.5/(DF37+131.5))*999.012)^2))+(0.2701/((141.5/(DF37+131.5))*999.012)))*(CV37-60)*(1+(0.8*((103.872/(((141.5/(DF37+131.5))*999.012)^2))+(0.2701/((141.5/(DF37+131.5))*999.012)))*(CV37-60)))),4)</f>
        <v>#VALUE!</v>
      </c>
      <c r="DX37" s="40" t="e">
        <f>ROUND(EXP(-(((103.872/DI37)+0.2701)*(1/DI37))*(CX37-60.0068749)*(1+(0.8*(((103.872/DI37)+0.2701)*(1/DI37))*((CX37-60.0068749)+0.01374979547)))),5)</f>
        <v>#VALUE!</v>
      </c>
      <c r="DY37" s="36" t="e">
        <f>ROUND(EXP(-((103.872/((DL37*999.012)^2))+(0.2701/(DL37*999.012)))*(CV37-60)*(1+(0.8*((103.872/((DL37*999.012)^2))+(0.2701/(DL37*999.012)))*(CV37-60)))),4)</f>
        <v>#VALUE!</v>
      </c>
      <c r="DZ37" s="40" t="e">
        <f>ROUND(EXP(-(((103.872/DO37)+0.2701)*(1/DO37))*(CX37-60.0068749)*(1+(0.8*(((103.872/DO37)+0.2701)*(1/DO37))*((CX37-60.0068749)+0.01374979547)))),5)</f>
        <v>#VALUE!</v>
      </c>
      <c r="EA37" s="36" t="e">
        <f>ROUND(EXP(-((186.9696/((DR37*1000)^2))+(0.4862/(DR37*1000)))*(DA37-15)*(1+(0.8*((186.9696/((DR37*1000)^2))+(0.4862/(DR37*1000)))*(DA37-15)))),4)</f>
        <v>#VALUE!</v>
      </c>
      <c r="EB37" s="40" t="e">
        <f>ROUND(EXP(-((((186.9696/DU37)+0.4862)*(1/DU37)))*(DC37-15.00367851)*(1+(0.8*((((186.9696/DU37)+0.4862)*(1/DU37)))*((DC37-15.00367851)+0.01374979547)))),5)</f>
        <v>#VALUE!</v>
      </c>
    </row>
    <row r="38" spans="1:132" ht="11.45" customHeight="1" x14ac:dyDescent="0.2">
      <c r="A38" s="319" t="str">
        <f t="shared" si="39"/>
        <v/>
      </c>
      <c r="B38" s="319"/>
      <c r="C38" s="319"/>
      <c r="D38" s="319"/>
      <c r="E38" s="319"/>
      <c r="F38" s="319"/>
      <c r="G38" s="319"/>
      <c r="H38" s="319"/>
      <c r="I38" s="318" t="str">
        <f t="shared" si="40"/>
        <v/>
      </c>
      <c r="J38" s="318"/>
      <c r="K38" s="318"/>
      <c r="L38" s="318"/>
      <c r="M38" s="318"/>
      <c r="N38" s="318"/>
      <c r="O38" s="318"/>
      <c r="P38" s="443" t="str">
        <f t="shared" si="38"/>
        <v/>
      </c>
      <c r="Q38" s="443"/>
      <c r="R38" s="443"/>
      <c r="S38" s="443"/>
      <c r="T38" s="443"/>
      <c r="U38" s="308" t="str">
        <f t="shared" si="41"/>
        <v/>
      </c>
      <c r="V38" s="308"/>
      <c r="W38" s="308"/>
      <c r="X38" s="308"/>
      <c r="Y38" s="308"/>
      <c r="Z38" s="308"/>
      <c r="AA38" s="308"/>
      <c r="AB38" s="308"/>
      <c r="AC38" s="309"/>
      <c r="AD38" s="308"/>
      <c r="AE38" s="308"/>
      <c r="AF38" s="308"/>
      <c r="AG38" s="308"/>
      <c r="AH38" s="309"/>
      <c r="AI38" s="308"/>
      <c r="AJ38" s="308"/>
      <c r="AK38" s="308"/>
      <c r="AL38" s="308"/>
      <c r="AM38" s="308"/>
      <c r="AN38" s="308"/>
      <c r="AO38" s="308"/>
      <c r="AP38" s="308"/>
      <c r="AQ38" s="308"/>
      <c r="AR38" s="308"/>
      <c r="AS38" s="308"/>
      <c r="AT38" s="308"/>
      <c r="AU38" s="308"/>
      <c r="AV38" s="308"/>
      <c r="AW38" s="308"/>
      <c r="AX38" s="308"/>
      <c r="AY38" s="312"/>
      <c r="AZ38" s="312"/>
      <c r="BA38" s="312"/>
      <c r="BB38" s="312"/>
      <c r="BC38" s="312"/>
      <c r="BD38" s="311"/>
      <c r="BE38" s="311"/>
      <c r="BF38" s="311"/>
      <c r="BG38" s="311"/>
      <c r="BH38" s="311"/>
      <c r="BI38" s="310" t="str">
        <f t="shared" si="42"/>
        <v/>
      </c>
      <c r="BJ38" s="310"/>
      <c r="BK38" s="310"/>
      <c r="BL38" s="310"/>
      <c r="BM38" s="310"/>
      <c r="BN38" s="311" t="str">
        <f t="shared" si="43"/>
        <v/>
      </c>
      <c r="BO38" s="311"/>
      <c r="BP38" s="311"/>
      <c r="BQ38" s="311"/>
      <c r="BR38" s="311"/>
      <c r="BS38" s="332" t="str">
        <f t="shared" si="44"/>
        <v/>
      </c>
      <c r="BT38" s="332"/>
      <c r="BU38" s="332"/>
      <c r="BV38" s="332"/>
      <c r="BW38" s="332"/>
      <c r="BX38" s="311" t="str">
        <f t="shared" si="45"/>
        <v/>
      </c>
      <c r="BY38" s="311"/>
      <c r="BZ38" s="311"/>
      <c r="CA38" s="311"/>
      <c r="CB38" s="311"/>
      <c r="CC38" s="311" t="str">
        <f t="shared" si="46"/>
        <v/>
      </c>
      <c r="CD38" s="311"/>
      <c r="CE38" s="311"/>
      <c r="CF38" s="311"/>
      <c r="CG38" s="311"/>
      <c r="CH38" s="55"/>
      <c r="CN38" s="1" t="s">
        <v>220</v>
      </c>
      <c r="CP38" s="87">
        <f t="shared" si="47"/>
        <v>0</v>
      </c>
      <c r="CR38" s="28">
        <f t="shared" si="48"/>
        <v>0</v>
      </c>
      <c r="CS38" s="29">
        <f t="shared" si="49"/>
        <v>0</v>
      </c>
      <c r="CU38" s="28">
        <f t="shared" si="50"/>
        <v>32</v>
      </c>
      <c r="CV38" s="31">
        <f t="shared" si="51"/>
        <v>32</v>
      </c>
      <c r="CW38" s="32">
        <f>ROUND(CU38,1)</f>
        <v>32</v>
      </c>
      <c r="CX38" s="32">
        <f t="shared" ref="CX38:CX48" si="58">(1.8*((((CW38-32)/1.8)-((-0.148759+((-0.267408+((1.08076+((1.269056+((-4.089591+((-1.871251+((7.438081+(-3.536296*(((CW38-32)/1.8)/630)))*(((CW38-32)/1.8)/630)))*(((CW38-32)/1.8)/630)))*(((CW38-32)/1.8)/630)))*(((CW38-32)/1.8)/630)))*(((CW38-32)/1.8)/630)))*(((CW38-32)/1.8)/630)))*(((CW38-32)/1.8)/630)))))+32</f>
        <v>32</v>
      </c>
      <c r="CY38" s="26"/>
      <c r="CZ38" s="28">
        <f t="shared" si="52"/>
        <v>0</v>
      </c>
      <c r="DA38" s="28">
        <f t="shared" si="53"/>
        <v>0</v>
      </c>
      <c r="DB38" s="34">
        <f>ROUND(CZ38,1)</f>
        <v>0</v>
      </c>
      <c r="DC38" s="32">
        <f t="shared" ref="DC38:DC48" si="59">DB38-((-0.148759+((-0.267408+((1.08076+((1.269056+((-4.089591+((-1.871251+((7.438081+(-3.536296*(DB38/630)))*(DB38/630)))*(DB38/630)))*(DB38/630)))*(DB38/630)))*(DB38/630)))*(DB38/630)))*(DB38/630))</f>
        <v>0</v>
      </c>
      <c r="DD38" s="35"/>
      <c r="DE38" s="28" t="e">
        <f t="shared" si="54"/>
        <v>#VALUE!</v>
      </c>
      <c r="DF38" s="31" t="e">
        <f t="shared" si="55"/>
        <v>#VALUE!</v>
      </c>
      <c r="DG38" s="32" t="e">
        <f>ROUND(DE38,1)</f>
        <v>#VALUE!</v>
      </c>
      <c r="DH38" s="32" t="e">
        <f t="shared" ref="DH38:DH48" si="60">(141.5/(DG38+131.5))*999.016</f>
        <v>#VALUE!</v>
      </c>
      <c r="DI38" s="32" t="e">
        <f t="shared" ref="DI38:DI48" si="61">DH38*(1+((EXP(((0.01374979547/2)*(((103.872/DH38)+0.2701)*(1/DH38)))*(1+(0.8*((0.01374979547/2)*(((103.872/DH38)+0.2701)*(1/DH38))))))-1)/(1+(((0.01374979547/2)*(((103.872/DH38)+0.2701)*(1/DH38)))*(1+(1.6*((0.01374979547/2)*(((103.872/DH38)+0.2701)*(1/DH38)))))*(((2*103.872)+(0.2701+DH38))/(103.872+(0.2701*DH38)))))))</f>
        <v>#VALUE!</v>
      </c>
      <c r="DK38" s="38" t="e">
        <f t="shared" si="56"/>
        <v>#VALUE!</v>
      </c>
      <c r="DL38" s="41" t="e">
        <f>ROUND(DK38*5,2)/5</f>
        <v>#VALUE!</v>
      </c>
      <c r="DM38" s="38" t="e">
        <f>ROUND(DK38,4)</f>
        <v>#VALUE!</v>
      </c>
      <c r="DN38" s="32" t="e">
        <f t="shared" ref="DN38:DN48" si="62">DM38*999.016</f>
        <v>#VALUE!</v>
      </c>
      <c r="DO38" s="32" t="e">
        <f>DN38*(1+((EXP(((0.01374979547/2)*(((103.872/DN38)+0.2701)*(1/DN38)))*(1+(0.8*((0.01374979547/2)*(((103.872/DN38)+0.2701)*(1/DN38))))))-1)/(1+(((0.01374979547/2)*(((103.872/DN38)+0.2701)*(1/DN38)))*(1+(1.6*((0.01374979547/2)*(((103.872/DN38)+0.2701)*(1/DN38)))))*(((2*103.872)+(0.2701+DN38))/(103.872+(0.2701*DN38)))))))</f>
        <v>#VALUE!</v>
      </c>
      <c r="DQ38" s="38" t="str">
        <f t="shared" si="57"/>
        <v/>
      </c>
      <c r="DR38" s="29" t="e">
        <f>ROUND(DQ38*5,2)/5</f>
        <v>#VALUE!</v>
      </c>
      <c r="DS38" s="38" t="e">
        <f>ROUND(DQ38,4)</f>
        <v>#VALUE!</v>
      </c>
      <c r="DT38" s="32" t="e">
        <f t="shared" ref="DT38:DT48" si="63">DS38*1000</f>
        <v>#VALUE!</v>
      </c>
      <c r="DU38" s="32" t="e">
        <f t="shared" ref="DU38:DU48" si="64">DT38*(1+((EXP(((0.01374979547/2)*(((186.9696/DT38)+0.4862)*(1/DT38)))*(1+(0.8*((0.01374979547/2)*(((186.9696/DT38)+0.4862)*(1/DT38))))))-1)/(1+(((0.01374979547/2)*(((186.9696/DT38)+0.4862)*(1/DT38)))*(1+(1.6*((0.01374979547/2)*(((186.9696/DT38)+0.4862)*(1/DT38)))))*(((2*186.9696)+(0.4862+DT38))/(186.9696+(0.4862*DT38)))))))</f>
        <v>#VALUE!</v>
      </c>
      <c r="DW38" s="38" t="e">
        <f>ROUND(EXP(-((103.872/(((141.5/(DF38+131.5))*999.012)^2))+(0.2701/((141.5/(DF38+131.5))*999.012)))*(CV38-60)*(1+(0.8*((103.872/(((141.5/(DF38+131.5))*999.012)^2))+(0.2701/((141.5/(DF38+131.5))*999.012)))*(CV38-60)))),4)</f>
        <v>#VALUE!</v>
      </c>
      <c r="DX38" s="42" t="e">
        <f>ROUND(EXP(-(((103.872/DI38)+0.2701)*(1/DI38))*(CX38-60.0068749)*(1+(0.8*(((103.872/DI38)+0.2701)*(1/DI38))*((CX38-60.0068749)+0.01374979547)))),5)</f>
        <v>#VALUE!</v>
      </c>
      <c r="DY38" s="38" t="e">
        <f>ROUND(EXP(-((103.872/((DL38*999.012)^2))+(0.2701/(DL38*999.012)))*(CV38-60)*(1+(0.8*((103.872/((DL38*999.012)^2))+(0.2701/(DL38*999.012)))*(CV38-60)))),4)</f>
        <v>#VALUE!</v>
      </c>
      <c r="DZ38" s="42" t="e">
        <f>ROUND(EXP(-(((103.872/DO38)+0.2701)*(1/DO38))*(CX38-60.0068749)*(1+(0.8*(((103.872/DO38)+0.2701)*(1/DO38))*((CX38-60.0068749)+0.01374979547)))),5)</f>
        <v>#VALUE!</v>
      </c>
      <c r="EA38" s="38" t="e">
        <f>ROUND(EXP(-((186.9696/((DR38*1000)^2))+(0.4862/(DR38*1000)))*(DA38-15)*(1+(0.8*((186.9696/((DR38*1000)^2))+(0.4862/(DR38*1000)))*(DA38-15)))),4)</f>
        <v>#VALUE!</v>
      </c>
      <c r="EB38" s="42" t="e">
        <f>ROUND(EXP(-((((186.9696/DU38)+0.4862)*(1/DU38)))*(DC38-15.00367851)*(1+(0.8*((((186.9696/DU38)+0.4862)*(1/DU38)))*((DC38-15.00367851)+0.01374979547)))),5)</f>
        <v>#VALUE!</v>
      </c>
    </row>
    <row r="39" spans="1:132" ht="11.45" customHeight="1" x14ac:dyDescent="0.2">
      <c r="A39" s="346" t="str">
        <f t="shared" si="39"/>
        <v/>
      </c>
      <c r="B39" s="346"/>
      <c r="C39" s="346"/>
      <c r="D39" s="346"/>
      <c r="E39" s="346"/>
      <c r="F39" s="346"/>
      <c r="G39" s="346"/>
      <c r="H39" s="346"/>
      <c r="I39" s="318" t="str">
        <f t="shared" si="40"/>
        <v/>
      </c>
      <c r="J39" s="318"/>
      <c r="K39" s="318"/>
      <c r="L39" s="318"/>
      <c r="M39" s="318"/>
      <c r="N39" s="318"/>
      <c r="O39" s="318"/>
      <c r="P39" s="443" t="str">
        <f t="shared" si="38"/>
        <v/>
      </c>
      <c r="Q39" s="443"/>
      <c r="R39" s="443"/>
      <c r="S39" s="443"/>
      <c r="T39" s="443"/>
      <c r="U39" s="308" t="str">
        <f t="shared" si="41"/>
        <v/>
      </c>
      <c r="V39" s="308"/>
      <c r="W39" s="308"/>
      <c r="X39" s="308"/>
      <c r="Y39" s="308"/>
      <c r="Z39" s="308"/>
      <c r="AA39" s="308"/>
      <c r="AB39" s="308"/>
      <c r="AC39" s="309"/>
      <c r="AD39" s="308"/>
      <c r="AE39" s="308"/>
      <c r="AF39" s="308"/>
      <c r="AG39" s="308"/>
      <c r="AH39" s="309"/>
      <c r="AI39" s="308"/>
      <c r="AJ39" s="308"/>
      <c r="AK39" s="308"/>
      <c r="AL39" s="308"/>
      <c r="AM39" s="308"/>
      <c r="AN39" s="308"/>
      <c r="AO39" s="308"/>
      <c r="AP39" s="308"/>
      <c r="AQ39" s="308"/>
      <c r="AR39" s="308"/>
      <c r="AS39" s="308"/>
      <c r="AT39" s="308"/>
      <c r="AU39" s="308"/>
      <c r="AV39" s="308"/>
      <c r="AW39" s="308"/>
      <c r="AX39" s="308"/>
      <c r="AY39" s="312"/>
      <c r="AZ39" s="312"/>
      <c r="BA39" s="312"/>
      <c r="BB39" s="312"/>
      <c r="BC39" s="312"/>
      <c r="BD39" s="311"/>
      <c r="BE39" s="311"/>
      <c r="BF39" s="311"/>
      <c r="BG39" s="311"/>
      <c r="BH39" s="311"/>
      <c r="BI39" s="310" t="str">
        <f t="shared" si="42"/>
        <v/>
      </c>
      <c r="BJ39" s="310"/>
      <c r="BK39" s="310"/>
      <c r="BL39" s="310"/>
      <c r="BM39" s="310"/>
      <c r="BN39" s="311" t="str">
        <f t="shared" si="43"/>
        <v/>
      </c>
      <c r="BO39" s="311"/>
      <c r="BP39" s="311"/>
      <c r="BQ39" s="311"/>
      <c r="BR39" s="311"/>
      <c r="BS39" s="332" t="str">
        <f t="shared" si="44"/>
        <v/>
      </c>
      <c r="BT39" s="332"/>
      <c r="BU39" s="332"/>
      <c r="BV39" s="332"/>
      <c r="BW39" s="332"/>
      <c r="BX39" s="311" t="str">
        <f t="shared" si="45"/>
        <v/>
      </c>
      <c r="BY39" s="311"/>
      <c r="BZ39" s="311"/>
      <c r="CA39" s="311"/>
      <c r="CB39" s="311"/>
      <c r="CC39" s="311" t="str">
        <f t="shared" si="46"/>
        <v/>
      </c>
      <c r="CD39" s="311"/>
      <c r="CE39" s="311"/>
      <c r="CF39" s="311"/>
      <c r="CG39" s="311"/>
      <c r="CH39" s="55"/>
      <c r="CI39" s="323" t="s">
        <v>176</v>
      </c>
      <c r="CJ39" s="324"/>
      <c r="CK39" s="324"/>
      <c r="CL39" s="325"/>
      <c r="CN39" s="107" t="s">
        <v>56</v>
      </c>
      <c r="CP39" s="87">
        <f t="shared" si="47"/>
        <v>0</v>
      </c>
      <c r="CR39" s="28">
        <f t="shared" si="48"/>
        <v>0</v>
      </c>
      <c r="CS39" s="29">
        <f t="shared" si="49"/>
        <v>0</v>
      </c>
      <c r="CU39" s="28">
        <f t="shared" si="50"/>
        <v>32</v>
      </c>
      <c r="CV39" s="31">
        <f>ROUND(CU39*2,0)/2</f>
        <v>32</v>
      </c>
      <c r="CW39" s="32">
        <f t="shared" ref="CW39:CW47" si="65">ROUND(CU39,1)</f>
        <v>32</v>
      </c>
      <c r="CX39" s="32">
        <f t="shared" si="58"/>
        <v>32</v>
      </c>
      <c r="CY39" s="26"/>
      <c r="CZ39" s="28">
        <f t="shared" si="52"/>
        <v>0</v>
      </c>
      <c r="DA39" s="28">
        <f t="shared" si="53"/>
        <v>0</v>
      </c>
      <c r="DB39" s="34">
        <f t="shared" ref="DB39:DB47" si="66">ROUND(CZ39,1)</f>
        <v>0</v>
      </c>
      <c r="DC39" s="32">
        <f t="shared" si="59"/>
        <v>0</v>
      </c>
      <c r="DD39" s="35"/>
      <c r="DE39" s="28" t="e">
        <f t="shared" si="54"/>
        <v>#VALUE!</v>
      </c>
      <c r="DF39" s="31" t="e">
        <f t="shared" si="55"/>
        <v>#VALUE!</v>
      </c>
      <c r="DG39" s="32" t="e">
        <f t="shared" ref="DG39:DG47" si="67">ROUND(DE39,1)</f>
        <v>#VALUE!</v>
      </c>
      <c r="DH39" s="32" t="e">
        <f t="shared" si="60"/>
        <v>#VALUE!</v>
      </c>
      <c r="DI39" s="32" t="e">
        <f t="shared" si="61"/>
        <v>#VALUE!</v>
      </c>
      <c r="DK39" s="38" t="e">
        <f t="shared" si="56"/>
        <v>#VALUE!</v>
      </c>
      <c r="DL39" s="41" t="e">
        <f t="shared" ref="DL39:DL47" si="68">ROUND(DK39*5,2)/5</f>
        <v>#VALUE!</v>
      </c>
      <c r="DM39" s="38" t="e">
        <f t="shared" ref="DM39:DM47" si="69">ROUND(DK39,4)</f>
        <v>#VALUE!</v>
      </c>
      <c r="DN39" s="32" t="e">
        <f t="shared" si="62"/>
        <v>#VALUE!</v>
      </c>
      <c r="DO39" s="32" t="e">
        <f t="shared" ref="DO39:DO47" si="70">DN39*(1+((EXP(((0.01374979547/2)*(((103.872/DN39)+0.2701)*(1/DN39)))*(1+(0.8*((0.01374979547/2)*(((103.872/DN39)+0.2701)*(1/DN39))))))-1)/(1+(((0.01374979547/2)*(((103.872/DN39)+0.2701)*(1/DN39)))*(1+(1.6*((0.01374979547/2)*(((103.872/DN39)+0.2701)*(1/DN39)))))*(((2*103.872)+(0.2701+DN39))/(103.872+(0.2701*DN39)))))))</f>
        <v>#VALUE!</v>
      </c>
      <c r="DQ39" s="38" t="str">
        <f t="shared" si="57"/>
        <v/>
      </c>
      <c r="DR39" s="29" t="e">
        <f t="shared" ref="DR39:DR47" si="71">ROUND(DQ39*5,2)/5</f>
        <v>#VALUE!</v>
      </c>
      <c r="DS39" s="38" t="e">
        <f t="shared" ref="DS39:DS47" si="72">ROUND(DQ39,4)</f>
        <v>#VALUE!</v>
      </c>
      <c r="DT39" s="32" t="e">
        <f t="shared" si="63"/>
        <v>#VALUE!</v>
      </c>
      <c r="DU39" s="32" t="e">
        <f t="shared" si="64"/>
        <v>#VALUE!</v>
      </c>
      <c r="DW39" s="38" t="e">
        <f t="shared" ref="DW39:DW47" si="73">ROUND(EXP(-((103.872/(((141.5/(DF39+131.5))*999.012)^2))+(0.2701/((141.5/(DF39+131.5))*999.012)))*(CV39-60)*(1+(0.8*((103.872/(((141.5/(DF39+131.5))*999.012)^2))+(0.2701/((141.5/(DF39+131.5))*999.012)))*(CV39-60)))),4)</f>
        <v>#VALUE!</v>
      </c>
      <c r="DX39" s="42" t="e">
        <f t="shared" ref="DX39:DX47" si="74">ROUND(EXP(-(((103.872/DI39)+0.2701)*(1/DI39))*(CX39-60.0068749)*(1+(0.8*(((103.872/DI39)+0.2701)*(1/DI39))*((CX39-60.0068749)+0.01374979547)))),5)</f>
        <v>#VALUE!</v>
      </c>
      <c r="DY39" s="38" t="e">
        <f t="shared" ref="DY39:DY47" si="75">ROUND(EXP(-((103.872/((DL39*999.012)^2))+(0.2701/(DL39*999.012)))*(CV39-60)*(1+(0.8*((103.872/((DL39*999.012)^2))+(0.2701/(DL39*999.012)))*(CV39-60)))),4)</f>
        <v>#VALUE!</v>
      </c>
      <c r="DZ39" s="42" t="e">
        <f t="shared" ref="DZ39:DZ47" si="76">ROUND(EXP(-(((103.872/DO39)+0.2701)*(1/DO39))*(CX39-60.0068749)*(1+(0.8*(((103.872/DO39)+0.2701)*(1/DO39))*((CX39-60.0068749)+0.01374979547)))),5)</f>
        <v>#VALUE!</v>
      </c>
      <c r="EA39" s="38" t="e">
        <f t="shared" ref="EA39:EA47" si="77">ROUND(EXP(-((186.9696/((DR39*1000)^2))+(0.4862/(DR39*1000)))*(DA39-15)*(1+(0.8*((186.9696/((DR39*1000)^2))+(0.4862/(DR39*1000)))*(DA39-15)))),4)</f>
        <v>#VALUE!</v>
      </c>
      <c r="EB39" s="42" t="e">
        <f t="shared" ref="EB39:EB47" si="78">ROUND(EXP(-((((186.9696/DU39)+0.4862)*(1/DU39)))*(DC39-15.00367851)*(1+(0.8*((((186.9696/DU39)+0.4862)*(1/DU39)))*((DC39-15.00367851)+0.01374979547)))),5)</f>
        <v>#VALUE!</v>
      </c>
    </row>
    <row r="40" spans="1:132" ht="11.45" customHeight="1" x14ac:dyDescent="0.2">
      <c r="A40" s="346" t="str">
        <f t="shared" si="39"/>
        <v/>
      </c>
      <c r="B40" s="346"/>
      <c r="C40" s="346"/>
      <c r="D40" s="346"/>
      <c r="E40" s="346"/>
      <c r="F40" s="346"/>
      <c r="G40" s="346"/>
      <c r="H40" s="346"/>
      <c r="I40" s="318" t="str">
        <f t="shared" si="40"/>
        <v/>
      </c>
      <c r="J40" s="318"/>
      <c r="K40" s="318"/>
      <c r="L40" s="318"/>
      <c r="M40" s="318"/>
      <c r="N40" s="318"/>
      <c r="O40" s="318"/>
      <c r="P40" s="443" t="str">
        <f t="shared" si="38"/>
        <v/>
      </c>
      <c r="Q40" s="443"/>
      <c r="R40" s="443"/>
      <c r="S40" s="443"/>
      <c r="T40" s="443"/>
      <c r="U40" s="308" t="str">
        <f t="shared" si="41"/>
        <v/>
      </c>
      <c r="V40" s="308"/>
      <c r="W40" s="308"/>
      <c r="X40" s="308"/>
      <c r="Y40" s="308"/>
      <c r="Z40" s="308"/>
      <c r="AA40" s="308"/>
      <c r="AB40" s="308"/>
      <c r="AC40" s="309"/>
      <c r="AD40" s="308"/>
      <c r="AE40" s="308"/>
      <c r="AF40" s="308"/>
      <c r="AG40" s="308"/>
      <c r="AH40" s="309"/>
      <c r="AI40" s="308"/>
      <c r="AJ40" s="308"/>
      <c r="AK40" s="308"/>
      <c r="AL40" s="308"/>
      <c r="AM40" s="308"/>
      <c r="AN40" s="308"/>
      <c r="AO40" s="308"/>
      <c r="AP40" s="308"/>
      <c r="AQ40" s="308"/>
      <c r="AR40" s="308"/>
      <c r="AS40" s="308"/>
      <c r="AT40" s="308"/>
      <c r="AU40" s="308"/>
      <c r="AV40" s="308"/>
      <c r="AW40" s="308"/>
      <c r="AX40" s="308"/>
      <c r="AY40" s="312"/>
      <c r="AZ40" s="312"/>
      <c r="BA40" s="312"/>
      <c r="BB40" s="312"/>
      <c r="BC40" s="312"/>
      <c r="BD40" s="311"/>
      <c r="BE40" s="311"/>
      <c r="BF40" s="311"/>
      <c r="BG40" s="311"/>
      <c r="BH40" s="311"/>
      <c r="BI40" s="310" t="str">
        <f t="shared" si="42"/>
        <v/>
      </c>
      <c r="BJ40" s="310"/>
      <c r="BK40" s="310"/>
      <c r="BL40" s="310"/>
      <c r="BM40" s="310"/>
      <c r="BN40" s="311" t="str">
        <f t="shared" si="43"/>
        <v/>
      </c>
      <c r="BO40" s="311"/>
      <c r="BP40" s="311"/>
      <c r="BQ40" s="311"/>
      <c r="BR40" s="311"/>
      <c r="BS40" s="332" t="str">
        <f t="shared" si="44"/>
        <v/>
      </c>
      <c r="BT40" s="332"/>
      <c r="BU40" s="332"/>
      <c r="BV40" s="332"/>
      <c r="BW40" s="332"/>
      <c r="BX40" s="311" t="str">
        <f t="shared" si="45"/>
        <v/>
      </c>
      <c r="BY40" s="311"/>
      <c r="BZ40" s="311"/>
      <c r="CA40" s="311"/>
      <c r="CB40" s="311"/>
      <c r="CC40" s="311" t="str">
        <f t="shared" si="46"/>
        <v/>
      </c>
      <c r="CD40" s="311"/>
      <c r="CE40" s="311"/>
      <c r="CF40" s="311"/>
      <c r="CG40" s="311"/>
      <c r="CH40" s="55"/>
      <c r="CI40" s="326"/>
      <c r="CJ40" s="327"/>
      <c r="CK40" s="327"/>
      <c r="CL40" s="328"/>
      <c r="CN40" s="2" t="s">
        <v>57</v>
      </c>
      <c r="CP40" s="87">
        <f t="shared" si="47"/>
        <v>0</v>
      </c>
      <c r="CR40" s="28">
        <f t="shared" si="48"/>
        <v>0</v>
      </c>
      <c r="CS40" s="29">
        <f t="shared" si="49"/>
        <v>0</v>
      </c>
      <c r="CU40" s="28">
        <f t="shared" si="50"/>
        <v>32</v>
      </c>
      <c r="CV40" s="31">
        <f t="shared" si="51"/>
        <v>32</v>
      </c>
      <c r="CW40" s="32">
        <f>ROUND(CU40,1)</f>
        <v>32</v>
      </c>
      <c r="CX40" s="32">
        <f>(1.8*((((CW40-32)/1.8)-((-0.148759+((-0.267408+((1.08076+((1.269056+((-4.089591+((-1.871251+((7.438081+(-3.536296*(((CW40-32)/1.8)/630)))*(((CW40-32)/1.8)/630)))*(((CW40-32)/1.8)/630)))*(((CW40-32)/1.8)/630)))*(((CW40-32)/1.8)/630)))*(((CW40-32)/1.8)/630)))*(((CW40-32)/1.8)/630)))*(((CW40-32)/1.8)/630)))))+32</f>
        <v>32</v>
      </c>
      <c r="CY40" s="26"/>
      <c r="CZ40" s="28">
        <f t="shared" si="52"/>
        <v>0</v>
      </c>
      <c r="DA40" s="28">
        <f t="shared" si="53"/>
        <v>0</v>
      </c>
      <c r="DB40" s="34">
        <f t="shared" si="66"/>
        <v>0</v>
      </c>
      <c r="DC40" s="32">
        <f t="shared" si="59"/>
        <v>0</v>
      </c>
      <c r="DD40" s="35"/>
      <c r="DE40" s="28" t="e">
        <f t="shared" si="54"/>
        <v>#VALUE!</v>
      </c>
      <c r="DF40" s="31" t="e">
        <f t="shared" si="55"/>
        <v>#VALUE!</v>
      </c>
      <c r="DG40" s="32" t="e">
        <f t="shared" si="67"/>
        <v>#VALUE!</v>
      </c>
      <c r="DH40" s="32" t="e">
        <f t="shared" si="60"/>
        <v>#VALUE!</v>
      </c>
      <c r="DI40" s="32" t="e">
        <f t="shared" si="61"/>
        <v>#VALUE!</v>
      </c>
      <c r="DK40" s="38" t="e">
        <f t="shared" si="56"/>
        <v>#VALUE!</v>
      </c>
      <c r="DL40" s="41" t="e">
        <f t="shared" si="68"/>
        <v>#VALUE!</v>
      </c>
      <c r="DM40" s="38" t="e">
        <f t="shared" si="69"/>
        <v>#VALUE!</v>
      </c>
      <c r="DN40" s="32" t="e">
        <f t="shared" si="62"/>
        <v>#VALUE!</v>
      </c>
      <c r="DO40" s="32" t="e">
        <f t="shared" si="70"/>
        <v>#VALUE!</v>
      </c>
      <c r="DQ40" s="38" t="str">
        <f t="shared" si="57"/>
        <v/>
      </c>
      <c r="DR40" s="29" t="e">
        <f t="shared" si="71"/>
        <v>#VALUE!</v>
      </c>
      <c r="DS40" s="38" t="e">
        <f t="shared" si="72"/>
        <v>#VALUE!</v>
      </c>
      <c r="DT40" s="32" t="e">
        <f t="shared" si="63"/>
        <v>#VALUE!</v>
      </c>
      <c r="DU40" s="32" t="e">
        <f t="shared" si="64"/>
        <v>#VALUE!</v>
      </c>
      <c r="DW40" s="38" t="e">
        <f t="shared" si="73"/>
        <v>#VALUE!</v>
      </c>
      <c r="DX40" s="42" t="e">
        <f t="shared" si="74"/>
        <v>#VALUE!</v>
      </c>
      <c r="DY40" s="38" t="e">
        <f t="shared" si="75"/>
        <v>#VALUE!</v>
      </c>
      <c r="DZ40" s="42" t="e">
        <f t="shared" si="76"/>
        <v>#VALUE!</v>
      </c>
      <c r="EA40" s="38" t="e">
        <f t="shared" si="77"/>
        <v>#VALUE!</v>
      </c>
      <c r="EB40" s="42" t="e">
        <f t="shared" si="78"/>
        <v>#VALUE!</v>
      </c>
    </row>
    <row r="41" spans="1:132" ht="11.45" customHeight="1" x14ac:dyDescent="0.2">
      <c r="A41" s="346" t="str">
        <f t="shared" si="39"/>
        <v/>
      </c>
      <c r="B41" s="346"/>
      <c r="C41" s="346"/>
      <c r="D41" s="346"/>
      <c r="E41" s="346"/>
      <c r="F41" s="346"/>
      <c r="G41" s="346"/>
      <c r="H41" s="346"/>
      <c r="I41" s="318" t="str">
        <f t="shared" si="40"/>
        <v/>
      </c>
      <c r="J41" s="318"/>
      <c r="K41" s="318"/>
      <c r="L41" s="318"/>
      <c r="M41" s="318"/>
      <c r="N41" s="318"/>
      <c r="O41" s="318"/>
      <c r="P41" s="443" t="str">
        <f t="shared" ref="P41:P48" si="79">IF(P22="","",P22)</f>
        <v/>
      </c>
      <c r="Q41" s="443"/>
      <c r="R41" s="443"/>
      <c r="S41" s="443"/>
      <c r="T41" s="443"/>
      <c r="U41" s="308" t="str">
        <f t="shared" si="41"/>
        <v/>
      </c>
      <c r="V41" s="308"/>
      <c r="W41" s="308"/>
      <c r="X41" s="308"/>
      <c r="Y41" s="308"/>
      <c r="Z41" s="308"/>
      <c r="AA41" s="308"/>
      <c r="AB41" s="308"/>
      <c r="AC41" s="309"/>
      <c r="AD41" s="308"/>
      <c r="AE41" s="308"/>
      <c r="AF41" s="308"/>
      <c r="AG41" s="308"/>
      <c r="AH41" s="309"/>
      <c r="AI41" s="308"/>
      <c r="AJ41" s="308"/>
      <c r="AK41" s="308"/>
      <c r="AL41" s="308"/>
      <c r="AM41" s="308"/>
      <c r="AN41" s="308"/>
      <c r="AO41" s="308"/>
      <c r="AP41" s="308"/>
      <c r="AQ41" s="308"/>
      <c r="AR41" s="308"/>
      <c r="AS41" s="308"/>
      <c r="AT41" s="308"/>
      <c r="AU41" s="308"/>
      <c r="AV41" s="308"/>
      <c r="AW41" s="308"/>
      <c r="AX41" s="308"/>
      <c r="AY41" s="312"/>
      <c r="AZ41" s="312"/>
      <c r="BA41" s="312"/>
      <c r="BB41" s="312"/>
      <c r="BC41" s="312"/>
      <c r="BD41" s="311"/>
      <c r="BE41" s="311"/>
      <c r="BF41" s="311"/>
      <c r="BG41" s="311"/>
      <c r="BH41" s="311"/>
      <c r="BI41" s="310" t="str">
        <f t="shared" si="42"/>
        <v/>
      </c>
      <c r="BJ41" s="310"/>
      <c r="BK41" s="310"/>
      <c r="BL41" s="310"/>
      <c r="BM41" s="310"/>
      <c r="BN41" s="311" t="str">
        <f t="shared" si="43"/>
        <v/>
      </c>
      <c r="BO41" s="311"/>
      <c r="BP41" s="311"/>
      <c r="BQ41" s="311"/>
      <c r="BR41" s="311"/>
      <c r="BS41" s="332" t="str">
        <f t="shared" si="44"/>
        <v/>
      </c>
      <c r="BT41" s="332"/>
      <c r="BU41" s="332"/>
      <c r="BV41" s="332"/>
      <c r="BW41" s="332"/>
      <c r="BX41" s="311" t="str">
        <f t="shared" si="45"/>
        <v/>
      </c>
      <c r="BY41" s="311"/>
      <c r="BZ41" s="311"/>
      <c r="CA41" s="311"/>
      <c r="CB41" s="311"/>
      <c r="CC41" s="311" t="str">
        <f t="shared" si="46"/>
        <v/>
      </c>
      <c r="CD41" s="311"/>
      <c r="CE41" s="311"/>
      <c r="CF41" s="311"/>
      <c r="CG41" s="311"/>
      <c r="CH41" s="55"/>
      <c r="CI41" s="108" t="s">
        <v>170</v>
      </c>
      <c r="CJ41" s="109"/>
      <c r="CK41" s="43" t="e">
        <f>AVERAGE(AY37:BC48)</f>
        <v>#DIV/0!</v>
      </c>
      <c r="CL41" s="21" t="s">
        <v>174</v>
      </c>
      <c r="CP41" s="87">
        <f t="shared" si="47"/>
        <v>0</v>
      </c>
      <c r="CR41" s="28">
        <f t="shared" si="48"/>
        <v>0</v>
      </c>
      <c r="CS41" s="29">
        <f t="shared" si="49"/>
        <v>0</v>
      </c>
      <c r="CU41" s="28">
        <f t="shared" si="50"/>
        <v>32</v>
      </c>
      <c r="CV41" s="31">
        <f t="shared" si="51"/>
        <v>32</v>
      </c>
      <c r="CW41" s="32">
        <f>ROUND(CU41,1)</f>
        <v>32</v>
      </c>
      <c r="CX41" s="32">
        <f t="shared" si="58"/>
        <v>32</v>
      </c>
      <c r="CY41" s="26"/>
      <c r="CZ41" s="28">
        <f t="shared" si="52"/>
        <v>0</v>
      </c>
      <c r="DA41" s="28">
        <f t="shared" si="53"/>
        <v>0</v>
      </c>
      <c r="DB41" s="34">
        <f t="shared" si="66"/>
        <v>0</v>
      </c>
      <c r="DC41" s="32">
        <f t="shared" si="59"/>
        <v>0</v>
      </c>
      <c r="DD41" s="35"/>
      <c r="DE41" s="28" t="e">
        <f t="shared" si="54"/>
        <v>#VALUE!</v>
      </c>
      <c r="DF41" s="31" t="e">
        <f>ROUND(DE41*2,0)/2</f>
        <v>#VALUE!</v>
      </c>
      <c r="DG41" s="32" t="e">
        <f t="shared" si="67"/>
        <v>#VALUE!</v>
      </c>
      <c r="DH41" s="32" t="e">
        <f t="shared" si="60"/>
        <v>#VALUE!</v>
      </c>
      <c r="DI41" s="32" t="e">
        <f t="shared" si="61"/>
        <v>#VALUE!</v>
      </c>
      <c r="DK41" s="38" t="e">
        <f t="shared" si="56"/>
        <v>#VALUE!</v>
      </c>
      <c r="DL41" s="41" t="e">
        <f t="shared" si="68"/>
        <v>#VALUE!</v>
      </c>
      <c r="DM41" s="38" t="e">
        <f t="shared" si="69"/>
        <v>#VALUE!</v>
      </c>
      <c r="DN41" s="32" t="e">
        <f t="shared" si="62"/>
        <v>#VALUE!</v>
      </c>
      <c r="DO41" s="32" t="e">
        <f t="shared" si="70"/>
        <v>#VALUE!</v>
      </c>
      <c r="DQ41" s="38" t="str">
        <f t="shared" si="57"/>
        <v/>
      </c>
      <c r="DR41" s="29" t="e">
        <f t="shared" si="71"/>
        <v>#VALUE!</v>
      </c>
      <c r="DS41" s="38" t="e">
        <f t="shared" si="72"/>
        <v>#VALUE!</v>
      </c>
      <c r="DT41" s="32" t="e">
        <f t="shared" si="63"/>
        <v>#VALUE!</v>
      </c>
      <c r="DU41" s="32" t="e">
        <f t="shared" si="64"/>
        <v>#VALUE!</v>
      </c>
      <c r="DW41" s="38" t="e">
        <f t="shared" si="73"/>
        <v>#VALUE!</v>
      </c>
      <c r="DX41" s="42" t="e">
        <f t="shared" si="74"/>
        <v>#VALUE!</v>
      </c>
      <c r="DY41" s="38" t="e">
        <f t="shared" si="75"/>
        <v>#VALUE!</v>
      </c>
      <c r="DZ41" s="42" t="e">
        <f t="shared" si="76"/>
        <v>#VALUE!</v>
      </c>
      <c r="EA41" s="38" t="e">
        <f t="shared" si="77"/>
        <v>#VALUE!</v>
      </c>
      <c r="EB41" s="42" t="e">
        <f t="shared" si="78"/>
        <v>#VALUE!</v>
      </c>
    </row>
    <row r="42" spans="1:132" ht="11.45" customHeight="1" x14ac:dyDescent="0.2">
      <c r="A42" s="346" t="str">
        <f t="shared" si="39"/>
        <v/>
      </c>
      <c r="B42" s="346"/>
      <c r="C42" s="346"/>
      <c r="D42" s="346"/>
      <c r="E42" s="346"/>
      <c r="F42" s="346"/>
      <c r="G42" s="346"/>
      <c r="H42" s="346"/>
      <c r="I42" s="318" t="str">
        <f t="shared" si="40"/>
        <v/>
      </c>
      <c r="J42" s="318"/>
      <c r="K42" s="318"/>
      <c r="L42" s="318"/>
      <c r="M42" s="318"/>
      <c r="N42" s="318"/>
      <c r="O42" s="318"/>
      <c r="P42" s="443" t="str">
        <f t="shared" si="79"/>
        <v/>
      </c>
      <c r="Q42" s="443"/>
      <c r="R42" s="443"/>
      <c r="S42" s="443"/>
      <c r="T42" s="443"/>
      <c r="U42" s="308" t="str">
        <f t="shared" si="41"/>
        <v/>
      </c>
      <c r="V42" s="308"/>
      <c r="W42" s="308"/>
      <c r="X42" s="308"/>
      <c r="Y42" s="308"/>
      <c r="Z42" s="308"/>
      <c r="AA42" s="308"/>
      <c r="AB42" s="308"/>
      <c r="AC42" s="309"/>
      <c r="AD42" s="308"/>
      <c r="AE42" s="308"/>
      <c r="AF42" s="308"/>
      <c r="AG42" s="308"/>
      <c r="AH42" s="309"/>
      <c r="AI42" s="308"/>
      <c r="AJ42" s="308"/>
      <c r="AK42" s="308"/>
      <c r="AL42" s="308"/>
      <c r="AM42" s="308"/>
      <c r="AN42" s="308"/>
      <c r="AO42" s="308"/>
      <c r="AP42" s="308"/>
      <c r="AQ42" s="308"/>
      <c r="AR42" s="308"/>
      <c r="AS42" s="308"/>
      <c r="AT42" s="308"/>
      <c r="AU42" s="308"/>
      <c r="AV42" s="308"/>
      <c r="AW42" s="308"/>
      <c r="AX42" s="308"/>
      <c r="AY42" s="312"/>
      <c r="AZ42" s="312"/>
      <c r="BA42" s="312"/>
      <c r="BB42" s="312"/>
      <c r="BC42" s="312"/>
      <c r="BD42" s="311"/>
      <c r="BE42" s="311"/>
      <c r="BF42" s="311"/>
      <c r="BG42" s="311"/>
      <c r="BH42" s="311"/>
      <c r="BI42" s="310" t="str">
        <f t="shared" si="42"/>
        <v/>
      </c>
      <c r="BJ42" s="310"/>
      <c r="BK42" s="310"/>
      <c r="BL42" s="310"/>
      <c r="BM42" s="310"/>
      <c r="BN42" s="311" t="str">
        <f t="shared" si="43"/>
        <v/>
      </c>
      <c r="BO42" s="311"/>
      <c r="BP42" s="311"/>
      <c r="BQ42" s="311"/>
      <c r="BR42" s="311"/>
      <c r="BS42" s="332" t="str">
        <f t="shared" si="44"/>
        <v/>
      </c>
      <c r="BT42" s="332"/>
      <c r="BU42" s="332"/>
      <c r="BV42" s="332"/>
      <c r="BW42" s="332"/>
      <c r="BX42" s="311" t="str">
        <f t="shared" si="45"/>
        <v/>
      </c>
      <c r="BY42" s="311"/>
      <c r="BZ42" s="311"/>
      <c r="CA42" s="311"/>
      <c r="CB42" s="311"/>
      <c r="CC42" s="311" t="str">
        <f t="shared" si="46"/>
        <v/>
      </c>
      <c r="CD42" s="311"/>
      <c r="CE42" s="311"/>
      <c r="CF42" s="311"/>
      <c r="CG42" s="311"/>
      <c r="CH42" s="55"/>
      <c r="CI42" s="9" t="s">
        <v>171</v>
      </c>
      <c r="CJ42" s="10"/>
      <c r="CK42" s="44" t="e">
        <f>SUM(CP37:CP48)/BD49</f>
        <v>#VALUE!</v>
      </c>
      <c r="CL42" s="11" t="s">
        <v>174</v>
      </c>
      <c r="CP42" s="87">
        <f t="shared" si="47"/>
        <v>0</v>
      </c>
      <c r="CR42" s="28">
        <f t="shared" si="48"/>
        <v>0</v>
      </c>
      <c r="CS42" s="29">
        <f t="shared" si="49"/>
        <v>0</v>
      </c>
      <c r="CU42" s="28">
        <f t="shared" si="50"/>
        <v>32</v>
      </c>
      <c r="CV42" s="31">
        <f t="shared" si="51"/>
        <v>32</v>
      </c>
      <c r="CW42" s="32">
        <f>ROUND(CU42,1)</f>
        <v>32</v>
      </c>
      <c r="CX42" s="32">
        <f t="shared" si="58"/>
        <v>32</v>
      </c>
      <c r="CY42" s="26"/>
      <c r="CZ42" s="28">
        <f t="shared" si="52"/>
        <v>0</v>
      </c>
      <c r="DA42" s="28">
        <f t="shared" si="53"/>
        <v>0</v>
      </c>
      <c r="DB42" s="34">
        <f t="shared" si="66"/>
        <v>0</v>
      </c>
      <c r="DC42" s="32">
        <f t="shared" si="59"/>
        <v>0</v>
      </c>
      <c r="DD42" s="35"/>
      <c r="DE42" s="28" t="e">
        <f t="shared" si="54"/>
        <v>#VALUE!</v>
      </c>
      <c r="DF42" s="31" t="e">
        <f t="shared" si="55"/>
        <v>#VALUE!</v>
      </c>
      <c r="DG42" s="32" t="e">
        <f t="shared" si="67"/>
        <v>#VALUE!</v>
      </c>
      <c r="DH42" s="32" t="e">
        <f t="shared" si="60"/>
        <v>#VALUE!</v>
      </c>
      <c r="DI42" s="32" t="e">
        <f t="shared" si="61"/>
        <v>#VALUE!</v>
      </c>
      <c r="DK42" s="38" t="e">
        <f t="shared" si="56"/>
        <v>#VALUE!</v>
      </c>
      <c r="DL42" s="41" t="e">
        <f t="shared" si="68"/>
        <v>#VALUE!</v>
      </c>
      <c r="DM42" s="38" t="e">
        <f t="shared" si="69"/>
        <v>#VALUE!</v>
      </c>
      <c r="DN42" s="32" t="e">
        <f t="shared" si="62"/>
        <v>#VALUE!</v>
      </c>
      <c r="DO42" s="32" t="e">
        <f t="shared" si="70"/>
        <v>#VALUE!</v>
      </c>
      <c r="DQ42" s="38" t="str">
        <f t="shared" si="57"/>
        <v/>
      </c>
      <c r="DR42" s="29" t="e">
        <f t="shared" si="71"/>
        <v>#VALUE!</v>
      </c>
      <c r="DS42" s="38" t="e">
        <f t="shared" si="72"/>
        <v>#VALUE!</v>
      </c>
      <c r="DT42" s="32" t="e">
        <f t="shared" si="63"/>
        <v>#VALUE!</v>
      </c>
      <c r="DU42" s="32" t="e">
        <f t="shared" si="64"/>
        <v>#VALUE!</v>
      </c>
      <c r="DW42" s="38" t="e">
        <f t="shared" si="73"/>
        <v>#VALUE!</v>
      </c>
      <c r="DX42" s="42" t="e">
        <f t="shared" si="74"/>
        <v>#VALUE!</v>
      </c>
      <c r="DY42" s="38" t="e">
        <f t="shared" si="75"/>
        <v>#VALUE!</v>
      </c>
      <c r="DZ42" s="42" t="e">
        <f t="shared" si="76"/>
        <v>#VALUE!</v>
      </c>
      <c r="EA42" s="38" t="e">
        <f t="shared" si="77"/>
        <v>#VALUE!</v>
      </c>
      <c r="EB42" s="42" t="e">
        <f t="shared" si="78"/>
        <v>#VALUE!</v>
      </c>
    </row>
    <row r="43" spans="1:132" ht="11.45" customHeight="1" x14ac:dyDescent="0.2">
      <c r="A43" s="319" t="str">
        <f t="shared" si="39"/>
        <v/>
      </c>
      <c r="B43" s="319"/>
      <c r="C43" s="319"/>
      <c r="D43" s="319"/>
      <c r="E43" s="319"/>
      <c r="F43" s="319"/>
      <c r="G43" s="319"/>
      <c r="H43" s="319"/>
      <c r="I43" s="318" t="str">
        <f t="shared" si="40"/>
        <v/>
      </c>
      <c r="J43" s="318"/>
      <c r="K43" s="318"/>
      <c r="L43" s="318"/>
      <c r="M43" s="318"/>
      <c r="N43" s="318"/>
      <c r="O43" s="318"/>
      <c r="P43" s="443" t="str">
        <f t="shared" si="79"/>
        <v/>
      </c>
      <c r="Q43" s="443"/>
      <c r="R43" s="443"/>
      <c r="S43" s="443"/>
      <c r="T43" s="443"/>
      <c r="U43" s="308" t="str">
        <f t="shared" si="41"/>
        <v/>
      </c>
      <c r="V43" s="308"/>
      <c r="W43" s="308"/>
      <c r="X43" s="308"/>
      <c r="Y43" s="308"/>
      <c r="Z43" s="308"/>
      <c r="AA43" s="308"/>
      <c r="AB43" s="308"/>
      <c r="AC43" s="309"/>
      <c r="AD43" s="308"/>
      <c r="AE43" s="308"/>
      <c r="AF43" s="308"/>
      <c r="AG43" s="308"/>
      <c r="AH43" s="309"/>
      <c r="AI43" s="308"/>
      <c r="AJ43" s="308"/>
      <c r="AK43" s="308"/>
      <c r="AL43" s="308"/>
      <c r="AM43" s="308"/>
      <c r="AN43" s="308"/>
      <c r="AO43" s="308"/>
      <c r="AP43" s="308"/>
      <c r="AQ43" s="308"/>
      <c r="AR43" s="308"/>
      <c r="AS43" s="308"/>
      <c r="AT43" s="308"/>
      <c r="AU43" s="308"/>
      <c r="AV43" s="308"/>
      <c r="AW43" s="308"/>
      <c r="AX43" s="308"/>
      <c r="AY43" s="312"/>
      <c r="AZ43" s="312"/>
      <c r="BA43" s="312"/>
      <c r="BB43" s="312"/>
      <c r="BC43" s="312"/>
      <c r="BD43" s="311"/>
      <c r="BE43" s="311"/>
      <c r="BF43" s="311"/>
      <c r="BG43" s="311"/>
      <c r="BH43" s="311"/>
      <c r="BI43" s="310" t="str">
        <f t="shared" si="42"/>
        <v/>
      </c>
      <c r="BJ43" s="310"/>
      <c r="BK43" s="310"/>
      <c r="BL43" s="310"/>
      <c r="BM43" s="310"/>
      <c r="BN43" s="311" t="str">
        <f t="shared" si="43"/>
        <v/>
      </c>
      <c r="BO43" s="311"/>
      <c r="BP43" s="311"/>
      <c r="BQ43" s="311"/>
      <c r="BR43" s="311"/>
      <c r="BS43" s="332" t="str">
        <f t="shared" si="44"/>
        <v/>
      </c>
      <c r="BT43" s="332"/>
      <c r="BU43" s="332"/>
      <c r="BV43" s="332"/>
      <c r="BW43" s="332"/>
      <c r="BX43" s="311" t="str">
        <f t="shared" si="45"/>
        <v/>
      </c>
      <c r="BY43" s="311"/>
      <c r="BZ43" s="311"/>
      <c r="CA43" s="311"/>
      <c r="CB43" s="311"/>
      <c r="CC43" s="311" t="str">
        <f t="shared" si="46"/>
        <v/>
      </c>
      <c r="CD43" s="311"/>
      <c r="CE43" s="311"/>
      <c r="CF43" s="311"/>
      <c r="CG43" s="311"/>
      <c r="CH43" s="55"/>
      <c r="CN43" s="1" t="s">
        <v>219</v>
      </c>
      <c r="CP43" s="87">
        <f t="shared" si="47"/>
        <v>0</v>
      </c>
      <c r="CR43" s="28">
        <f t="shared" si="48"/>
        <v>0</v>
      </c>
      <c r="CS43" s="29">
        <f t="shared" si="49"/>
        <v>0</v>
      </c>
      <c r="CU43" s="28">
        <f t="shared" si="50"/>
        <v>32</v>
      </c>
      <c r="CV43" s="31">
        <f t="shared" si="51"/>
        <v>32</v>
      </c>
      <c r="CW43" s="32">
        <f t="shared" si="65"/>
        <v>32</v>
      </c>
      <c r="CX43" s="32">
        <f t="shared" si="58"/>
        <v>32</v>
      </c>
      <c r="CY43" s="26"/>
      <c r="CZ43" s="28">
        <f t="shared" si="52"/>
        <v>0</v>
      </c>
      <c r="DA43" s="28">
        <f t="shared" si="53"/>
        <v>0</v>
      </c>
      <c r="DB43" s="34">
        <f t="shared" si="66"/>
        <v>0</v>
      </c>
      <c r="DC43" s="32">
        <f t="shared" si="59"/>
        <v>0</v>
      </c>
      <c r="DD43" s="35"/>
      <c r="DE43" s="28" t="e">
        <f t="shared" si="54"/>
        <v>#VALUE!</v>
      </c>
      <c r="DF43" s="31" t="e">
        <f>ROUND(DE43*2,0)/2</f>
        <v>#VALUE!</v>
      </c>
      <c r="DG43" s="32" t="e">
        <f t="shared" si="67"/>
        <v>#VALUE!</v>
      </c>
      <c r="DH43" s="32" t="e">
        <f t="shared" si="60"/>
        <v>#VALUE!</v>
      </c>
      <c r="DI43" s="32" t="e">
        <f t="shared" si="61"/>
        <v>#VALUE!</v>
      </c>
      <c r="DK43" s="38" t="e">
        <f t="shared" si="56"/>
        <v>#VALUE!</v>
      </c>
      <c r="DL43" s="41" t="e">
        <f t="shared" si="68"/>
        <v>#VALUE!</v>
      </c>
      <c r="DM43" s="38" t="e">
        <f t="shared" si="69"/>
        <v>#VALUE!</v>
      </c>
      <c r="DN43" s="32" t="e">
        <f t="shared" si="62"/>
        <v>#VALUE!</v>
      </c>
      <c r="DO43" s="32" t="e">
        <f t="shared" si="70"/>
        <v>#VALUE!</v>
      </c>
      <c r="DQ43" s="38" t="str">
        <f t="shared" si="57"/>
        <v/>
      </c>
      <c r="DR43" s="29" t="e">
        <f t="shared" si="71"/>
        <v>#VALUE!</v>
      </c>
      <c r="DS43" s="38" t="e">
        <f t="shared" si="72"/>
        <v>#VALUE!</v>
      </c>
      <c r="DT43" s="32" t="e">
        <f t="shared" si="63"/>
        <v>#VALUE!</v>
      </c>
      <c r="DU43" s="32" t="e">
        <f t="shared" si="64"/>
        <v>#VALUE!</v>
      </c>
      <c r="DW43" s="38" t="e">
        <f t="shared" si="73"/>
        <v>#VALUE!</v>
      </c>
      <c r="DX43" s="42" t="e">
        <f t="shared" si="74"/>
        <v>#VALUE!</v>
      </c>
      <c r="DY43" s="38" t="e">
        <f t="shared" si="75"/>
        <v>#VALUE!</v>
      </c>
      <c r="DZ43" s="42" t="e">
        <f t="shared" si="76"/>
        <v>#VALUE!</v>
      </c>
      <c r="EA43" s="38" t="e">
        <f t="shared" si="77"/>
        <v>#VALUE!</v>
      </c>
      <c r="EB43" s="42" t="e">
        <f t="shared" si="78"/>
        <v>#VALUE!</v>
      </c>
    </row>
    <row r="44" spans="1:132" ht="11.45" customHeight="1" x14ac:dyDescent="0.2">
      <c r="A44" s="319" t="str">
        <f t="shared" si="39"/>
        <v/>
      </c>
      <c r="B44" s="319"/>
      <c r="C44" s="319"/>
      <c r="D44" s="319"/>
      <c r="E44" s="319"/>
      <c r="F44" s="319"/>
      <c r="G44" s="319"/>
      <c r="H44" s="319"/>
      <c r="I44" s="318" t="str">
        <f t="shared" si="40"/>
        <v/>
      </c>
      <c r="J44" s="318"/>
      <c r="K44" s="318"/>
      <c r="L44" s="318"/>
      <c r="M44" s="318"/>
      <c r="N44" s="318"/>
      <c r="O44" s="318"/>
      <c r="P44" s="443" t="str">
        <f t="shared" si="79"/>
        <v/>
      </c>
      <c r="Q44" s="443"/>
      <c r="R44" s="443"/>
      <c r="S44" s="443"/>
      <c r="T44" s="443"/>
      <c r="U44" s="308" t="str">
        <f t="shared" si="41"/>
        <v/>
      </c>
      <c r="V44" s="308"/>
      <c r="W44" s="308"/>
      <c r="X44" s="308"/>
      <c r="Y44" s="308"/>
      <c r="Z44" s="308"/>
      <c r="AA44" s="308"/>
      <c r="AB44" s="308"/>
      <c r="AC44" s="309"/>
      <c r="AD44" s="308"/>
      <c r="AE44" s="308"/>
      <c r="AF44" s="308"/>
      <c r="AG44" s="308"/>
      <c r="AH44" s="309"/>
      <c r="AI44" s="308"/>
      <c r="AJ44" s="308"/>
      <c r="AK44" s="308"/>
      <c r="AL44" s="308"/>
      <c r="AM44" s="308"/>
      <c r="AN44" s="308"/>
      <c r="AO44" s="308"/>
      <c r="AP44" s="308"/>
      <c r="AQ44" s="308"/>
      <c r="AR44" s="308"/>
      <c r="AS44" s="308"/>
      <c r="AT44" s="308"/>
      <c r="AU44" s="308"/>
      <c r="AV44" s="308"/>
      <c r="AW44" s="308"/>
      <c r="AX44" s="308"/>
      <c r="AY44" s="312"/>
      <c r="AZ44" s="312"/>
      <c r="BA44" s="312"/>
      <c r="BB44" s="312"/>
      <c r="BC44" s="312"/>
      <c r="BD44" s="311"/>
      <c r="BE44" s="311"/>
      <c r="BF44" s="311"/>
      <c r="BG44" s="311"/>
      <c r="BH44" s="311"/>
      <c r="BI44" s="310" t="str">
        <f t="shared" si="42"/>
        <v/>
      </c>
      <c r="BJ44" s="310"/>
      <c r="BK44" s="310"/>
      <c r="BL44" s="310"/>
      <c r="BM44" s="310"/>
      <c r="BN44" s="311" t="str">
        <f t="shared" si="43"/>
        <v/>
      </c>
      <c r="BO44" s="311"/>
      <c r="BP44" s="311"/>
      <c r="BQ44" s="311"/>
      <c r="BR44" s="311"/>
      <c r="BS44" s="332" t="str">
        <f t="shared" si="44"/>
        <v/>
      </c>
      <c r="BT44" s="332"/>
      <c r="BU44" s="332"/>
      <c r="BV44" s="332"/>
      <c r="BW44" s="332"/>
      <c r="BX44" s="311" t="str">
        <f t="shared" si="45"/>
        <v/>
      </c>
      <c r="BY44" s="311"/>
      <c r="BZ44" s="311"/>
      <c r="CA44" s="311"/>
      <c r="CB44" s="311"/>
      <c r="CC44" s="311" t="str">
        <f t="shared" si="46"/>
        <v/>
      </c>
      <c r="CD44" s="311"/>
      <c r="CE44" s="311"/>
      <c r="CF44" s="311"/>
      <c r="CG44" s="311"/>
      <c r="CH44" s="55"/>
      <c r="CN44" s="107" t="s">
        <v>199</v>
      </c>
      <c r="CP44" s="87">
        <f t="shared" si="47"/>
        <v>0</v>
      </c>
      <c r="CR44" s="28">
        <f t="shared" si="48"/>
        <v>0</v>
      </c>
      <c r="CS44" s="29">
        <f t="shared" si="49"/>
        <v>0</v>
      </c>
      <c r="CU44" s="28">
        <f t="shared" si="50"/>
        <v>32</v>
      </c>
      <c r="CV44" s="31">
        <f t="shared" si="51"/>
        <v>32</v>
      </c>
      <c r="CW44" s="32">
        <f t="shared" si="65"/>
        <v>32</v>
      </c>
      <c r="CX44" s="32">
        <f t="shared" si="58"/>
        <v>32</v>
      </c>
      <c r="CY44" s="26"/>
      <c r="CZ44" s="28">
        <f t="shared" si="52"/>
        <v>0</v>
      </c>
      <c r="DA44" s="28">
        <f t="shared" si="53"/>
        <v>0</v>
      </c>
      <c r="DB44" s="34">
        <f t="shared" si="66"/>
        <v>0</v>
      </c>
      <c r="DC44" s="32">
        <f t="shared" si="59"/>
        <v>0</v>
      </c>
      <c r="DD44" s="35"/>
      <c r="DE44" s="28" t="e">
        <f t="shared" si="54"/>
        <v>#VALUE!</v>
      </c>
      <c r="DF44" s="31" t="e">
        <f t="shared" si="55"/>
        <v>#VALUE!</v>
      </c>
      <c r="DG44" s="32" t="e">
        <f t="shared" si="67"/>
        <v>#VALUE!</v>
      </c>
      <c r="DH44" s="32" t="e">
        <f t="shared" si="60"/>
        <v>#VALUE!</v>
      </c>
      <c r="DI44" s="32" t="e">
        <f t="shared" si="61"/>
        <v>#VALUE!</v>
      </c>
      <c r="DK44" s="38" t="e">
        <f t="shared" si="56"/>
        <v>#VALUE!</v>
      </c>
      <c r="DL44" s="41" t="e">
        <f t="shared" si="68"/>
        <v>#VALUE!</v>
      </c>
      <c r="DM44" s="38" t="e">
        <f t="shared" si="69"/>
        <v>#VALUE!</v>
      </c>
      <c r="DN44" s="32" t="e">
        <f t="shared" si="62"/>
        <v>#VALUE!</v>
      </c>
      <c r="DO44" s="32" t="e">
        <f t="shared" si="70"/>
        <v>#VALUE!</v>
      </c>
      <c r="DQ44" s="38" t="str">
        <f t="shared" si="57"/>
        <v/>
      </c>
      <c r="DR44" s="29" t="e">
        <f t="shared" si="71"/>
        <v>#VALUE!</v>
      </c>
      <c r="DS44" s="38" t="e">
        <f t="shared" si="72"/>
        <v>#VALUE!</v>
      </c>
      <c r="DT44" s="32" t="e">
        <f t="shared" si="63"/>
        <v>#VALUE!</v>
      </c>
      <c r="DU44" s="32" t="e">
        <f t="shared" si="64"/>
        <v>#VALUE!</v>
      </c>
      <c r="DW44" s="38" t="e">
        <f t="shared" si="73"/>
        <v>#VALUE!</v>
      </c>
      <c r="DX44" s="42" t="e">
        <f t="shared" si="74"/>
        <v>#VALUE!</v>
      </c>
      <c r="DY44" s="38" t="e">
        <f t="shared" si="75"/>
        <v>#VALUE!</v>
      </c>
      <c r="DZ44" s="42" t="e">
        <f t="shared" si="76"/>
        <v>#VALUE!</v>
      </c>
      <c r="EA44" s="38" t="e">
        <f t="shared" si="77"/>
        <v>#VALUE!</v>
      </c>
      <c r="EB44" s="42" t="e">
        <f t="shared" si="78"/>
        <v>#VALUE!</v>
      </c>
    </row>
    <row r="45" spans="1:132" ht="11.45" customHeight="1" x14ac:dyDescent="0.2">
      <c r="A45" s="346" t="str">
        <f t="shared" si="39"/>
        <v/>
      </c>
      <c r="B45" s="346"/>
      <c r="C45" s="346"/>
      <c r="D45" s="346"/>
      <c r="E45" s="346"/>
      <c r="F45" s="346"/>
      <c r="G45" s="346"/>
      <c r="H45" s="346"/>
      <c r="I45" s="318" t="str">
        <f t="shared" si="40"/>
        <v/>
      </c>
      <c r="J45" s="318"/>
      <c r="K45" s="318"/>
      <c r="L45" s="318"/>
      <c r="M45" s="318"/>
      <c r="N45" s="318"/>
      <c r="O45" s="318"/>
      <c r="P45" s="443" t="str">
        <f t="shared" si="79"/>
        <v/>
      </c>
      <c r="Q45" s="443"/>
      <c r="R45" s="443"/>
      <c r="S45" s="443"/>
      <c r="T45" s="443"/>
      <c r="U45" s="308" t="str">
        <f t="shared" si="41"/>
        <v/>
      </c>
      <c r="V45" s="308"/>
      <c r="W45" s="308"/>
      <c r="X45" s="308"/>
      <c r="Y45" s="308"/>
      <c r="Z45" s="308"/>
      <c r="AA45" s="308"/>
      <c r="AB45" s="308"/>
      <c r="AC45" s="309"/>
      <c r="AD45" s="308"/>
      <c r="AE45" s="308"/>
      <c r="AF45" s="308"/>
      <c r="AG45" s="308"/>
      <c r="AH45" s="308"/>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c r="BE45" s="311"/>
      <c r="BF45" s="311"/>
      <c r="BG45" s="311"/>
      <c r="BH45" s="311"/>
      <c r="BI45" s="310" t="str">
        <f t="shared" si="42"/>
        <v/>
      </c>
      <c r="BJ45" s="310"/>
      <c r="BK45" s="310"/>
      <c r="BL45" s="310"/>
      <c r="BM45" s="310"/>
      <c r="BN45" s="311" t="str">
        <f>IF(OR(BD45="",BI45=""),"",BD45*BI45)</f>
        <v/>
      </c>
      <c r="BO45" s="311"/>
      <c r="BP45" s="311"/>
      <c r="BQ45" s="311"/>
      <c r="BR45" s="311"/>
      <c r="BS45" s="332" t="str">
        <f t="shared" si="44"/>
        <v/>
      </c>
      <c r="BT45" s="332"/>
      <c r="BU45" s="332"/>
      <c r="BV45" s="332"/>
      <c r="BW45" s="332"/>
      <c r="BX45" s="311" t="str">
        <f t="shared" si="45"/>
        <v/>
      </c>
      <c r="BY45" s="311"/>
      <c r="BZ45" s="311"/>
      <c r="CA45" s="311"/>
      <c r="CB45" s="311"/>
      <c r="CC45" s="311" t="str">
        <f t="shared" si="46"/>
        <v/>
      </c>
      <c r="CD45" s="311"/>
      <c r="CE45" s="311"/>
      <c r="CF45" s="311"/>
      <c r="CG45" s="311"/>
      <c r="CH45" s="55"/>
      <c r="CN45" s="87" t="s">
        <v>200</v>
      </c>
      <c r="CP45" s="87">
        <f t="shared" si="47"/>
        <v>0</v>
      </c>
      <c r="CR45" s="28">
        <f t="shared" si="48"/>
        <v>0</v>
      </c>
      <c r="CS45" s="29">
        <f t="shared" si="49"/>
        <v>0</v>
      </c>
      <c r="CU45" s="28">
        <f t="shared" si="50"/>
        <v>32</v>
      </c>
      <c r="CV45" s="31">
        <f t="shared" si="51"/>
        <v>32</v>
      </c>
      <c r="CW45" s="32">
        <f t="shared" si="65"/>
        <v>32</v>
      </c>
      <c r="CX45" s="32">
        <f t="shared" si="58"/>
        <v>32</v>
      </c>
      <c r="CY45" s="26"/>
      <c r="CZ45" s="28">
        <f t="shared" si="52"/>
        <v>0</v>
      </c>
      <c r="DA45" s="28">
        <f t="shared" si="53"/>
        <v>0</v>
      </c>
      <c r="DB45" s="34">
        <f t="shared" si="66"/>
        <v>0</v>
      </c>
      <c r="DC45" s="32">
        <f t="shared" si="59"/>
        <v>0</v>
      </c>
      <c r="DD45" s="35"/>
      <c r="DE45" s="28" t="e">
        <f t="shared" si="54"/>
        <v>#VALUE!</v>
      </c>
      <c r="DF45" s="31" t="e">
        <f t="shared" si="55"/>
        <v>#VALUE!</v>
      </c>
      <c r="DG45" s="32" t="e">
        <f t="shared" si="67"/>
        <v>#VALUE!</v>
      </c>
      <c r="DH45" s="32" t="e">
        <f t="shared" si="60"/>
        <v>#VALUE!</v>
      </c>
      <c r="DI45" s="32" t="e">
        <f>DH45*(1+((EXP(((0.01374979547/2)*(((103.872/DH45)+0.2701)*(1/DH45)))*(1+(0.8*((0.01374979547/2)*(((103.872/DH45)+0.2701)*(1/DH45))))))-1)/(1+(((0.01374979547/2)*(((103.872/DH45)+0.2701)*(1/DH45)))*(1+(1.6*((0.01374979547/2)*(((103.872/DH45)+0.2701)*(1/DH45)))))*(((2*103.872)+(0.2701+DH45))/(103.872+(0.2701*DH45)))))))</f>
        <v>#VALUE!</v>
      </c>
      <c r="DK45" s="38" t="e">
        <f t="shared" si="56"/>
        <v>#VALUE!</v>
      </c>
      <c r="DL45" s="41" t="e">
        <f t="shared" si="68"/>
        <v>#VALUE!</v>
      </c>
      <c r="DM45" s="38" t="e">
        <f t="shared" si="69"/>
        <v>#VALUE!</v>
      </c>
      <c r="DN45" s="32" t="e">
        <f t="shared" si="62"/>
        <v>#VALUE!</v>
      </c>
      <c r="DO45" s="32" t="e">
        <f t="shared" si="70"/>
        <v>#VALUE!</v>
      </c>
      <c r="DQ45" s="38" t="str">
        <f t="shared" si="57"/>
        <v/>
      </c>
      <c r="DR45" s="29" t="e">
        <f t="shared" si="71"/>
        <v>#VALUE!</v>
      </c>
      <c r="DS45" s="38" t="e">
        <f t="shared" si="72"/>
        <v>#VALUE!</v>
      </c>
      <c r="DT45" s="32" t="e">
        <f t="shared" si="63"/>
        <v>#VALUE!</v>
      </c>
      <c r="DU45" s="32" t="e">
        <f t="shared" si="64"/>
        <v>#VALUE!</v>
      </c>
      <c r="DW45" s="38" t="e">
        <f t="shared" si="73"/>
        <v>#VALUE!</v>
      </c>
      <c r="DX45" s="42" t="e">
        <f t="shared" si="74"/>
        <v>#VALUE!</v>
      </c>
      <c r="DY45" s="38" t="e">
        <f t="shared" si="75"/>
        <v>#VALUE!</v>
      </c>
      <c r="DZ45" s="42" t="e">
        <f t="shared" si="76"/>
        <v>#VALUE!</v>
      </c>
      <c r="EA45" s="38" t="e">
        <f t="shared" si="77"/>
        <v>#VALUE!</v>
      </c>
      <c r="EB45" s="42" t="e">
        <f t="shared" si="78"/>
        <v>#VALUE!</v>
      </c>
    </row>
    <row r="46" spans="1:132" ht="11.45" customHeight="1" x14ac:dyDescent="0.2">
      <c r="A46" s="346" t="str">
        <f t="shared" si="39"/>
        <v/>
      </c>
      <c r="B46" s="346"/>
      <c r="C46" s="346"/>
      <c r="D46" s="346"/>
      <c r="E46" s="346"/>
      <c r="F46" s="346"/>
      <c r="G46" s="346"/>
      <c r="H46" s="346"/>
      <c r="I46" s="318" t="str">
        <f t="shared" si="40"/>
        <v/>
      </c>
      <c r="J46" s="318"/>
      <c r="K46" s="318"/>
      <c r="L46" s="318"/>
      <c r="M46" s="318"/>
      <c r="N46" s="318"/>
      <c r="O46" s="318"/>
      <c r="P46" s="443" t="str">
        <f t="shared" si="79"/>
        <v/>
      </c>
      <c r="Q46" s="443"/>
      <c r="R46" s="443"/>
      <c r="S46" s="443"/>
      <c r="T46" s="443"/>
      <c r="U46" s="308" t="str">
        <f t="shared" si="41"/>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ref="BD46:BD48" si="80">IF(OR(AJ46="",AT46=""),"",AJ46-AT46)</f>
        <v/>
      </c>
      <c r="BE46" s="311"/>
      <c r="BF46" s="311"/>
      <c r="BG46" s="311"/>
      <c r="BH46" s="311"/>
      <c r="BI46" s="310" t="str">
        <f t="shared" si="42"/>
        <v/>
      </c>
      <c r="BJ46" s="310"/>
      <c r="BK46" s="310"/>
      <c r="BL46" s="310"/>
      <c r="BM46" s="310"/>
      <c r="BN46" s="311" t="str">
        <f t="shared" si="43"/>
        <v/>
      </c>
      <c r="BO46" s="311"/>
      <c r="BP46" s="311"/>
      <c r="BQ46" s="311"/>
      <c r="BR46" s="311"/>
      <c r="BS46" s="332" t="str">
        <f t="shared" si="44"/>
        <v/>
      </c>
      <c r="BT46" s="332"/>
      <c r="BU46" s="332"/>
      <c r="BV46" s="332"/>
      <c r="BW46" s="332"/>
      <c r="BX46" s="311" t="str">
        <f t="shared" si="45"/>
        <v/>
      </c>
      <c r="BY46" s="311"/>
      <c r="BZ46" s="311"/>
      <c r="CA46" s="311"/>
      <c r="CB46" s="311"/>
      <c r="CC46" s="311" t="str">
        <f t="shared" si="46"/>
        <v/>
      </c>
      <c r="CD46" s="311"/>
      <c r="CE46" s="311"/>
      <c r="CF46" s="311"/>
      <c r="CG46" s="311"/>
      <c r="CH46" s="55"/>
      <c r="CN46" s="87" t="s">
        <v>201</v>
      </c>
      <c r="CP46" s="87">
        <f t="shared" si="47"/>
        <v>0</v>
      </c>
      <c r="CR46" s="28" t="e">
        <f t="shared" si="48"/>
        <v>#VALUE!</v>
      </c>
      <c r="CS46" s="29" t="str">
        <f t="shared" si="49"/>
        <v/>
      </c>
      <c r="CU46" s="28">
        <f t="shared" si="50"/>
        <v>32</v>
      </c>
      <c r="CV46" s="31">
        <f t="shared" si="51"/>
        <v>32</v>
      </c>
      <c r="CW46" s="32">
        <f t="shared" si="65"/>
        <v>32</v>
      </c>
      <c r="CX46" s="32">
        <f t="shared" si="58"/>
        <v>32</v>
      </c>
      <c r="CY46" s="26"/>
      <c r="CZ46" s="28">
        <f t="shared" si="52"/>
        <v>0</v>
      </c>
      <c r="DA46" s="28">
        <f t="shared" si="53"/>
        <v>0</v>
      </c>
      <c r="DB46" s="34">
        <f t="shared" si="66"/>
        <v>0</v>
      </c>
      <c r="DC46" s="32">
        <f t="shared" si="59"/>
        <v>0</v>
      </c>
      <c r="DD46" s="35"/>
      <c r="DE46" s="28" t="e">
        <f t="shared" si="54"/>
        <v>#VALUE!</v>
      </c>
      <c r="DF46" s="31" t="e">
        <f t="shared" si="55"/>
        <v>#VALUE!</v>
      </c>
      <c r="DG46" s="32" t="e">
        <f t="shared" si="67"/>
        <v>#VALUE!</v>
      </c>
      <c r="DH46" s="32" t="e">
        <f t="shared" si="60"/>
        <v>#VALUE!</v>
      </c>
      <c r="DI46" s="32" t="e">
        <f t="shared" si="61"/>
        <v>#VALUE!</v>
      </c>
      <c r="DK46" s="38" t="e">
        <f t="shared" si="56"/>
        <v>#VALUE!</v>
      </c>
      <c r="DL46" s="41" t="e">
        <f t="shared" si="68"/>
        <v>#VALUE!</v>
      </c>
      <c r="DM46" s="38" t="e">
        <f t="shared" si="69"/>
        <v>#VALUE!</v>
      </c>
      <c r="DN46" s="32" t="e">
        <f t="shared" si="62"/>
        <v>#VALUE!</v>
      </c>
      <c r="DO46" s="32" t="e">
        <f t="shared" si="70"/>
        <v>#VALUE!</v>
      </c>
      <c r="DQ46" s="38" t="str">
        <f t="shared" si="57"/>
        <v/>
      </c>
      <c r="DR46" s="29" t="e">
        <f t="shared" si="71"/>
        <v>#VALUE!</v>
      </c>
      <c r="DS46" s="38" t="e">
        <f t="shared" si="72"/>
        <v>#VALUE!</v>
      </c>
      <c r="DT46" s="32" t="e">
        <f t="shared" si="63"/>
        <v>#VALUE!</v>
      </c>
      <c r="DU46" s="32" t="e">
        <f t="shared" si="64"/>
        <v>#VALUE!</v>
      </c>
      <c r="DW46" s="38" t="e">
        <f t="shared" si="73"/>
        <v>#VALUE!</v>
      </c>
      <c r="DX46" s="42" t="e">
        <f t="shared" si="74"/>
        <v>#VALUE!</v>
      </c>
      <c r="DY46" s="38" t="e">
        <f t="shared" si="75"/>
        <v>#VALUE!</v>
      </c>
      <c r="DZ46" s="42" t="e">
        <f t="shared" si="76"/>
        <v>#VALUE!</v>
      </c>
      <c r="EA46" s="38" t="e">
        <f t="shared" si="77"/>
        <v>#VALUE!</v>
      </c>
      <c r="EB46" s="42" t="e">
        <f t="shared" si="78"/>
        <v>#VALUE!</v>
      </c>
    </row>
    <row r="47" spans="1:132" ht="11.45" customHeight="1" x14ac:dyDescent="0.2">
      <c r="A47" s="346" t="str">
        <f t="shared" si="39"/>
        <v/>
      </c>
      <c r="B47" s="346"/>
      <c r="C47" s="346"/>
      <c r="D47" s="346"/>
      <c r="E47" s="346"/>
      <c r="F47" s="346"/>
      <c r="G47" s="346"/>
      <c r="H47" s="346"/>
      <c r="I47" s="318" t="str">
        <f t="shared" si="40"/>
        <v/>
      </c>
      <c r="J47" s="318"/>
      <c r="K47" s="318"/>
      <c r="L47" s="318"/>
      <c r="M47" s="318"/>
      <c r="N47" s="318"/>
      <c r="O47" s="318"/>
      <c r="P47" s="443" t="str">
        <f t="shared" si="79"/>
        <v/>
      </c>
      <c r="Q47" s="443"/>
      <c r="R47" s="443"/>
      <c r="S47" s="443"/>
      <c r="T47" s="443"/>
      <c r="U47" s="308" t="str">
        <f t="shared" si="41"/>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80"/>
        <v/>
      </c>
      <c r="BE47" s="311"/>
      <c r="BF47" s="311"/>
      <c r="BG47" s="311"/>
      <c r="BH47" s="311"/>
      <c r="BI47" s="310" t="str">
        <f t="shared" si="42"/>
        <v/>
      </c>
      <c r="BJ47" s="310"/>
      <c r="BK47" s="310"/>
      <c r="BL47" s="310"/>
      <c r="BM47" s="310"/>
      <c r="BN47" s="311" t="str">
        <f t="shared" si="43"/>
        <v/>
      </c>
      <c r="BO47" s="311"/>
      <c r="BP47" s="311"/>
      <c r="BQ47" s="311"/>
      <c r="BR47" s="311"/>
      <c r="BS47" s="332" t="str">
        <f t="shared" si="44"/>
        <v/>
      </c>
      <c r="BT47" s="332"/>
      <c r="BU47" s="332"/>
      <c r="BV47" s="332"/>
      <c r="BW47" s="332"/>
      <c r="BX47" s="311" t="str">
        <f t="shared" si="45"/>
        <v/>
      </c>
      <c r="BY47" s="311"/>
      <c r="BZ47" s="311"/>
      <c r="CA47" s="311"/>
      <c r="CB47" s="311"/>
      <c r="CC47" s="311" t="str">
        <f t="shared" si="46"/>
        <v/>
      </c>
      <c r="CD47" s="311"/>
      <c r="CE47" s="311"/>
      <c r="CF47" s="311"/>
      <c r="CG47" s="311"/>
      <c r="CH47" s="55"/>
      <c r="CN47" s="87" t="s">
        <v>202</v>
      </c>
      <c r="CP47" s="87">
        <f t="shared" si="47"/>
        <v>0</v>
      </c>
      <c r="CR47" s="28" t="e">
        <f t="shared" si="48"/>
        <v>#VALUE!</v>
      </c>
      <c r="CS47" s="29" t="str">
        <f t="shared" si="49"/>
        <v/>
      </c>
      <c r="CU47" s="28">
        <f t="shared" si="50"/>
        <v>32</v>
      </c>
      <c r="CV47" s="31">
        <f t="shared" si="51"/>
        <v>32</v>
      </c>
      <c r="CW47" s="32">
        <f t="shared" si="65"/>
        <v>32</v>
      </c>
      <c r="CX47" s="32">
        <f t="shared" si="58"/>
        <v>32</v>
      </c>
      <c r="CY47" s="26"/>
      <c r="CZ47" s="28">
        <f t="shared" si="52"/>
        <v>0</v>
      </c>
      <c r="DA47" s="28">
        <f t="shared" si="53"/>
        <v>0</v>
      </c>
      <c r="DB47" s="34">
        <f t="shared" si="66"/>
        <v>0</v>
      </c>
      <c r="DC47" s="32">
        <f t="shared" si="59"/>
        <v>0</v>
      </c>
      <c r="DD47" s="35"/>
      <c r="DE47" s="28" t="e">
        <f t="shared" si="54"/>
        <v>#VALUE!</v>
      </c>
      <c r="DF47" s="31" t="e">
        <f t="shared" si="55"/>
        <v>#VALUE!</v>
      </c>
      <c r="DG47" s="32" t="e">
        <f t="shared" si="67"/>
        <v>#VALUE!</v>
      </c>
      <c r="DH47" s="32" t="e">
        <f t="shared" si="60"/>
        <v>#VALUE!</v>
      </c>
      <c r="DI47" s="32" t="e">
        <f t="shared" si="61"/>
        <v>#VALUE!</v>
      </c>
      <c r="DK47" s="38" t="e">
        <f t="shared" si="56"/>
        <v>#VALUE!</v>
      </c>
      <c r="DL47" s="41" t="e">
        <f t="shared" si="68"/>
        <v>#VALUE!</v>
      </c>
      <c r="DM47" s="38" t="e">
        <f t="shared" si="69"/>
        <v>#VALUE!</v>
      </c>
      <c r="DN47" s="32" t="e">
        <f t="shared" si="62"/>
        <v>#VALUE!</v>
      </c>
      <c r="DO47" s="32" t="e">
        <f t="shared" si="70"/>
        <v>#VALUE!</v>
      </c>
      <c r="DQ47" s="38" t="str">
        <f t="shared" si="57"/>
        <v/>
      </c>
      <c r="DR47" s="29" t="e">
        <f t="shared" si="71"/>
        <v>#VALUE!</v>
      </c>
      <c r="DS47" s="38" t="e">
        <f t="shared" si="72"/>
        <v>#VALUE!</v>
      </c>
      <c r="DT47" s="32" t="e">
        <f t="shared" si="63"/>
        <v>#VALUE!</v>
      </c>
      <c r="DU47" s="32" t="e">
        <f t="shared" si="64"/>
        <v>#VALUE!</v>
      </c>
      <c r="DW47" s="38" t="e">
        <f t="shared" si="73"/>
        <v>#VALUE!</v>
      </c>
      <c r="DX47" s="42" t="e">
        <f t="shared" si="74"/>
        <v>#VALUE!</v>
      </c>
      <c r="DY47" s="38" t="e">
        <f t="shared" si="75"/>
        <v>#VALUE!</v>
      </c>
      <c r="DZ47" s="42" t="e">
        <f t="shared" si="76"/>
        <v>#VALUE!</v>
      </c>
      <c r="EA47" s="38" t="e">
        <f t="shared" si="77"/>
        <v>#VALUE!</v>
      </c>
      <c r="EB47" s="42" t="e">
        <f t="shared" si="78"/>
        <v>#VALUE!</v>
      </c>
    </row>
    <row r="48" spans="1:132" ht="11.45" customHeight="1" x14ac:dyDescent="0.2">
      <c r="A48" s="346" t="str">
        <f t="shared" si="39"/>
        <v/>
      </c>
      <c r="B48" s="346"/>
      <c r="C48" s="346"/>
      <c r="D48" s="346"/>
      <c r="E48" s="346"/>
      <c r="F48" s="346"/>
      <c r="G48" s="346"/>
      <c r="H48" s="346"/>
      <c r="I48" s="318" t="str">
        <f t="shared" si="40"/>
        <v/>
      </c>
      <c r="J48" s="318"/>
      <c r="K48" s="318"/>
      <c r="L48" s="318"/>
      <c r="M48" s="318"/>
      <c r="N48" s="318"/>
      <c r="O48" s="318"/>
      <c r="P48" s="443" t="str">
        <f t="shared" si="79"/>
        <v/>
      </c>
      <c r="Q48" s="443"/>
      <c r="R48" s="443"/>
      <c r="S48" s="443"/>
      <c r="T48" s="443"/>
      <c r="U48" s="308" t="str">
        <f t="shared" si="41"/>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80"/>
        <v/>
      </c>
      <c r="BE48" s="311"/>
      <c r="BF48" s="311"/>
      <c r="BG48" s="311"/>
      <c r="BH48" s="311"/>
      <c r="BI48" s="310" t="str">
        <f t="shared" si="42"/>
        <v/>
      </c>
      <c r="BJ48" s="310"/>
      <c r="BK48" s="310"/>
      <c r="BL48" s="310"/>
      <c r="BM48" s="310"/>
      <c r="BN48" s="311" t="str">
        <f t="shared" si="43"/>
        <v/>
      </c>
      <c r="BO48" s="311"/>
      <c r="BP48" s="311"/>
      <c r="BQ48" s="311"/>
      <c r="BR48" s="311"/>
      <c r="BS48" s="332" t="str">
        <f t="shared" si="44"/>
        <v/>
      </c>
      <c r="BT48" s="332"/>
      <c r="BU48" s="332"/>
      <c r="BV48" s="332"/>
      <c r="BW48" s="332"/>
      <c r="BX48" s="311" t="str">
        <f t="shared" si="45"/>
        <v/>
      </c>
      <c r="BY48" s="311"/>
      <c r="BZ48" s="311"/>
      <c r="CA48" s="311"/>
      <c r="CB48" s="311"/>
      <c r="CC48" s="311" t="str">
        <f t="shared" si="46"/>
        <v/>
      </c>
      <c r="CD48" s="311"/>
      <c r="CE48" s="311"/>
      <c r="CF48" s="311"/>
      <c r="CG48" s="311"/>
      <c r="CH48" s="55"/>
      <c r="CN48" s="87" t="s">
        <v>203</v>
      </c>
      <c r="CP48" s="2">
        <f t="shared" si="47"/>
        <v>0</v>
      </c>
      <c r="CR48" s="45" t="e">
        <f t="shared" si="48"/>
        <v>#VALUE!</v>
      </c>
      <c r="CS48" s="46" t="str">
        <f t="shared" si="49"/>
        <v/>
      </c>
      <c r="CU48" s="45">
        <f t="shared" si="50"/>
        <v>32</v>
      </c>
      <c r="CV48" s="47">
        <f t="shared" si="51"/>
        <v>32</v>
      </c>
      <c r="CW48" s="48">
        <f>ROUND(CU48,1)</f>
        <v>32</v>
      </c>
      <c r="CX48" s="48">
        <f t="shared" si="58"/>
        <v>32</v>
      </c>
      <c r="CZ48" s="45">
        <f t="shared" si="52"/>
        <v>0</v>
      </c>
      <c r="DA48" s="45">
        <f t="shared" si="53"/>
        <v>0</v>
      </c>
      <c r="DB48" s="49">
        <f>ROUND(CZ48,1)</f>
        <v>0</v>
      </c>
      <c r="DC48" s="48">
        <f t="shared" si="59"/>
        <v>0</v>
      </c>
      <c r="DD48" s="35"/>
      <c r="DE48" s="45" t="e">
        <f t="shared" si="54"/>
        <v>#VALUE!</v>
      </c>
      <c r="DF48" s="47" t="e">
        <f t="shared" si="55"/>
        <v>#VALUE!</v>
      </c>
      <c r="DG48" s="48" t="e">
        <f>ROUND(DE48,1)</f>
        <v>#VALUE!</v>
      </c>
      <c r="DH48" s="48" t="e">
        <f t="shared" si="60"/>
        <v>#VALUE!</v>
      </c>
      <c r="DI48" s="48" t="e">
        <f t="shared" si="61"/>
        <v>#VALUE!</v>
      </c>
      <c r="DK48" s="50" t="e">
        <f t="shared" si="56"/>
        <v>#VALUE!</v>
      </c>
      <c r="DL48" s="51" t="e">
        <f>ROUND(DK48*5,2)/5</f>
        <v>#VALUE!</v>
      </c>
      <c r="DM48" s="50" t="e">
        <f>ROUND(DK48,4)</f>
        <v>#VALUE!</v>
      </c>
      <c r="DN48" s="48" t="e">
        <f t="shared" si="62"/>
        <v>#VALUE!</v>
      </c>
      <c r="DO48" s="48" t="e">
        <f>DN48*(1+((EXP(((0.01374979547/2)*(((103.872/DN48)+0.2701)*(1/DN48)))*(1+(0.8*((0.01374979547/2)*(((103.872/DN48)+0.2701)*(1/DN48))))))-1)/(1+(((0.01374979547/2)*(((103.872/DN48)+0.2701)*(1/DN48)))*(1+(1.6*((0.01374979547/2)*(((103.872/DN48)+0.2701)*(1/DN48)))))*(((2*103.872)+(0.2701+DN48))/(103.872+(0.2701*DN48)))))))</f>
        <v>#VALUE!</v>
      </c>
      <c r="DQ48" s="50" t="str">
        <f t="shared" si="57"/>
        <v/>
      </c>
      <c r="DR48" s="46" t="e">
        <f>ROUND(DQ48*5,2)/5</f>
        <v>#VALUE!</v>
      </c>
      <c r="DS48" s="50" t="e">
        <f>ROUND(DQ48,4)</f>
        <v>#VALUE!</v>
      </c>
      <c r="DT48" s="48" t="e">
        <f t="shared" si="63"/>
        <v>#VALUE!</v>
      </c>
      <c r="DU48" s="48" t="e">
        <f t="shared" si="64"/>
        <v>#VALUE!</v>
      </c>
      <c r="DW48" s="50" t="e">
        <f>ROUND(EXP(-((103.872/(((141.5/(DF48+131.5))*999.012)^2))+(0.2701/((141.5/(DF48+131.5))*999.012)))*(CV48-60)*(1+(0.8*((103.872/(((141.5/(DF48+131.5))*999.012)^2))+(0.2701/((141.5/(DF48+131.5))*999.012)))*(CV48-60)))),4)</f>
        <v>#VALUE!</v>
      </c>
      <c r="DX48" s="52" t="e">
        <f>ROUND(EXP(-(((103.872/DI48)+0.2701)*(1/DI48))*(CX48-60.0068749)*(1+(0.8*(((103.872/DI48)+0.2701)*(1/DI48))*((CX48-60.0068749)+0.01374979547)))),5)</f>
        <v>#VALUE!</v>
      </c>
      <c r="DY48" s="50" t="e">
        <f>ROUND(EXP(-((103.872/((DL48*999.012)^2))+(0.2701/(DL48*999.012)))*(CV48-60)*(1+(0.8*((103.872/((DL48*999.012)^2))+(0.2701/(DL48*999.012)))*(CV48-60)))),4)</f>
        <v>#VALUE!</v>
      </c>
      <c r="DZ48" s="52" t="e">
        <f>ROUND(EXP(-(((103.872/DO48)+0.2701)*(1/DO48))*(CX48-60.0068749)*(1+(0.8*(((103.872/DO48)+0.2701)*(1/DO48))*((CX48-60.0068749)+0.01374979547)))),5)</f>
        <v>#VALUE!</v>
      </c>
      <c r="EA48" s="50" t="e">
        <f>ROUND(EXP(-((186.9696/((DR48*1000)^2))+(0.4862/(DR48*1000)))*(DA48-15)*(1+(0.8*((186.9696/((DR48*1000)^2))+(0.4862/(DR48*1000)))*(DA48-15)))),4)</f>
        <v>#VALUE!</v>
      </c>
      <c r="EB48" s="52" t="e">
        <f>ROUND(EXP(-((((186.9696/DU48)+0.4862)*(1/DU48)))*(DC48-15.00367851)*(1+(0.8*((((186.9696/DU48)+0.4862)*(1/DU48)))*((DC48-15.00367851)+0.01374979547)))),5)</f>
        <v>#VALUE!</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t="str">
        <f>IF(COUNT(AJ37:AN48)=0,"",ROUND(SUM(AJ37:AN48),3))</f>
        <v/>
      </c>
      <c r="AK49" s="321"/>
      <c r="AL49" s="321"/>
      <c r="AM49" s="321"/>
      <c r="AN49" s="322"/>
      <c r="AO49" s="341" t="s">
        <v>214</v>
      </c>
      <c r="AP49" s="341"/>
      <c r="AQ49" s="341"/>
      <c r="AR49" s="341"/>
      <c r="AS49" s="341"/>
      <c r="AT49" s="320" t="str">
        <f>IF(COUNT(AT37:AX48)=0,"",ROUND(SUM(AT37:AX48),3))</f>
        <v/>
      </c>
      <c r="AU49" s="321"/>
      <c r="AV49" s="321"/>
      <c r="AW49" s="321"/>
      <c r="AX49" s="322"/>
      <c r="AY49" s="341" t="s">
        <v>211</v>
      </c>
      <c r="AZ49" s="341"/>
      <c r="BA49" s="341"/>
      <c r="BB49" s="341"/>
      <c r="BC49" s="341"/>
      <c r="BD49" s="320" t="str">
        <f>IF(COUNT(BD37:BH48)=0,"",ROUND(SUM(BD37:BH48),3))</f>
        <v/>
      </c>
      <c r="BE49" s="321"/>
      <c r="BF49" s="321"/>
      <c r="BG49" s="321"/>
      <c r="BH49" s="322"/>
      <c r="BI49" s="341" t="s">
        <v>210</v>
      </c>
      <c r="BJ49" s="341"/>
      <c r="BK49" s="341"/>
      <c r="BL49" s="341"/>
      <c r="BM49" s="341"/>
      <c r="BN49" s="320" t="str">
        <f>IF(COUNT(BN37:BR48)=0,"",ROUND(SUM(BN37:BR48),3))</f>
        <v/>
      </c>
      <c r="BO49" s="321"/>
      <c r="BP49" s="321"/>
      <c r="BQ49" s="321"/>
      <c r="BR49" s="322"/>
      <c r="BS49" s="341" t="s">
        <v>209</v>
      </c>
      <c r="BT49" s="341"/>
      <c r="BU49" s="341"/>
      <c r="BV49" s="341"/>
      <c r="BW49" s="341"/>
      <c r="BX49" s="320" t="str">
        <f>IF(COUNT(BX37:CB48)=0,"",ROUND(SUM(BX37:CB48),3))</f>
        <v/>
      </c>
      <c r="BY49" s="321"/>
      <c r="BZ49" s="321"/>
      <c r="CA49" s="321"/>
      <c r="CB49" s="322"/>
      <c r="CC49" s="320" t="str">
        <f>IF(COUNT(CC37:CG48)=0,"",ROUND(SUM(CC37:CG48),3))</f>
        <v/>
      </c>
      <c r="CD49" s="321"/>
      <c r="CE49" s="321"/>
      <c r="CF49" s="321"/>
      <c r="CG49" s="322"/>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row>
    <row r="51" spans="1:131" ht="11.45" hidden="1" customHeight="1" x14ac:dyDescent="0.2">
      <c r="A51" s="336" t="s">
        <v>446</v>
      </c>
      <c r="B51" s="336"/>
      <c r="C51" s="336"/>
      <c r="D51" s="336"/>
      <c r="E51" s="336"/>
      <c r="F51" s="336"/>
      <c r="G51" s="336"/>
      <c r="H51" s="336"/>
      <c r="I51" s="336"/>
      <c r="J51" s="336"/>
      <c r="K51" s="336"/>
      <c r="L51" s="336"/>
      <c r="M51" s="336"/>
      <c r="N51" s="336"/>
      <c r="O51" s="336"/>
      <c r="P51" s="336"/>
      <c r="Q51" s="336"/>
      <c r="R51" s="336"/>
      <c r="S51" s="343" t="s">
        <v>445</v>
      </c>
      <c r="T51" s="343"/>
      <c r="U51" s="343"/>
      <c r="V51" s="343"/>
      <c r="W51" s="343"/>
      <c r="X51" s="343"/>
      <c r="Y51" s="343"/>
      <c r="Z51" s="343"/>
      <c r="AA51" s="343"/>
      <c r="AB51" s="343"/>
      <c r="AC51" s="343"/>
      <c r="AD51" s="343"/>
      <c r="AE51" s="343"/>
      <c r="AF51" s="343"/>
      <c r="AG51" s="95" t="s">
        <v>0</v>
      </c>
      <c r="AH51" s="343"/>
      <c r="AI51" s="343"/>
      <c r="AJ51" s="343"/>
      <c r="AK51" s="343"/>
      <c r="AL51" s="343"/>
      <c r="AM51" s="343"/>
      <c r="AN51" s="343"/>
      <c r="AO51" s="95"/>
      <c r="AP51" s="393" t="s">
        <v>447</v>
      </c>
      <c r="AQ51" s="393"/>
      <c r="AR51" s="393"/>
      <c r="AS51" s="393"/>
      <c r="AT51" s="393"/>
      <c r="AU51" s="393"/>
      <c r="AV51" s="393"/>
      <c r="AW51" s="393"/>
      <c r="AX51" s="393"/>
      <c r="AY51" s="95" t="s">
        <v>0</v>
      </c>
      <c r="AZ51" s="343"/>
      <c r="BA51" s="343"/>
      <c r="BB51" s="343"/>
      <c r="BC51" s="343"/>
      <c r="BD51" s="343"/>
      <c r="BE51" s="343"/>
      <c r="BF51" s="343"/>
      <c r="BG51" s="96"/>
      <c r="BH51" s="365" t="s">
        <v>458</v>
      </c>
      <c r="BI51" s="365"/>
      <c r="BJ51" s="365"/>
      <c r="BK51" s="365"/>
      <c r="BL51" s="365"/>
      <c r="BM51" s="365"/>
      <c r="BN51" s="365"/>
      <c r="BO51" s="365"/>
      <c r="BP51" s="365"/>
      <c r="BQ51" s="365"/>
      <c r="BR51" s="365"/>
      <c r="BS51" s="365"/>
      <c r="BT51" s="365"/>
      <c r="BU51" s="365"/>
      <c r="BV51" s="365"/>
      <c r="BW51" s="365"/>
      <c r="BX51" s="365"/>
      <c r="BY51" s="95" t="s">
        <v>0</v>
      </c>
      <c r="BZ51" s="343"/>
      <c r="CA51" s="343"/>
      <c r="CB51" s="343"/>
      <c r="CC51" s="343"/>
      <c r="CD51" s="343"/>
      <c r="CE51" s="343"/>
      <c r="CF51" s="343"/>
      <c r="CG51" s="95"/>
    </row>
    <row r="52" spans="1:131" ht="11.45" hidden="1" customHeight="1" x14ac:dyDescent="0.2">
      <c r="A52" s="154"/>
      <c r="B52" s="154"/>
      <c r="C52" s="154"/>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N52" s="1" t="s">
        <v>222</v>
      </c>
    </row>
    <row r="53" spans="1:131" ht="11.45" hidden="1" customHeight="1" x14ac:dyDescent="0.2">
      <c r="A53" s="430" t="s">
        <v>448</v>
      </c>
      <c r="B53" s="430"/>
      <c r="C53" s="430"/>
      <c r="D53" s="430"/>
      <c r="E53" s="430"/>
      <c r="F53" s="430"/>
      <c r="G53" s="430" t="s">
        <v>197</v>
      </c>
      <c r="H53" s="430"/>
      <c r="I53" s="430"/>
      <c r="J53" s="430"/>
      <c r="K53" s="430"/>
      <c r="L53" s="430"/>
      <c r="M53" s="423" t="s">
        <v>449</v>
      </c>
      <c r="N53" s="423"/>
      <c r="O53" s="423"/>
      <c r="P53" s="423"/>
      <c r="Q53" s="423"/>
      <c r="R53" s="423"/>
      <c r="S53" s="197" t="s">
        <v>450</v>
      </c>
      <c r="T53" s="198"/>
      <c r="U53" s="198"/>
      <c r="V53" s="198"/>
      <c r="W53" s="198"/>
      <c r="X53" s="199"/>
      <c r="Y53" s="197" t="s">
        <v>451</v>
      </c>
      <c r="Z53" s="198"/>
      <c r="AA53" s="198"/>
      <c r="AB53" s="198"/>
      <c r="AC53" s="198"/>
      <c r="AD53" s="199"/>
      <c r="AE53" s="197" t="s">
        <v>84</v>
      </c>
      <c r="AF53" s="198"/>
      <c r="AG53" s="198"/>
      <c r="AH53" s="198"/>
      <c r="AI53" s="198"/>
      <c r="AJ53" s="199"/>
      <c r="AK53" s="197" t="s">
        <v>10</v>
      </c>
      <c r="AL53" s="198"/>
      <c r="AM53" s="198"/>
      <c r="AN53" s="198"/>
      <c r="AO53" s="198"/>
      <c r="AP53" s="199"/>
      <c r="AQ53" s="197" t="s">
        <v>452</v>
      </c>
      <c r="AR53" s="198"/>
      <c r="AS53" s="198"/>
      <c r="AT53" s="198"/>
      <c r="AU53" s="198"/>
      <c r="AV53" s="199"/>
      <c r="AW53" s="195"/>
      <c r="AX53" s="430" t="s">
        <v>456</v>
      </c>
      <c r="AY53" s="430"/>
      <c r="AZ53" s="430"/>
      <c r="BA53" s="430"/>
      <c r="BB53" s="430"/>
      <c r="BC53" s="430"/>
      <c r="BD53" s="430"/>
      <c r="BE53" s="430"/>
      <c r="BF53" s="430"/>
      <c r="BG53" s="430" t="s">
        <v>457</v>
      </c>
      <c r="BH53" s="430"/>
      <c r="BI53" s="430"/>
      <c r="BJ53" s="430"/>
      <c r="BK53" s="430"/>
      <c r="BL53" s="430"/>
      <c r="BM53" s="430"/>
      <c r="BN53" s="430"/>
      <c r="BO53" s="430"/>
      <c r="BP53" s="430"/>
      <c r="BQ53" s="430" t="s">
        <v>439</v>
      </c>
      <c r="BR53" s="430"/>
      <c r="BS53" s="430"/>
      <c r="BT53" s="430"/>
      <c r="BU53" s="430"/>
      <c r="BV53" s="430"/>
      <c r="BW53" s="430"/>
      <c r="BX53" s="430"/>
      <c r="BY53" s="430" t="s">
        <v>440</v>
      </c>
      <c r="BZ53" s="430"/>
      <c r="CA53" s="430"/>
      <c r="CB53" s="430"/>
      <c r="CC53" s="430"/>
      <c r="CD53" s="430"/>
      <c r="CE53" s="430"/>
      <c r="CF53" s="430"/>
      <c r="CG53" s="430"/>
      <c r="CN53" s="100">
        <f>IF(BI17=CN44,1,IF(BI17=CN45,2,IF(BI17=CN46,3,IF(BI17=CN47,4,IF(BI17=CN48,5,6)))))</f>
        <v>6</v>
      </c>
    </row>
    <row r="54" spans="1:131" ht="11.45" hidden="1" customHeight="1" x14ac:dyDescent="0.2">
      <c r="A54" s="430"/>
      <c r="B54" s="430"/>
      <c r="C54" s="430"/>
      <c r="D54" s="430"/>
      <c r="E54" s="430"/>
      <c r="F54" s="430"/>
      <c r="G54" s="430"/>
      <c r="H54" s="430"/>
      <c r="I54" s="430"/>
      <c r="J54" s="430"/>
      <c r="K54" s="430"/>
      <c r="L54" s="430"/>
      <c r="M54" s="423"/>
      <c r="N54" s="423"/>
      <c r="O54" s="423"/>
      <c r="P54" s="423"/>
      <c r="Q54" s="423"/>
      <c r="R54" s="423"/>
      <c r="S54" s="333" t="s">
        <v>454</v>
      </c>
      <c r="T54" s="209"/>
      <c r="U54" s="209"/>
      <c r="V54" s="209"/>
      <c r="W54" s="209"/>
      <c r="X54" s="334"/>
      <c r="Y54" s="333" t="s">
        <v>454</v>
      </c>
      <c r="Z54" s="209"/>
      <c r="AA54" s="209"/>
      <c r="AB54" s="209"/>
      <c r="AC54" s="209"/>
      <c r="AD54" s="334"/>
      <c r="AE54" s="424" t="s">
        <v>455</v>
      </c>
      <c r="AF54" s="425"/>
      <c r="AG54" s="425"/>
      <c r="AH54" s="425"/>
      <c r="AI54" s="425"/>
      <c r="AJ54" s="426"/>
      <c r="AK54" s="333" t="str">
        <f>IF(BI17="","",BI17)</f>
        <v>T54B-2004</v>
      </c>
      <c r="AL54" s="209"/>
      <c r="AM54" s="209"/>
      <c r="AN54" s="209"/>
      <c r="AO54" s="209"/>
      <c r="AP54" s="334"/>
      <c r="AQ54" s="333" t="str">
        <f>AJ36</f>
        <v>M³</v>
      </c>
      <c r="AR54" s="209"/>
      <c r="AS54" s="209"/>
      <c r="AT54" s="209"/>
      <c r="AU54" s="209"/>
      <c r="AV54" s="334"/>
      <c r="AW54" s="195"/>
      <c r="AX54" s="430"/>
      <c r="AY54" s="430"/>
      <c r="AZ54" s="430"/>
      <c r="BA54" s="430"/>
      <c r="BB54" s="430"/>
      <c r="BC54" s="430"/>
      <c r="BD54" s="430"/>
      <c r="BE54" s="430"/>
      <c r="BF54" s="430"/>
      <c r="BG54" s="430"/>
      <c r="BH54" s="430"/>
      <c r="BI54" s="430"/>
      <c r="BJ54" s="430"/>
      <c r="BK54" s="430"/>
      <c r="BL54" s="430"/>
      <c r="BM54" s="430"/>
      <c r="BN54" s="430"/>
      <c r="BO54" s="430"/>
      <c r="BP54" s="430"/>
      <c r="BQ54" s="430"/>
      <c r="BR54" s="430"/>
      <c r="BS54" s="430"/>
      <c r="BT54" s="430"/>
      <c r="BU54" s="430"/>
      <c r="BV54" s="430"/>
      <c r="BW54" s="430"/>
      <c r="BX54" s="430"/>
      <c r="BY54" s="430"/>
      <c r="BZ54" s="430"/>
      <c r="CA54" s="430"/>
      <c r="CB54" s="430"/>
      <c r="CC54" s="430"/>
      <c r="CD54" s="430"/>
      <c r="CE54" s="430"/>
      <c r="CF54" s="430"/>
      <c r="CG54" s="430"/>
      <c r="CN54" s="91"/>
    </row>
    <row r="55" spans="1:131" ht="11.45" hidden="1" customHeight="1" x14ac:dyDescent="0.2">
      <c r="A55" s="423"/>
      <c r="B55" s="423"/>
      <c r="C55" s="423"/>
      <c r="D55" s="423"/>
      <c r="E55" s="423"/>
      <c r="F55" s="423"/>
      <c r="G55" s="423"/>
      <c r="H55" s="423"/>
      <c r="I55" s="423"/>
      <c r="J55" s="423"/>
      <c r="K55" s="423"/>
      <c r="L55" s="423"/>
      <c r="M55" s="423"/>
      <c r="N55" s="423"/>
      <c r="O55" s="423"/>
      <c r="P55" s="423"/>
      <c r="Q55" s="423"/>
      <c r="R55" s="423"/>
      <c r="S55" s="423"/>
      <c r="T55" s="423"/>
      <c r="U55" s="423"/>
      <c r="V55" s="423"/>
      <c r="W55" s="423"/>
      <c r="X55" s="423"/>
      <c r="Y55" s="423"/>
      <c r="Z55" s="423"/>
      <c r="AA55" s="423"/>
      <c r="AB55" s="423"/>
      <c r="AC55" s="423"/>
      <c r="AD55" s="423"/>
      <c r="AE55" s="423"/>
      <c r="AF55" s="423"/>
      <c r="AG55" s="423"/>
      <c r="AH55" s="423"/>
      <c r="AI55" s="423"/>
      <c r="AJ55" s="423"/>
      <c r="AK55" s="423"/>
      <c r="AL55" s="423"/>
      <c r="AM55" s="423"/>
      <c r="AN55" s="423"/>
      <c r="AO55" s="423"/>
      <c r="AP55" s="423"/>
      <c r="AQ55" s="423"/>
      <c r="AR55" s="423"/>
      <c r="AS55" s="423"/>
      <c r="AT55" s="423"/>
      <c r="AU55" s="423"/>
      <c r="AV55" s="423"/>
      <c r="AW55" s="195"/>
      <c r="AX55" s="311" t="str">
        <f>IF('Bunker Certificate 2'!U25="","",'Bunker Certificate 2'!U25)</f>
        <v/>
      </c>
      <c r="AY55" s="311"/>
      <c r="AZ55" s="311"/>
      <c r="BA55" s="311"/>
      <c r="BB55" s="311"/>
      <c r="BC55" s="311"/>
      <c r="BD55" s="311"/>
      <c r="BE55" s="311"/>
      <c r="BF55" s="311"/>
      <c r="BG55" s="311" t="str">
        <f>IF(OR(BQ55="",BY55=""),"",BY55/BQ55)</f>
        <v/>
      </c>
      <c r="BH55" s="311"/>
      <c r="BI55" s="311"/>
      <c r="BJ55" s="311"/>
      <c r="BK55" s="311"/>
      <c r="BL55" s="311"/>
      <c r="BM55" s="311"/>
      <c r="BN55" s="311"/>
      <c r="BO55" s="311"/>
      <c r="BP55" s="311"/>
      <c r="BQ55" s="423" t="str">
        <f>IF(AX55="","",AX55-0.0011)</f>
        <v/>
      </c>
      <c r="BR55" s="423"/>
      <c r="BS55" s="423"/>
      <c r="BT55" s="423"/>
      <c r="BU55" s="423"/>
      <c r="BV55" s="423"/>
      <c r="BW55" s="423"/>
      <c r="BX55" s="423"/>
      <c r="BY55" s="423" t="str">
        <f>IF(BR11="","",BR11)</f>
        <v/>
      </c>
      <c r="BZ55" s="423"/>
      <c r="CA55" s="423"/>
      <c r="CB55" s="423"/>
      <c r="CC55" s="423"/>
      <c r="CD55" s="423"/>
      <c r="CE55" s="423"/>
      <c r="CF55" s="423"/>
      <c r="CG55" s="423"/>
    </row>
    <row r="56" spans="1:131" ht="11.45" hidden="1" customHeight="1" x14ac:dyDescent="0.2">
      <c r="A56" s="423"/>
      <c r="B56" s="423"/>
      <c r="C56" s="423"/>
      <c r="D56" s="423"/>
      <c r="E56" s="423"/>
      <c r="F56" s="423"/>
      <c r="G56" s="423"/>
      <c r="H56" s="423"/>
      <c r="I56" s="423"/>
      <c r="J56" s="423"/>
      <c r="K56" s="423"/>
      <c r="L56" s="423"/>
      <c r="M56" s="423"/>
      <c r="N56" s="423"/>
      <c r="O56" s="423"/>
      <c r="P56" s="423"/>
      <c r="Q56" s="423"/>
      <c r="R56" s="423"/>
      <c r="S56" s="423"/>
      <c r="T56" s="423"/>
      <c r="U56" s="423"/>
      <c r="V56" s="423"/>
      <c r="W56" s="423"/>
      <c r="X56" s="423"/>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195"/>
      <c r="AX56" s="311"/>
      <c r="AY56" s="311"/>
      <c r="AZ56" s="311"/>
      <c r="BA56" s="311"/>
      <c r="BB56" s="311"/>
      <c r="BC56" s="311"/>
      <c r="BD56" s="311"/>
      <c r="BE56" s="311"/>
      <c r="BF56" s="311"/>
      <c r="BG56" s="311"/>
      <c r="BH56" s="311"/>
      <c r="BI56" s="311"/>
      <c r="BJ56" s="311"/>
      <c r="BK56" s="311"/>
      <c r="BL56" s="311"/>
      <c r="BM56" s="311"/>
      <c r="BN56" s="311"/>
      <c r="BO56" s="311"/>
      <c r="BP56" s="311"/>
      <c r="BQ56" s="423"/>
      <c r="BR56" s="423"/>
      <c r="BS56" s="423"/>
      <c r="BT56" s="423"/>
      <c r="BU56" s="423"/>
      <c r="BV56" s="423"/>
      <c r="BW56" s="423"/>
      <c r="BX56" s="423"/>
      <c r="BY56" s="423"/>
      <c r="BZ56" s="423"/>
      <c r="CA56" s="423"/>
      <c r="CB56" s="423"/>
      <c r="CC56" s="423"/>
      <c r="CD56" s="423"/>
      <c r="CE56" s="423"/>
      <c r="CF56" s="423"/>
      <c r="CG56" s="423"/>
      <c r="CN56" s="1" t="s">
        <v>425</v>
      </c>
    </row>
    <row r="57" spans="1:131" ht="11.45" hidden="1" customHeight="1" x14ac:dyDescent="0.2">
      <c r="A57" s="423"/>
      <c r="B57" s="423"/>
      <c r="C57" s="423"/>
      <c r="D57" s="423"/>
      <c r="E57" s="423"/>
      <c r="F57" s="423"/>
      <c r="G57" s="423"/>
      <c r="H57" s="423"/>
      <c r="I57" s="423"/>
      <c r="J57" s="423"/>
      <c r="K57" s="423"/>
      <c r="L57" s="423"/>
      <c r="M57" s="423"/>
      <c r="N57" s="423"/>
      <c r="O57" s="423"/>
      <c r="P57" s="423"/>
      <c r="Q57" s="423"/>
      <c r="R57" s="423"/>
      <c r="S57" s="423"/>
      <c r="T57" s="423"/>
      <c r="U57" s="423"/>
      <c r="V57" s="423"/>
      <c r="W57" s="423"/>
      <c r="X57" s="423"/>
      <c r="Y57" s="423"/>
      <c r="Z57" s="423"/>
      <c r="AA57" s="423"/>
      <c r="AB57" s="423"/>
      <c r="AC57" s="423"/>
      <c r="AD57" s="423"/>
      <c r="AE57" s="423"/>
      <c r="AF57" s="423"/>
      <c r="AG57" s="423"/>
      <c r="AH57" s="423"/>
      <c r="AI57" s="423"/>
      <c r="AJ57" s="423"/>
      <c r="AK57" s="423"/>
      <c r="AL57" s="423"/>
      <c r="AM57" s="423"/>
      <c r="AN57" s="423"/>
      <c r="AO57" s="423"/>
      <c r="AP57" s="423"/>
      <c r="AQ57" s="423"/>
      <c r="AR57" s="423"/>
      <c r="AS57" s="423"/>
      <c r="AT57" s="423"/>
      <c r="AU57" s="423"/>
      <c r="AV57" s="423"/>
      <c r="AW57" s="195"/>
      <c r="AX57" s="311"/>
      <c r="AY57" s="311"/>
      <c r="AZ57" s="311"/>
      <c r="BA57" s="311"/>
      <c r="BB57" s="311"/>
      <c r="BC57" s="311"/>
      <c r="BD57" s="311"/>
      <c r="BE57" s="311"/>
      <c r="BF57" s="311"/>
      <c r="BG57" s="311"/>
      <c r="BH57" s="311"/>
      <c r="BI57" s="311"/>
      <c r="BJ57" s="311"/>
      <c r="BK57" s="311"/>
      <c r="BL57" s="311"/>
      <c r="BM57" s="311"/>
      <c r="BN57" s="311"/>
      <c r="BO57" s="311"/>
      <c r="BP57" s="311"/>
      <c r="BQ57" s="423"/>
      <c r="BR57" s="423"/>
      <c r="BS57" s="423"/>
      <c r="BT57" s="423"/>
      <c r="BU57" s="423"/>
      <c r="BV57" s="423"/>
      <c r="BW57" s="423"/>
      <c r="BX57" s="423"/>
      <c r="BY57" s="423"/>
      <c r="BZ57" s="423"/>
      <c r="CA57" s="423"/>
      <c r="CB57" s="423"/>
      <c r="CC57" s="423"/>
      <c r="CD57" s="423"/>
      <c r="CE57" s="423"/>
      <c r="CF57" s="423"/>
      <c r="CG57" s="423"/>
      <c r="CN57" s="107" t="s">
        <v>429</v>
      </c>
    </row>
    <row r="58" spans="1:131" ht="11.45" hidden="1" customHeight="1" x14ac:dyDescent="0.2">
      <c r="A58" s="428" t="s">
        <v>441</v>
      </c>
      <c r="B58" s="428"/>
      <c r="C58" s="428"/>
      <c r="D58" s="428"/>
      <c r="E58" s="102" t="s">
        <v>0</v>
      </c>
      <c r="F58" s="429"/>
      <c r="G58" s="429"/>
      <c r="H58" s="429"/>
      <c r="I58" s="429"/>
      <c r="J58" s="429"/>
      <c r="K58" s="429"/>
      <c r="L58" s="429"/>
      <c r="M58" s="429"/>
      <c r="N58" s="429"/>
      <c r="O58" s="429"/>
      <c r="P58" s="429"/>
      <c r="Q58" s="429"/>
      <c r="R58" s="429"/>
      <c r="S58" s="429"/>
      <c r="T58" s="429"/>
      <c r="U58" s="429"/>
      <c r="V58" s="429"/>
      <c r="W58" s="429"/>
      <c r="X58" s="429"/>
      <c r="Y58" s="429"/>
      <c r="Z58" s="429"/>
      <c r="AA58" s="429"/>
      <c r="AB58" s="429"/>
      <c r="AC58" s="429"/>
      <c r="AD58" s="429"/>
      <c r="AE58" s="429"/>
      <c r="AF58" s="429"/>
      <c r="AG58" s="429"/>
      <c r="AH58" s="429"/>
      <c r="AI58" s="429"/>
      <c r="AJ58" s="429"/>
      <c r="AK58" s="429"/>
      <c r="AL58" s="429"/>
      <c r="AM58" s="429"/>
      <c r="AN58" s="429"/>
      <c r="AO58" s="429"/>
      <c r="AP58" s="429"/>
      <c r="AQ58" s="429"/>
      <c r="AR58" s="429"/>
      <c r="AS58" s="429"/>
      <c r="AT58" s="429"/>
      <c r="AU58" s="429"/>
      <c r="AV58" s="429"/>
      <c r="AW58" s="429"/>
      <c r="AX58" s="429"/>
      <c r="AY58" s="429"/>
      <c r="AZ58" s="429"/>
      <c r="BA58" s="429"/>
      <c r="BB58" s="429"/>
      <c r="BC58" s="429"/>
      <c r="BD58" s="429"/>
      <c r="BE58" s="429"/>
      <c r="BF58" s="429"/>
      <c r="BG58" s="429"/>
      <c r="BH58" s="429"/>
      <c r="BI58" s="429"/>
      <c r="BJ58" s="429"/>
      <c r="BK58" s="429"/>
      <c r="BL58" s="429"/>
      <c r="BM58" s="429"/>
      <c r="BN58" s="429"/>
      <c r="BO58" s="429"/>
      <c r="BP58" s="429"/>
      <c r="BQ58" s="429"/>
      <c r="BR58" s="429"/>
      <c r="BS58" s="429"/>
      <c r="BT58" s="429"/>
      <c r="BU58" s="429"/>
      <c r="BV58" s="429"/>
      <c r="BW58" s="429"/>
      <c r="BX58" s="429"/>
      <c r="BY58" s="429"/>
      <c r="BZ58" s="429"/>
      <c r="CA58" s="429"/>
      <c r="CB58" s="429"/>
      <c r="CC58" s="429"/>
      <c r="CD58" s="429"/>
      <c r="CE58" s="429"/>
      <c r="CF58" s="429"/>
      <c r="CG58" s="429"/>
      <c r="CM58" s="91"/>
      <c r="CN58" s="87" t="s">
        <v>430</v>
      </c>
      <c r="CO58" s="91"/>
      <c r="CP58" s="91"/>
      <c r="CQ58" s="91"/>
    </row>
    <row r="59" spans="1:131" ht="11.45" customHeight="1" x14ac:dyDescent="0.2">
      <c r="A59" s="154"/>
      <c r="B59" s="154"/>
      <c r="C59" s="215" t="str">
        <f>IF('Data Entry'!N29="","",'Data Entry'!N29)&amp;IF(OR('Data Entry'!N29="",'Data Entry'!N30=""),""," / Licence No")&amp; IF('Data Entry'!N30="","",'Data Entry'!N30)</f>
        <v>MEHMET EROĞLU</v>
      </c>
      <c r="D59" s="215"/>
      <c r="E59" s="215"/>
      <c r="F59" s="215"/>
      <c r="G59" s="215"/>
      <c r="H59" s="215"/>
      <c r="I59" s="215"/>
      <c r="J59" s="215"/>
      <c r="K59" s="215"/>
      <c r="L59" s="215"/>
      <c r="M59" s="215"/>
      <c r="N59" s="215"/>
      <c r="O59" s="215"/>
      <c r="P59" s="215"/>
      <c r="Q59" s="154"/>
      <c r="R59" s="154"/>
      <c r="S59" s="154"/>
      <c r="T59" s="154"/>
      <c r="U59" s="154"/>
      <c r="V59" s="154"/>
      <c r="W59" s="154"/>
      <c r="X59" s="154"/>
      <c r="Y59" s="154"/>
      <c r="Z59" s="154"/>
      <c r="AA59" s="154"/>
      <c r="AB59" s="154"/>
      <c r="AC59" s="154"/>
      <c r="AD59" s="154"/>
      <c r="AE59" s="154"/>
      <c r="AF59" s="154"/>
      <c r="AG59" s="154"/>
      <c r="AH59" s="154"/>
      <c r="AI59" s="154"/>
      <c r="AJ59" s="154"/>
      <c r="AK59" s="215" t="str">
        <f>IF('Data Entry'!N18="","",'Data Entry'!N18)</f>
        <v/>
      </c>
      <c r="AL59" s="215"/>
      <c r="AM59" s="215"/>
      <c r="AN59" s="215"/>
      <c r="AO59" s="215"/>
      <c r="AP59" s="215"/>
      <c r="AQ59" s="215"/>
      <c r="AR59" s="215"/>
      <c r="AS59" s="215"/>
      <c r="AT59" s="215"/>
      <c r="AU59" s="215"/>
      <c r="AV59" s="215"/>
      <c r="AW59" s="215"/>
      <c r="AX59" s="215"/>
      <c r="AY59" s="154"/>
      <c r="AZ59" s="154"/>
      <c r="BA59" s="154"/>
      <c r="BB59" s="154"/>
      <c r="BC59" s="154"/>
      <c r="BD59" s="154"/>
      <c r="BE59" s="154"/>
      <c r="BF59" s="154"/>
      <c r="BG59" s="154"/>
      <c r="BH59" s="154"/>
      <c r="BI59" s="154"/>
      <c r="BJ59" s="154"/>
      <c r="BK59" s="154"/>
      <c r="BL59" s="154"/>
      <c r="BM59" s="154"/>
      <c r="BN59" s="154"/>
      <c r="BO59" s="154"/>
      <c r="BP59" s="154"/>
      <c r="BQ59" s="154"/>
      <c r="BR59" s="215" t="str">
        <f>IF('Data Entry'!N9="","",'Data Entry'!N9)</f>
        <v/>
      </c>
      <c r="BS59" s="215"/>
      <c r="BT59" s="215"/>
      <c r="BU59" s="215"/>
      <c r="BV59" s="215"/>
      <c r="BW59" s="215"/>
      <c r="BX59" s="215"/>
      <c r="BY59" s="215"/>
      <c r="BZ59" s="215"/>
      <c r="CA59" s="215"/>
      <c r="CB59" s="215"/>
      <c r="CC59" s="215"/>
      <c r="CD59" s="215"/>
      <c r="CE59" s="215"/>
      <c r="CF59" s="375"/>
      <c r="CG59" s="375"/>
      <c r="CN59" s="87" t="s">
        <v>444</v>
      </c>
      <c r="DW59" s="35"/>
      <c r="DX59" s="56"/>
      <c r="DZ59" s="35"/>
      <c r="EA59" s="56"/>
    </row>
    <row r="60" spans="1:131" ht="11.45" customHeight="1" x14ac:dyDescent="0.2">
      <c r="A60" s="154"/>
      <c r="B60" s="154"/>
      <c r="C60" s="215"/>
      <c r="D60" s="215"/>
      <c r="E60" s="215"/>
      <c r="F60" s="215"/>
      <c r="G60" s="215"/>
      <c r="H60" s="215"/>
      <c r="I60" s="215"/>
      <c r="J60" s="215"/>
      <c r="K60" s="215"/>
      <c r="L60" s="215"/>
      <c r="M60" s="215"/>
      <c r="N60" s="215"/>
      <c r="O60" s="215"/>
      <c r="P60" s="215"/>
      <c r="Q60" s="154"/>
      <c r="R60" s="154"/>
      <c r="S60" s="154"/>
      <c r="T60" s="154"/>
      <c r="U60" s="154"/>
      <c r="V60" s="154"/>
      <c r="W60" s="154"/>
      <c r="X60" s="154"/>
      <c r="Y60" s="154"/>
      <c r="Z60" s="154"/>
      <c r="AA60" s="154"/>
      <c r="AB60" s="154"/>
      <c r="AC60" s="154"/>
      <c r="AD60" s="154"/>
      <c r="AE60" s="154"/>
      <c r="AF60" s="154"/>
      <c r="AG60" s="154"/>
      <c r="AH60" s="154"/>
      <c r="AI60" s="154"/>
      <c r="AJ60" s="154"/>
      <c r="AK60" s="215"/>
      <c r="AL60" s="215"/>
      <c r="AM60" s="215"/>
      <c r="AN60" s="215"/>
      <c r="AO60" s="215"/>
      <c r="AP60" s="215"/>
      <c r="AQ60" s="215"/>
      <c r="AR60" s="215"/>
      <c r="AS60" s="215"/>
      <c r="AT60" s="215"/>
      <c r="AU60" s="215"/>
      <c r="AV60" s="215"/>
      <c r="AW60" s="215"/>
      <c r="AX60" s="215"/>
      <c r="AY60" s="154"/>
      <c r="AZ60" s="154"/>
      <c r="BA60" s="154"/>
      <c r="BB60" s="154"/>
      <c r="BC60" s="154"/>
      <c r="BD60" s="154"/>
      <c r="BE60" s="154"/>
      <c r="BF60" s="154"/>
      <c r="BG60" s="154"/>
      <c r="BH60" s="154"/>
      <c r="BI60" s="154"/>
      <c r="BJ60" s="154"/>
      <c r="BK60" s="154"/>
      <c r="BL60" s="154"/>
      <c r="BM60" s="154"/>
      <c r="BN60" s="154"/>
      <c r="BO60" s="154"/>
      <c r="BP60" s="154"/>
      <c r="BQ60" s="154"/>
      <c r="BR60" s="215"/>
      <c r="BS60" s="215"/>
      <c r="BT60" s="215"/>
      <c r="BU60" s="215"/>
      <c r="BV60" s="215"/>
      <c r="BW60" s="215"/>
      <c r="BX60" s="215"/>
      <c r="BY60" s="215"/>
      <c r="BZ60" s="215"/>
      <c r="CA60" s="215"/>
      <c r="CB60" s="215"/>
      <c r="CC60" s="215"/>
      <c r="CD60" s="215"/>
      <c r="CE60" s="215"/>
      <c r="CF60" s="375"/>
      <c r="CG60" s="375"/>
      <c r="CN60" s="2" t="s">
        <v>431</v>
      </c>
      <c r="DW60" s="35"/>
      <c r="DX60" s="56"/>
      <c r="DZ60" s="35"/>
      <c r="EA60" s="56"/>
    </row>
    <row r="61" spans="1:131" ht="11.45" customHeight="1" x14ac:dyDescent="0.2">
      <c r="A61" s="154"/>
      <c r="B61" s="154"/>
      <c r="C61" s="216"/>
      <c r="D61" s="216"/>
      <c r="E61" s="216"/>
      <c r="F61" s="216"/>
      <c r="G61" s="216"/>
      <c r="H61" s="216"/>
      <c r="I61" s="216"/>
      <c r="J61" s="216"/>
      <c r="K61" s="216"/>
      <c r="L61" s="216"/>
      <c r="M61" s="216"/>
      <c r="N61" s="216"/>
      <c r="O61" s="216"/>
      <c r="P61" s="216"/>
      <c r="Q61" s="154"/>
      <c r="R61" s="154"/>
      <c r="S61" s="154"/>
      <c r="T61" s="154"/>
      <c r="U61" s="154"/>
      <c r="V61" s="154"/>
      <c r="W61" s="154"/>
      <c r="X61" s="154"/>
      <c r="Y61" s="154"/>
      <c r="Z61" s="154"/>
      <c r="AA61" s="154"/>
      <c r="AB61" s="154"/>
      <c r="AC61" s="154"/>
      <c r="AD61" s="154"/>
      <c r="AE61" s="154"/>
      <c r="AF61" s="154"/>
      <c r="AG61" s="154"/>
      <c r="AH61" s="154"/>
      <c r="AI61" s="154"/>
      <c r="AJ61" s="154"/>
      <c r="AK61" s="216"/>
      <c r="AL61" s="216"/>
      <c r="AM61" s="216"/>
      <c r="AN61" s="216"/>
      <c r="AO61" s="216"/>
      <c r="AP61" s="216"/>
      <c r="AQ61" s="216"/>
      <c r="AR61" s="216"/>
      <c r="AS61" s="216"/>
      <c r="AT61" s="216"/>
      <c r="AU61" s="216"/>
      <c r="AV61" s="216"/>
      <c r="AW61" s="216"/>
      <c r="AX61" s="216"/>
      <c r="AY61" s="154"/>
      <c r="AZ61" s="154"/>
      <c r="BA61" s="154"/>
      <c r="BB61" s="154"/>
      <c r="BC61" s="154"/>
      <c r="BD61" s="154"/>
      <c r="BE61" s="154"/>
      <c r="BF61" s="154"/>
      <c r="BG61" s="154"/>
      <c r="BH61" s="154"/>
      <c r="BI61" s="154"/>
      <c r="BJ61" s="154"/>
      <c r="BK61" s="154"/>
      <c r="BL61" s="154"/>
      <c r="BM61" s="154"/>
      <c r="BN61" s="154"/>
      <c r="BO61" s="154"/>
      <c r="BP61" s="154"/>
      <c r="BQ61" s="154"/>
      <c r="BR61" s="216"/>
      <c r="BS61" s="216"/>
      <c r="BT61" s="216"/>
      <c r="BU61" s="216"/>
      <c r="BV61" s="216"/>
      <c r="BW61" s="216"/>
      <c r="BX61" s="216"/>
      <c r="BY61" s="216"/>
      <c r="BZ61" s="216"/>
      <c r="CA61" s="216"/>
      <c r="CB61" s="216"/>
      <c r="CC61" s="216"/>
      <c r="CD61" s="216"/>
      <c r="CE61" s="216"/>
      <c r="CF61" s="375"/>
      <c r="CG61" s="375"/>
      <c r="CN61" s="91"/>
      <c r="DW61" s="35"/>
      <c r="DX61" s="56"/>
      <c r="DZ61" s="35"/>
      <c r="EA61" s="56"/>
    </row>
    <row r="62" spans="1:131" ht="11.45" customHeight="1" x14ac:dyDescent="0.2">
      <c r="A62" s="154"/>
      <c r="B62" s="154"/>
      <c r="C62" s="211" t="s">
        <v>184</v>
      </c>
      <c r="D62" s="211"/>
      <c r="E62" s="211"/>
      <c r="F62" s="211"/>
      <c r="G62" s="211"/>
      <c r="H62" s="211"/>
      <c r="I62" s="211"/>
      <c r="J62" s="211"/>
      <c r="K62" s="211"/>
      <c r="L62" s="211"/>
      <c r="M62" s="211"/>
      <c r="N62" s="211"/>
      <c r="O62" s="211"/>
      <c r="P62" s="211"/>
      <c r="Q62" s="154"/>
      <c r="R62" s="154"/>
      <c r="S62" s="154"/>
      <c r="T62" s="154"/>
      <c r="U62" s="154"/>
      <c r="V62" s="154"/>
      <c r="W62" s="154"/>
      <c r="X62" s="154"/>
      <c r="Y62" s="154"/>
      <c r="Z62" s="154"/>
      <c r="AA62" s="154"/>
      <c r="AB62" s="154"/>
      <c r="AC62" s="154"/>
      <c r="AD62" s="154"/>
      <c r="AE62" s="154"/>
      <c r="AF62" s="154"/>
      <c r="AG62" s="154"/>
      <c r="AH62" s="154"/>
      <c r="AI62" s="154"/>
      <c r="AJ62" s="154"/>
      <c r="AK62" s="218" t="s">
        <v>51</v>
      </c>
      <c r="AL62" s="218"/>
      <c r="AM62" s="218"/>
      <c r="AN62" s="218"/>
      <c r="AO62" s="218"/>
      <c r="AP62" s="218"/>
      <c r="AQ62" s="218"/>
      <c r="AR62" s="218"/>
      <c r="AS62" s="218"/>
      <c r="AT62" s="218"/>
      <c r="AU62" s="218"/>
      <c r="AV62" s="218"/>
      <c r="AW62" s="218"/>
      <c r="AX62" s="218"/>
      <c r="AY62" s="154"/>
      <c r="AZ62" s="154"/>
      <c r="BA62" s="154"/>
      <c r="BB62" s="154"/>
      <c r="BC62" s="154"/>
      <c r="BD62" s="154"/>
      <c r="BE62" s="154"/>
      <c r="BF62" s="154"/>
      <c r="BG62" s="154"/>
      <c r="BH62" s="154"/>
      <c r="BI62" s="154"/>
      <c r="BJ62" s="154"/>
      <c r="BK62" s="154"/>
      <c r="BL62" s="154"/>
      <c r="BM62" s="154"/>
      <c r="BN62" s="154"/>
      <c r="BO62" s="154"/>
      <c r="BP62" s="154"/>
      <c r="BQ62" s="154"/>
      <c r="BR62" s="218" t="s">
        <v>17</v>
      </c>
      <c r="BS62" s="218"/>
      <c r="BT62" s="218"/>
      <c r="BU62" s="218"/>
      <c r="BV62" s="218"/>
      <c r="BW62" s="218"/>
      <c r="BX62" s="218"/>
      <c r="BY62" s="218"/>
      <c r="BZ62" s="218"/>
      <c r="CA62" s="218"/>
      <c r="CB62" s="218"/>
      <c r="CC62" s="218"/>
      <c r="CD62" s="218"/>
      <c r="CE62" s="218"/>
      <c r="CF62" s="375"/>
      <c r="CG62" s="375"/>
      <c r="DW62" s="35"/>
      <c r="DX62" s="56"/>
      <c r="DZ62" s="35"/>
      <c r="EA62" s="56"/>
    </row>
    <row r="63" spans="1:131" ht="11.45" customHeight="1" x14ac:dyDescent="0.2">
      <c r="A63" s="148" t="s">
        <v>152</v>
      </c>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9" t="str">
        <f>'Data Entry'!AK9</f>
        <v>LTS-CUS-F-01 rev 2.0</v>
      </c>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c r="BS63" s="149"/>
      <c r="BT63" s="149"/>
      <c r="BU63" s="149"/>
      <c r="BV63" s="149"/>
      <c r="BW63" s="149"/>
      <c r="BX63" s="149"/>
      <c r="BY63" s="149"/>
      <c r="BZ63" s="149"/>
      <c r="CA63" s="149"/>
      <c r="CB63" s="149"/>
      <c r="CC63" s="149"/>
      <c r="CD63" s="149"/>
      <c r="CE63" s="149"/>
      <c r="CF63" s="149"/>
      <c r="CG63" s="149"/>
      <c r="CN63" s="1" t="s">
        <v>428</v>
      </c>
      <c r="DW63" s="35"/>
      <c r="DX63" s="56"/>
      <c r="DZ63" s="35"/>
      <c r="EA63" s="56"/>
    </row>
    <row r="64" spans="1:131" ht="11.45" customHeight="1" x14ac:dyDescent="0.2">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N64" s="107" t="s">
        <v>432</v>
      </c>
      <c r="DW64" s="35"/>
      <c r="DX64" s="56"/>
      <c r="DZ64" s="35"/>
      <c r="EA64" s="56"/>
    </row>
    <row r="65" spans="57:131" ht="11.45" customHeight="1" x14ac:dyDescent="0.2">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N65" s="2" t="s">
        <v>433</v>
      </c>
      <c r="DW65" s="35"/>
      <c r="DX65" s="56"/>
      <c r="DZ65" s="35"/>
      <c r="EA65" s="56"/>
    </row>
    <row r="66" spans="57:131" ht="11.45" customHeight="1" x14ac:dyDescent="0.2">
      <c r="CB66" s="90"/>
      <c r="CC66" s="90"/>
      <c r="CD66" s="90"/>
      <c r="CE66" s="90"/>
      <c r="CF66" s="90"/>
      <c r="CG66" s="90"/>
    </row>
  </sheetData>
  <sheetProtection formatCells="0" selectLockedCells="1"/>
  <mergeCells count="665">
    <mergeCell ref="A58:D58"/>
    <mergeCell ref="F58:CG58"/>
    <mergeCell ref="A57:F57"/>
    <mergeCell ref="G57:L57"/>
    <mergeCell ref="M57:R57"/>
    <mergeCell ref="S57:X57"/>
    <mergeCell ref="Y57:AD57"/>
    <mergeCell ref="AE57:AJ57"/>
    <mergeCell ref="AX55:BF57"/>
    <mergeCell ref="BQ55:BX57"/>
    <mergeCell ref="BY55:CG57"/>
    <mergeCell ref="A56:F56"/>
    <mergeCell ref="G56:L56"/>
    <mergeCell ref="M56:R56"/>
    <mergeCell ref="S56:X56"/>
    <mergeCell ref="Y56:AD56"/>
    <mergeCell ref="AE56:AJ56"/>
    <mergeCell ref="A55:F55"/>
    <mergeCell ref="AQ57:AV57"/>
    <mergeCell ref="BZ51:CF51"/>
    <mergeCell ref="A52:CG52"/>
    <mergeCell ref="A53:F54"/>
    <mergeCell ref="G53:L54"/>
    <mergeCell ref="M53:R54"/>
    <mergeCell ref="BG53:BP54"/>
    <mergeCell ref="BQ53:BX54"/>
    <mergeCell ref="BY53:CG54"/>
    <mergeCell ref="AK55:AP55"/>
    <mergeCell ref="AQ55:AV55"/>
    <mergeCell ref="A51:R51"/>
    <mergeCell ref="S51:AF51"/>
    <mergeCell ref="AH51:AN51"/>
    <mergeCell ref="AP51:AX51"/>
    <mergeCell ref="S54:X54"/>
    <mergeCell ref="Y54:AD54"/>
    <mergeCell ref="AE54:AJ54"/>
    <mergeCell ref="AK54:AP54"/>
    <mergeCell ref="AQ54:AV54"/>
    <mergeCell ref="S53:X53"/>
    <mergeCell ref="Y53:AD53"/>
    <mergeCell ref="G55:L55"/>
    <mergeCell ref="M55:R55"/>
    <mergeCell ref="S55:X55"/>
    <mergeCell ref="BR32:CG32"/>
    <mergeCell ref="AH33:AL33"/>
    <mergeCell ref="AM33:AP33"/>
    <mergeCell ref="A32:AK32"/>
    <mergeCell ref="A33:F34"/>
    <mergeCell ref="G33:L33"/>
    <mergeCell ref="N33:S33"/>
    <mergeCell ref="T33:W33"/>
    <mergeCell ref="X33:AC34"/>
    <mergeCell ref="BN34:BQ34"/>
    <mergeCell ref="BN33:BQ33"/>
    <mergeCell ref="BR33:CG34"/>
    <mergeCell ref="G34:L34"/>
    <mergeCell ref="N34:S34"/>
    <mergeCell ref="AQ33:AU34"/>
    <mergeCell ref="AV33:BL33"/>
    <mergeCell ref="AV34:BL34"/>
    <mergeCell ref="A14:F15"/>
    <mergeCell ref="G14:L14"/>
    <mergeCell ref="N14:S14"/>
    <mergeCell ref="T14:W14"/>
    <mergeCell ref="X14:AC15"/>
    <mergeCell ref="AD14:AF14"/>
    <mergeCell ref="AH14:AL14"/>
    <mergeCell ref="AM14:AP14"/>
    <mergeCell ref="AQ14:AV15"/>
    <mergeCell ref="G15:L15"/>
    <mergeCell ref="N15:S15"/>
    <mergeCell ref="T15:W15"/>
    <mergeCell ref="AD15:AF15"/>
    <mergeCell ref="AH15:AL15"/>
    <mergeCell ref="A63:AN63"/>
    <mergeCell ref="C62:P62"/>
    <mergeCell ref="A59:B62"/>
    <mergeCell ref="C59:P61"/>
    <mergeCell ref="BI49:BM49"/>
    <mergeCell ref="BN49:BR49"/>
    <mergeCell ref="A49:AD49"/>
    <mergeCell ref="AE49:AI49"/>
    <mergeCell ref="AJ49:AN49"/>
    <mergeCell ref="AO49:AS49"/>
    <mergeCell ref="AZ51:BF51"/>
    <mergeCell ref="BH51:BX51"/>
    <mergeCell ref="AK56:AP56"/>
    <mergeCell ref="AQ56:AV56"/>
    <mergeCell ref="AK57:AP57"/>
    <mergeCell ref="A50:CG50"/>
    <mergeCell ref="Y55:AD55"/>
    <mergeCell ref="AE55:AJ55"/>
    <mergeCell ref="AX53:BF54"/>
    <mergeCell ref="AE53:AJ53"/>
    <mergeCell ref="AK53:AP53"/>
    <mergeCell ref="AQ53:AV53"/>
    <mergeCell ref="AW53:AW57"/>
    <mergeCell ref="BG55:BP57"/>
    <mergeCell ref="BS49:BW49"/>
    <mergeCell ref="BX49:CB49"/>
    <mergeCell ref="BN48:BR48"/>
    <mergeCell ref="BS48:BW48"/>
    <mergeCell ref="BX48:CB48"/>
    <mergeCell ref="BD49:BH49"/>
    <mergeCell ref="AT49:AX49"/>
    <mergeCell ref="AY49:BC49"/>
    <mergeCell ref="Z48:AD48"/>
    <mergeCell ref="AE48:AI48"/>
    <mergeCell ref="AJ48:AN48"/>
    <mergeCell ref="AO48:AS48"/>
    <mergeCell ref="A48:H48"/>
    <mergeCell ref="I48:O48"/>
    <mergeCell ref="P48:T48"/>
    <mergeCell ref="U48:Y48"/>
    <mergeCell ref="BI47:BM47"/>
    <mergeCell ref="BN47:BR47"/>
    <mergeCell ref="AT48:AX48"/>
    <mergeCell ref="AY48:BC48"/>
    <mergeCell ref="BD48:BH48"/>
    <mergeCell ref="BI48:BM48"/>
    <mergeCell ref="BX46:CB46"/>
    <mergeCell ref="A47:H47"/>
    <mergeCell ref="I47:O47"/>
    <mergeCell ref="P47:T47"/>
    <mergeCell ref="U47:Y47"/>
    <mergeCell ref="Z47:AD47"/>
    <mergeCell ref="AE47:AI47"/>
    <mergeCell ref="AJ47:AN47"/>
    <mergeCell ref="BS47:BW47"/>
    <mergeCell ref="BX47:CB47"/>
    <mergeCell ref="AO47:AS47"/>
    <mergeCell ref="AT47:AX47"/>
    <mergeCell ref="AY47:BC47"/>
    <mergeCell ref="BD47:BH47"/>
    <mergeCell ref="A46:H46"/>
    <mergeCell ref="I46:O46"/>
    <mergeCell ref="P46:T46"/>
    <mergeCell ref="U46:Y46"/>
    <mergeCell ref="AT46:AX46"/>
    <mergeCell ref="AY46:BC46"/>
    <mergeCell ref="BD46:BH46"/>
    <mergeCell ref="BI46:BM46"/>
    <mergeCell ref="Z46:AD46"/>
    <mergeCell ref="AE46:AI46"/>
    <mergeCell ref="BI43:BM43"/>
    <mergeCell ref="AJ46:AN46"/>
    <mergeCell ref="AO46:AS46"/>
    <mergeCell ref="BN46:BR46"/>
    <mergeCell ref="BS45:BW45"/>
    <mergeCell ref="BX45:CB45"/>
    <mergeCell ref="BX44:CB44"/>
    <mergeCell ref="A45:H45"/>
    <mergeCell ref="I45:O45"/>
    <mergeCell ref="P45:T45"/>
    <mergeCell ref="U45:Y45"/>
    <mergeCell ref="AJ45:AN45"/>
    <mergeCell ref="AO45:AS45"/>
    <mergeCell ref="AT45:AX45"/>
    <mergeCell ref="Z44:AD44"/>
    <mergeCell ref="AE44:AI44"/>
    <mergeCell ref="AJ44:AN44"/>
    <mergeCell ref="BI45:BM45"/>
    <mergeCell ref="BN45:BR45"/>
    <mergeCell ref="AY45:BC45"/>
    <mergeCell ref="BD45:BH45"/>
    <mergeCell ref="Z45:AD45"/>
    <mergeCell ref="AE45:AI45"/>
    <mergeCell ref="BS46:BW46"/>
    <mergeCell ref="P41:T41"/>
    <mergeCell ref="A43:H43"/>
    <mergeCell ref="I43:O43"/>
    <mergeCell ref="P43:T43"/>
    <mergeCell ref="U43:Y43"/>
    <mergeCell ref="Z43:AD43"/>
    <mergeCell ref="AE43:AI43"/>
    <mergeCell ref="BX43:CB43"/>
    <mergeCell ref="A44:H44"/>
    <mergeCell ref="I44:O44"/>
    <mergeCell ref="P44:T44"/>
    <mergeCell ref="U44:Y44"/>
    <mergeCell ref="AO44:AS44"/>
    <mergeCell ref="AT44:AX44"/>
    <mergeCell ref="AY44:BC44"/>
    <mergeCell ref="AT43:AX43"/>
    <mergeCell ref="AY43:BC43"/>
    <mergeCell ref="BD44:BH44"/>
    <mergeCell ref="BI44:BM44"/>
    <mergeCell ref="BN44:BR44"/>
    <mergeCell ref="BS44:BW44"/>
    <mergeCell ref="BN43:BR43"/>
    <mergeCell ref="BS43:BW43"/>
    <mergeCell ref="BD43:BH43"/>
    <mergeCell ref="BX39:CB39"/>
    <mergeCell ref="CI39:CL40"/>
    <mergeCell ref="A42:H42"/>
    <mergeCell ref="I42:O42"/>
    <mergeCell ref="P42:T42"/>
    <mergeCell ref="U42:Y42"/>
    <mergeCell ref="Z42:AD42"/>
    <mergeCell ref="AE42:AI42"/>
    <mergeCell ref="AJ42:AN42"/>
    <mergeCell ref="AY41:BC41"/>
    <mergeCell ref="I41:O41"/>
    <mergeCell ref="BD41:BH41"/>
    <mergeCell ref="AT42:AX42"/>
    <mergeCell ref="AY42:BC42"/>
    <mergeCell ref="BD42:BH42"/>
    <mergeCell ref="BI42:BM42"/>
    <mergeCell ref="BS41:BW41"/>
    <mergeCell ref="AT41:AX41"/>
    <mergeCell ref="BX41:CB41"/>
    <mergeCell ref="BI41:BM41"/>
    <mergeCell ref="BN41:BR41"/>
    <mergeCell ref="BN42:BR42"/>
    <mergeCell ref="BS42:BW42"/>
    <mergeCell ref="BX42:CB42"/>
    <mergeCell ref="AY40:BC40"/>
    <mergeCell ref="BD40:BH40"/>
    <mergeCell ref="BI40:BM40"/>
    <mergeCell ref="BN39:BR39"/>
    <mergeCell ref="U41:Y41"/>
    <mergeCell ref="Z41:AD41"/>
    <mergeCell ref="AJ41:AN41"/>
    <mergeCell ref="AO41:AS41"/>
    <mergeCell ref="BS39:BW39"/>
    <mergeCell ref="BD39:BH39"/>
    <mergeCell ref="BI39:BM39"/>
    <mergeCell ref="BN40:BR40"/>
    <mergeCell ref="BS40:BW40"/>
    <mergeCell ref="DY35:DZ35"/>
    <mergeCell ref="BX38:CB38"/>
    <mergeCell ref="AE38:AI38"/>
    <mergeCell ref="AT38:AX38"/>
    <mergeCell ref="AY38:BC38"/>
    <mergeCell ref="BD38:BH38"/>
    <mergeCell ref="BI38:BM38"/>
    <mergeCell ref="A40:H40"/>
    <mergeCell ref="I40:O40"/>
    <mergeCell ref="P40:T40"/>
    <mergeCell ref="U40:Y40"/>
    <mergeCell ref="Z40:AD40"/>
    <mergeCell ref="AE40:AI40"/>
    <mergeCell ref="A39:H39"/>
    <mergeCell ref="I39:O39"/>
    <mergeCell ref="P39:T39"/>
    <mergeCell ref="U39:Y39"/>
    <mergeCell ref="Z39:AD39"/>
    <mergeCell ref="AE39:AI39"/>
    <mergeCell ref="AJ39:AN39"/>
    <mergeCell ref="AT39:AX39"/>
    <mergeCell ref="BX40:CB40"/>
    <mergeCell ref="AY39:BC39"/>
    <mergeCell ref="AT40:AX40"/>
    <mergeCell ref="BN35:BR35"/>
    <mergeCell ref="BN37:BR37"/>
    <mergeCell ref="BS37:BW37"/>
    <mergeCell ref="BD37:BH37"/>
    <mergeCell ref="BI37:BM37"/>
    <mergeCell ref="BN38:BR38"/>
    <mergeCell ref="BS38:BW38"/>
    <mergeCell ref="DR35:DU35"/>
    <mergeCell ref="DW35:DX35"/>
    <mergeCell ref="U36:Y36"/>
    <mergeCell ref="Z36:AD36"/>
    <mergeCell ref="AE36:AI36"/>
    <mergeCell ref="BJ32:BP32"/>
    <mergeCell ref="AY29:BC29"/>
    <mergeCell ref="BD29:BH29"/>
    <mergeCell ref="EA35:EB35"/>
    <mergeCell ref="CV35:CX35"/>
    <mergeCell ref="DA35:DC35"/>
    <mergeCell ref="DF35:DI35"/>
    <mergeCell ref="DL35:DO35"/>
    <mergeCell ref="AO36:AS36"/>
    <mergeCell ref="AT36:AX36"/>
    <mergeCell ref="BD36:BH36"/>
    <mergeCell ref="BN36:BR36"/>
    <mergeCell ref="BS35:BW36"/>
    <mergeCell ref="CR35:CS35"/>
    <mergeCell ref="BX36:CB36"/>
    <mergeCell ref="AT35:AX35"/>
    <mergeCell ref="AY35:BC35"/>
    <mergeCell ref="BD35:BH35"/>
    <mergeCell ref="BI35:BM35"/>
    <mergeCell ref="BI36:BM36"/>
    <mergeCell ref="AY36:BC36"/>
    <mergeCell ref="A29:H29"/>
    <mergeCell ref="AJ35:AN35"/>
    <mergeCell ref="AO35:AS35"/>
    <mergeCell ref="AH34:AL34"/>
    <mergeCell ref="AM34:AP34"/>
    <mergeCell ref="AD33:AF33"/>
    <mergeCell ref="BS30:BW30"/>
    <mergeCell ref="BX30:CB30"/>
    <mergeCell ref="CI29:CL30"/>
    <mergeCell ref="BS29:BW29"/>
    <mergeCell ref="BX29:CB29"/>
    <mergeCell ref="BD30:BH30"/>
    <mergeCell ref="BI30:BM30"/>
    <mergeCell ref="AT29:AX29"/>
    <mergeCell ref="A35:H35"/>
    <mergeCell ref="I35:O36"/>
    <mergeCell ref="P35:T35"/>
    <mergeCell ref="U35:Y35"/>
    <mergeCell ref="Z35:AD35"/>
    <mergeCell ref="AE35:AI35"/>
    <mergeCell ref="BX35:CB35"/>
    <mergeCell ref="AJ36:AN36"/>
    <mergeCell ref="A36:H36"/>
    <mergeCell ref="P36:T36"/>
    <mergeCell ref="BI29:BM29"/>
    <mergeCell ref="T34:W34"/>
    <mergeCell ref="AD34:AF34"/>
    <mergeCell ref="AL32:AN32"/>
    <mergeCell ref="AP32:AW32"/>
    <mergeCell ref="AX32:AZ32"/>
    <mergeCell ref="BB32:BI32"/>
    <mergeCell ref="A28:H28"/>
    <mergeCell ref="I28:O28"/>
    <mergeCell ref="P28:T28"/>
    <mergeCell ref="U28:Y28"/>
    <mergeCell ref="I29:O29"/>
    <mergeCell ref="P29:T29"/>
    <mergeCell ref="U29:Y29"/>
    <mergeCell ref="Z29:AD29"/>
    <mergeCell ref="AE29:AI29"/>
    <mergeCell ref="Z28:AD28"/>
    <mergeCell ref="AE28:AI28"/>
    <mergeCell ref="A30:AD30"/>
    <mergeCell ref="AE30:AI30"/>
    <mergeCell ref="AJ30:AN30"/>
    <mergeCell ref="AO30:AS30"/>
    <mergeCell ref="AT30:AX30"/>
    <mergeCell ref="AY30:BC30"/>
    <mergeCell ref="BS27:BW27"/>
    <mergeCell ref="BX27:CB27"/>
    <mergeCell ref="BN28:BR28"/>
    <mergeCell ref="BD28:BH28"/>
    <mergeCell ref="BX28:CB28"/>
    <mergeCell ref="BI27:BM27"/>
    <mergeCell ref="AJ28:AN28"/>
    <mergeCell ref="AO28:AS28"/>
    <mergeCell ref="BS28:BW28"/>
    <mergeCell ref="BI28:BM28"/>
    <mergeCell ref="BD27:BH27"/>
    <mergeCell ref="A27:H27"/>
    <mergeCell ref="I27:O27"/>
    <mergeCell ref="P27:T27"/>
    <mergeCell ref="U27:Y27"/>
    <mergeCell ref="Z27:AD27"/>
    <mergeCell ref="AE27:AI27"/>
    <mergeCell ref="AJ27:AN27"/>
    <mergeCell ref="BI26:BM26"/>
    <mergeCell ref="BN26:BR26"/>
    <mergeCell ref="AO27:AS27"/>
    <mergeCell ref="AT27:AX27"/>
    <mergeCell ref="AY27:BC27"/>
    <mergeCell ref="BN27:BR27"/>
    <mergeCell ref="BS26:BW26"/>
    <mergeCell ref="BX25:CB25"/>
    <mergeCell ref="A26:H26"/>
    <mergeCell ref="I26:O26"/>
    <mergeCell ref="P26:T26"/>
    <mergeCell ref="U26:Y26"/>
    <mergeCell ref="Z26:AD26"/>
    <mergeCell ref="AE26:AI26"/>
    <mergeCell ref="AJ26:AN26"/>
    <mergeCell ref="AO26:AS26"/>
    <mergeCell ref="BX26:CB26"/>
    <mergeCell ref="BS25:BW25"/>
    <mergeCell ref="A25:H25"/>
    <mergeCell ref="I25:O25"/>
    <mergeCell ref="P25:T25"/>
    <mergeCell ref="U25:Y25"/>
    <mergeCell ref="Z25:AD25"/>
    <mergeCell ref="AE25:AI25"/>
    <mergeCell ref="AJ25:AN25"/>
    <mergeCell ref="BI25:BM25"/>
    <mergeCell ref="AO25:AS25"/>
    <mergeCell ref="AT25:AX25"/>
    <mergeCell ref="AY25:BC25"/>
    <mergeCell ref="BD25:BH25"/>
    <mergeCell ref="A24:H24"/>
    <mergeCell ref="I24:O24"/>
    <mergeCell ref="P24:T24"/>
    <mergeCell ref="U24:Y24"/>
    <mergeCell ref="Z24:AD24"/>
    <mergeCell ref="AE24:AI24"/>
    <mergeCell ref="AJ24:AN24"/>
    <mergeCell ref="BS23:BW23"/>
    <mergeCell ref="BX24:CB24"/>
    <mergeCell ref="BS24:BW24"/>
    <mergeCell ref="A20:H20"/>
    <mergeCell ref="BX22:CB22"/>
    <mergeCell ref="CI21:CL22"/>
    <mergeCell ref="A23:H23"/>
    <mergeCell ref="I23:O23"/>
    <mergeCell ref="P23:T23"/>
    <mergeCell ref="U23:Y23"/>
    <mergeCell ref="Z23:AD23"/>
    <mergeCell ref="AE23:AI23"/>
    <mergeCell ref="BS22:BW22"/>
    <mergeCell ref="BD23:BH23"/>
    <mergeCell ref="BI23:BM23"/>
    <mergeCell ref="AJ23:AN23"/>
    <mergeCell ref="AO23:AS23"/>
    <mergeCell ref="BX23:CB23"/>
    <mergeCell ref="A21:H21"/>
    <mergeCell ref="I21:O21"/>
    <mergeCell ref="P21:T21"/>
    <mergeCell ref="U21:Y21"/>
    <mergeCell ref="Z21:AD21"/>
    <mergeCell ref="A22:H22"/>
    <mergeCell ref="I22:O22"/>
    <mergeCell ref="P22:T22"/>
    <mergeCell ref="U22:Y22"/>
    <mergeCell ref="Z22:AD22"/>
    <mergeCell ref="I19:O19"/>
    <mergeCell ref="P19:T19"/>
    <mergeCell ref="U19:Y19"/>
    <mergeCell ref="BX20:CB20"/>
    <mergeCell ref="BX21:CB21"/>
    <mergeCell ref="AJ20:AN20"/>
    <mergeCell ref="AJ22:AN22"/>
    <mergeCell ref="AO22:AS22"/>
    <mergeCell ref="AT22:AX22"/>
    <mergeCell ref="BD21:BH21"/>
    <mergeCell ref="AY21:BC21"/>
    <mergeCell ref="BI21:BM21"/>
    <mergeCell ref="AO21:AS21"/>
    <mergeCell ref="AT21:AX21"/>
    <mergeCell ref="AJ21:AN21"/>
    <mergeCell ref="AE22:AI22"/>
    <mergeCell ref="I20:O20"/>
    <mergeCell ref="P20:T20"/>
    <mergeCell ref="AE21:AI21"/>
    <mergeCell ref="BN20:BR20"/>
    <mergeCell ref="BS20:BW20"/>
    <mergeCell ref="BN21:BR21"/>
    <mergeCell ref="BS21:BW21"/>
    <mergeCell ref="U18:Y18"/>
    <mergeCell ref="AT19:AX19"/>
    <mergeCell ref="AY19:BC19"/>
    <mergeCell ref="BD19:BH19"/>
    <mergeCell ref="BI19:BM19"/>
    <mergeCell ref="BD20:BH20"/>
    <mergeCell ref="BI20:BM20"/>
    <mergeCell ref="AT20:AX20"/>
    <mergeCell ref="AY20:BC20"/>
    <mergeCell ref="U20:Y20"/>
    <mergeCell ref="Z20:AD20"/>
    <mergeCell ref="AE20:AI20"/>
    <mergeCell ref="AO20:AS20"/>
    <mergeCell ref="Z19:AD19"/>
    <mergeCell ref="AE19:AI19"/>
    <mergeCell ref="AJ19:AN19"/>
    <mergeCell ref="AO19:AS19"/>
    <mergeCell ref="BS19:BW19"/>
    <mergeCell ref="BX19:CB19"/>
    <mergeCell ref="DW16:DX16"/>
    <mergeCell ref="DY16:DZ16"/>
    <mergeCell ref="Z16:AD16"/>
    <mergeCell ref="AE16:AI16"/>
    <mergeCell ref="DA16:DC16"/>
    <mergeCell ref="DF16:DI16"/>
    <mergeCell ref="DL16:DO16"/>
    <mergeCell ref="DR16:DU16"/>
    <mergeCell ref="BS16:BW17"/>
    <mergeCell ref="BX16:CB16"/>
    <mergeCell ref="CR16:CS16"/>
    <mergeCell ref="CV16:CX16"/>
    <mergeCell ref="AT16:AX16"/>
    <mergeCell ref="AT17:AX17"/>
    <mergeCell ref="AY17:BC17"/>
    <mergeCell ref="AJ17:AN17"/>
    <mergeCell ref="AO17:AS17"/>
    <mergeCell ref="BS18:BW18"/>
    <mergeCell ref="CN1:EB2"/>
    <mergeCell ref="AT23:AX23"/>
    <mergeCell ref="AY23:BC23"/>
    <mergeCell ref="BN19:BR19"/>
    <mergeCell ref="A12:CG12"/>
    <mergeCell ref="BJ13:BP13"/>
    <mergeCell ref="A18:H18"/>
    <mergeCell ref="I18:O18"/>
    <mergeCell ref="P18:T18"/>
    <mergeCell ref="A1:BK1"/>
    <mergeCell ref="BL1:BP1"/>
    <mergeCell ref="BR1:CG1"/>
    <mergeCell ref="A2:BK2"/>
    <mergeCell ref="BL2:BP2"/>
    <mergeCell ref="BR2:CG2"/>
    <mergeCell ref="CC22:CG22"/>
    <mergeCell ref="CC23:CG23"/>
    <mergeCell ref="A5:G5"/>
    <mergeCell ref="EA16:EB16"/>
    <mergeCell ref="A17:H17"/>
    <mergeCell ref="P17:T17"/>
    <mergeCell ref="U17:Y17"/>
    <mergeCell ref="Z17:AD17"/>
    <mergeCell ref="AE17:AI17"/>
    <mergeCell ref="BR11:BY11"/>
    <mergeCell ref="AH10:AN10"/>
    <mergeCell ref="A8:AN8"/>
    <mergeCell ref="A10:N10"/>
    <mergeCell ref="AJ16:AN16"/>
    <mergeCell ref="AO16:AS16"/>
    <mergeCell ref="A16:H16"/>
    <mergeCell ref="I16:O17"/>
    <mergeCell ref="P16:T16"/>
    <mergeCell ref="U16:Y16"/>
    <mergeCell ref="AI11:AN11"/>
    <mergeCell ref="AO11:BP11"/>
    <mergeCell ref="AY16:BC16"/>
    <mergeCell ref="BD16:BH16"/>
    <mergeCell ref="BI16:BM16"/>
    <mergeCell ref="BN16:BR16"/>
    <mergeCell ref="A13:AK13"/>
    <mergeCell ref="O10:R10"/>
    <mergeCell ref="T10:AB10"/>
    <mergeCell ref="AC10:AF10"/>
    <mergeCell ref="AO10:BP10"/>
    <mergeCell ref="BD17:BH17"/>
    <mergeCell ref="BI17:BM17"/>
    <mergeCell ref="BR13:CG13"/>
    <mergeCell ref="Z37:AD37"/>
    <mergeCell ref="AE37:AI37"/>
    <mergeCell ref="AY28:BC28"/>
    <mergeCell ref="AO39:AS39"/>
    <mergeCell ref="AO40:AS40"/>
    <mergeCell ref="AO42:AS42"/>
    <mergeCell ref="AJ38:AN38"/>
    <mergeCell ref="AJ43:AN43"/>
    <mergeCell ref="AL13:AN13"/>
    <mergeCell ref="AP13:AW13"/>
    <mergeCell ref="AX13:AZ13"/>
    <mergeCell ref="BB13:BI13"/>
    <mergeCell ref="AO43:AS43"/>
    <mergeCell ref="AW14:BL14"/>
    <mergeCell ref="AM15:AP15"/>
    <mergeCell ref="AW15:BL15"/>
    <mergeCell ref="AY18:BC18"/>
    <mergeCell ref="Z18:AD18"/>
    <mergeCell ref="BI18:BM18"/>
    <mergeCell ref="AE18:AI18"/>
    <mergeCell ref="AJ18:AN18"/>
    <mergeCell ref="AO18:AS18"/>
    <mergeCell ref="AT18:AX18"/>
    <mergeCell ref="BD18:BH18"/>
    <mergeCell ref="BN29:BR29"/>
    <mergeCell ref="BN30:BR30"/>
    <mergeCell ref="AE41:AI41"/>
    <mergeCell ref="AO38:AS38"/>
    <mergeCell ref="AJ40:AN40"/>
    <mergeCell ref="AY22:BC22"/>
    <mergeCell ref="BD22:BH22"/>
    <mergeCell ref="BI22:BM22"/>
    <mergeCell ref="BN22:BR22"/>
    <mergeCell ref="BN23:BR23"/>
    <mergeCell ref="AO24:AS24"/>
    <mergeCell ref="AT24:AX24"/>
    <mergeCell ref="BD24:BH24"/>
    <mergeCell ref="BI24:BM24"/>
    <mergeCell ref="AY24:BC24"/>
    <mergeCell ref="BN24:BR24"/>
    <mergeCell ref="BN25:BR25"/>
    <mergeCell ref="AY26:BC26"/>
    <mergeCell ref="BD26:BH26"/>
    <mergeCell ref="AT26:AX26"/>
    <mergeCell ref="AT28:AX28"/>
    <mergeCell ref="AJ29:AN29"/>
    <mergeCell ref="AO29:AS29"/>
    <mergeCell ref="AO37:AS37"/>
    <mergeCell ref="CC40:CG40"/>
    <mergeCell ref="A31:CG31"/>
    <mergeCell ref="AO63:CG63"/>
    <mergeCell ref="Q59:AJ62"/>
    <mergeCell ref="AK59:AX61"/>
    <mergeCell ref="AK62:AX62"/>
    <mergeCell ref="AY59:BQ62"/>
    <mergeCell ref="BR59:CE61"/>
    <mergeCell ref="BR62:CE62"/>
    <mergeCell ref="A41:H41"/>
    <mergeCell ref="CF59:CG62"/>
    <mergeCell ref="A37:H37"/>
    <mergeCell ref="I37:O37"/>
    <mergeCell ref="P37:T37"/>
    <mergeCell ref="U37:Y37"/>
    <mergeCell ref="AJ37:AN37"/>
    <mergeCell ref="BX37:CB37"/>
    <mergeCell ref="AT37:AX37"/>
    <mergeCell ref="AY37:BC37"/>
    <mergeCell ref="A38:H38"/>
    <mergeCell ref="I38:O38"/>
    <mergeCell ref="P38:T38"/>
    <mergeCell ref="U38:Y38"/>
    <mergeCell ref="Z38:AD38"/>
    <mergeCell ref="CC25:CG25"/>
    <mergeCell ref="CC26:CG26"/>
    <mergeCell ref="CC27:CG27"/>
    <mergeCell ref="CC47:CG47"/>
    <mergeCell ref="CC48:CG48"/>
    <mergeCell ref="CC49:CG49"/>
    <mergeCell ref="CC18:CG18"/>
    <mergeCell ref="CC19:CG19"/>
    <mergeCell ref="CC20:CG20"/>
    <mergeCell ref="CC21:CG21"/>
    <mergeCell ref="CC28:CG28"/>
    <mergeCell ref="CC29:CG29"/>
    <mergeCell ref="CC30:CG30"/>
    <mergeCell ref="CC41:CG41"/>
    <mergeCell ref="CC42:CG42"/>
    <mergeCell ref="CC43:CG43"/>
    <mergeCell ref="CC44:CG44"/>
    <mergeCell ref="CC45:CG45"/>
    <mergeCell ref="CC46:CG46"/>
    <mergeCell ref="CC35:CG35"/>
    <mergeCell ref="CC36:CG36"/>
    <mergeCell ref="CC37:CG37"/>
    <mergeCell ref="CC38:CG38"/>
    <mergeCell ref="CC39:CG39"/>
    <mergeCell ref="CC24:CG24"/>
    <mergeCell ref="BZ9:CG9"/>
    <mergeCell ref="BZ10:CG10"/>
    <mergeCell ref="BZ11:CG11"/>
    <mergeCell ref="AO8:CG8"/>
    <mergeCell ref="A6:CG6"/>
    <mergeCell ref="A7:CG7"/>
    <mergeCell ref="A11:Y11"/>
    <mergeCell ref="AA11:AH11"/>
    <mergeCell ref="BR10:BY10"/>
    <mergeCell ref="BR9:BY9"/>
    <mergeCell ref="L9:AN9"/>
    <mergeCell ref="AO9:BP9"/>
    <mergeCell ref="BN17:BR17"/>
    <mergeCell ref="A9:J9"/>
    <mergeCell ref="CC17:CG17"/>
    <mergeCell ref="BR14:CG15"/>
    <mergeCell ref="BN14:BQ14"/>
    <mergeCell ref="BX17:CB17"/>
    <mergeCell ref="CC16:CG16"/>
    <mergeCell ref="BN15:BQ15"/>
    <mergeCell ref="BN18:BR18"/>
    <mergeCell ref="BX18:CB18"/>
    <mergeCell ref="A19:H19"/>
    <mergeCell ref="BX5:CG5"/>
    <mergeCell ref="A3:BQ3"/>
    <mergeCell ref="BR3:CG3"/>
    <mergeCell ref="AQ4:AZ4"/>
    <mergeCell ref="BB4:BL4"/>
    <mergeCell ref="BM4:BV4"/>
    <mergeCell ref="BX4:CG4"/>
    <mergeCell ref="I5:T5"/>
    <mergeCell ref="U5:AA5"/>
    <mergeCell ref="AC5:AN5"/>
    <mergeCell ref="AQ5:AZ5"/>
    <mergeCell ref="BB5:BL5"/>
    <mergeCell ref="BM5:BV5"/>
    <mergeCell ref="I4:T4"/>
    <mergeCell ref="U4:W4"/>
    <mergeCell ref="Y4:AD4"/>
    <mergeCell ref="AE4:AG4"/>
    <mergeCell ref="AI4:AN4"/>
    <mergeCell ref="AO4:AP5"/>
    <mergeCell ref="A4:G4"/>
  </mergeCells>
  <phoneticPr fontId="2" type="noConversion"/>
  <conditionalFormatting sqref="BR9:BY11 BD18:CB29 BX30:CB30 BN30:BR30 BD30:BH30 AT30:AX30 AJ30:AN30 A37:O48 C59:P61 BD37:CB48 BX49:CB49 U37:Y48 AK59 BR59 CC18:CG30 CC37:CG49 BN49:BR49 BD49:BH49 AT49:AX49 AJ49:AN49">
    <cfRule type="containsBlanks" dxfId="68" priority="12" stopIfTrue="1">
      <formula>LEN(TRIM(A9))=0</formula>
    </cfRule>
  </conditionalFormatting>
  <conditionalFormatting sqref="L9:AN9 T10:AB10 AH10:AN10 AA11:AH11 A18:BC29 Z37:BC48">
    <cfRule type="containsBlanks" dxfId="67" priority="11" stopIfTrue="1">
      <formula>LEN(TRIM(A9))=0</formula>
    </cfRule>
  </conditionalFormatting>
  <conditionalFormatting sqref="AH14 AP13">
    <cfRule type="containsBlanks" dxfId="66" priority="10" stopIfTrue="1">
      <formula>LEN(TRIM(AH13))=0</formula>
    </cfRule>
  </conditionalFormatting>
  <conditionalFormatting sqref="N14:S15 AH15 BB13 BR13 BN14:BQ15 AM15">
    <cfRule type="containsBlanks" dxfId="65" priority="9" stopIfTrue="1">
      <formula>LEN(TRIM(N13))=0</formula>
    </cfRule>
  </conditionalFormatting>
  <conditionalFormatting sqref="AH34:AP34 N33:N34 BB32 BN33:BQ34 BR32">
    <cfRule type="containsBlanks" dxfId="64" priority="8" stopIfTrue="1">
      <formula>LEN(TRIM(N32))=0</formula>
    </cfRule>
  </conditionalFormatting>
  <conditionalFormatting sqref="AH33">
    <cfRule type="containsBlanks" dxfId="63" priority="7" stopIfTrue="1">
      <formula>LEN(TRIM(AH33))=0</formula>
    </cfRule>
  </conditionalFormatting>
  <conditionalFormatting sqref="AX55:CG57">
    <cfRule type="containsBlanks" dxfId="62" priority="5" stopIfTrue="1">
      <formula>LEN(TRIM(AX55))=0</formula>
    </cfRule>
  </conditionalFormatting>
  <conditionalFormatting sqref="BZ51 AZ51 AH51">
    <cfRule type="containsBlanks" dxfId="61" priority="4" stopIfTrue="1">
      <formula>LEN(TRIM(AH51))=0</formula>
    </cfRule>
  </conditionalFormatting>
  <conditionalFormatting sqref="BR1:CG2 AI4 AC5 Y4 I4:T5">
    <cfRule type="containsBlanks" dxfId="60" priority="3" stopIfTrue="1">
      <formula>LEN(TRIM(I1))=0</formula>
    </cfRule>
  </conditionalFormatting>
  <conditionalFormatting sqref="BB4:BL5 BX4:CG5 AP32">
    <cfRule type="containsBlanks" dxfId="59" priority="2" stopIfTrue="1">
      <formula>LEN(TRIM(AP4))=0</formula>
    </cfRule>
  </conditionalFormatting>
  <conditionalFormatting sqref="P37:T48">
    <cfRule type="containsBlanks" dxfId="58" priority="1" stopIfTrue="1">
      <formula>LEN(TRIM(P37))=0</formula>
    </cfRule>
  </conditionalFormatting>
  <dataValidations count="43">
    <dataValidation type="list" allowBlank="1" showInputMessage="1" showErrorMessage="1" sqref="AY17:BC17" xr:uid="{00000000-0002-0000-0F00-000000000000}">
      <formula1>$CN$39:$CN$40</formula1>
    </dataValidation>
    <dataValidation type="list" allowBlank="1" showInputMessage="1" showErrorMessage="1" sqref="AJ17:AN17" xr:uid="{00000000-0002-0000-0F00-000001000000}">
      <formula1>$CN$34:$CN$35</formula1>
    </dataValidation>
    <dataValidation type="list" allowBlank="1" showInputMessage="1" showErrorMessage="1" sqref="T14 T33" xr:uid="{00000000-0002-0000-0F00-000002000000}">
      <formula1>$CN$8:$CN$9</formula1>
    </dataValidation>
    <dataValidation type="list" allowBlank="1" showInputMessage="1" showErrorMessage="1" sqref="U17:Y17" xr:uid="{00000000-0002-0000-0F00-000003000000}">
      <formula1>$CN$24:$CN$25</formula1>
    </dataValidation>
    <dataValidation type="list" allowBlank="1" showInputMessage="1" showErrorMessage="1" sqref="P16:T16" xr:uid="{00000000-0002-0000-0F00-000004000000}">
      <formula1>$CN$18:$CN$20</formula1>
    </dataValidation>
    <dataValidation type="list" allowBlank="1" showInputMessage="1" showErrorMessage="1" sqref="Z36:AD36 Z17:AD17 AO17:AS17 AO36:AS36" xr:uid="{00000000-0002-0000-0F00-000005000000}">
      <formula1>$CN$29:$CN$30</formula1>
    </dataValidation>
    <dataValidation allowBlank="1" showInputMessage="1" showErrorMessage="1" prompt="Enter the barge's last port of call" sqref="L9:AN9" xr:uid="{00000000-0002-0000-0F00-000006000000}"/>
    <dataValidation allowBlank="1" showInputMessage="1" showErrorMessage="1" prompt="Enter the time barge sailed from last port of call" sqref="AH10:AN10" xr:uid="{00000000-0002-0000-0F00-000007000000}"/>
    <dataValidation allowBlank="1" showInputMessage="1" showErrorMessage="1" prompt="Enter the amount of bunkers on departure from the last port of call as advised by the barge" sqref="AA11:AH11" xr:uid="{00000000-0002-0000-0F00-000008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0F00-000009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0F00-00000A000000}"/>
    <dataValidation allowBlank="1" showInputMessage="1" showErrorMessage="1" promptTitle="Opening Temperatures" prompt="Enter the temperature of the fuel within the tank in either °C or °F. Ensure the correct units are selected above." sqref="AY18:BC18 AY37:BC37" xr:uid="{00000000-0002-0000-0F00-00000B000000}"/>
    <dataValidation allowBlank="1" showInputMessage="1" showErrorMessage="1" promptTitle="Opening Soundings" prompt="Calculate the volume of F.W. This can be entered in m³ or barrels, ensure the correct units are selected above." sqref="AT18:AX18" xr:uid="{00000000-0002-0000-0F00-00000C000000}"/>
    <dataValidation allowBlank="1" showInputMessage="1" showErrorMessage="1" promptTitle="Opening Soundings" prompt="Enter if any Free Water (F.W.) was observed during the soundings." sqref="AO18:AS18" xr:uid="{00000000-0002-0000-0F00-00000D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AJ37:AN37" xr:uid="{00000000-0002-0000-0F00-00000E000000}"/>
    <dataValidation allowBlank="1" showInputMessage="1" showErrorMessage="1" promptTitle="Opening Soundings" prompt="Enter observed innage/ullage figures. Ensure that innage or ullage is correctly stated above." sqref="Z18:AI18 Z37:AI37" xr:uid="{00000000-0002-0000-0F00-000010000000}"/>
    <dataValidation allowBlank="1" showInputMessage="1" showErrorMessage="1" prompt="Enter the reference height in metres or in Ft&amp;In, this should be available in the vessels calibration tables. Ensure to select the correct units above._x000a_" sqref="U18:Y18" xr:uid="{00000000-0002-0000-0F00-000011000000}"/>
    <dataValidation allowBlank="1" showInputMessage="1" showErrorMessage="1" promptTitle="Opening Density" prompt="Enter the density/API/specific gravity of the fuel within the tank as advised by the barge. Ensure that it is correctly stated above." sqref="P18:T25" xr:uid="{00000000-0002-0000-0F00-000012000000}"/>
    <dataValidation allowBlank="1" showInputMessage="1" showErrorMessage="1" prompt="Enter the grade of fuel within the tank" sqref="I18:O23" xr:uid="{00000000-0002-0000-0F00-000013000000}"/>
    <dataValidation allowBlank="1" showInputMessage="1" showErrorMessage="1" prompt="Enter the name of the barge tank" sqref="A18:H18" xr:uid="{00000000-0002-0000-0F00-000014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0F00-000015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0F00-000016000000}"/>
    <dataValidation allowBlank="1" showInputMessage="1" showErrorMessage="1" promptTitle="Closing Density" prompt="Enter the density/API/specific gravity of the fuel within the tank. Ensure that it is correctly stated above." sqref="P37:T37" xr:uid="{86265307-2851-4881-A23E-736EAD46F75A}"/>
    <dataValidation allowBlank="1" showInputMessage="1" showErrorMessage="1" promptTitle="Closing Soundings" prompt="Calculate the volume of F.W. This can be entered in m³ or barrels, ensure the correct units are selected above." sqref="AT37:AX37" xr:uid="{00000000-0002-0000-0F00-000019000000}"/>
    <dataValidation allowBlank="1" showInputMessage="1" showErrorMessage="1" promptTitle="Closing Soundings" prompt="Enter if any Free Water (F.W.) was observed during the soundings." sqref="AO37:AS37" xr:uid="{00000000-0002-0000-0F00-00001A000000}"/>
    <dataValidation allowBlank="1" showInputMessage="1" showErrorMessage="1" prompt="Enter the date barge sailed from the last port of call" sqref="T10:AB10" xr:uid="{00000000-0002-0000-0F00-00001E000000}"/>
    <dataValidation type="list" allowBlank="1" showInputMessage="1" showErrorMessage="1" prompt="Advise whether list corrections were made on arrival" sqref="BN15:BQ15" xr:uid="{00000000-0002-0000-0F00-00001F000000}">
      <formula1>$CN$13:$CN$14</formula1>
    </dataValidation>
    <dataValidation allowBlank="1" showInputMessage="1" showErrorMessage="1" prompt="Advise time that the opening soundings were made_x000a_" sqref="BB13:BI13" xr:uid="{00000000-0002-0000-0F00-000020000000}"/>
    <dataValidation type="list" allowBlank="1" showInputMessage="1" showErrorMessage="1" prompt="Advise whether trim corrections were made on arrival" sqref="BN14:BQ14" xr:uid="{00000000-0002-0000-0F00-000021000000}">
      <formula1>$CN$13:$CN$14</formula1>
    </dataValidation>
    <dataValidation allowBlank="1" showInputMessage="1" showErrorMessage="1" prompt="Advise the list of the vessel when opening soundings were made and select either °P or °S in the adjacent box" sqref="AH15:AL15" xr:uid="{00000000-0002-0000-0F00-000022000000}"/>
    <dataValidation type="list" allowBlank="1" showInputMessage="1" showErrorMessage="1" sqref="AM15 AM34" xr:uid="{00000000-0002-0000-0F00-000023000000}">
      <formula1>$CN$63:$CN$64</formula1>
    </dataValidation>
    <dataValidation type="list" allowBlank="1" showInputMessage="1" showErrorMessage="1" prompt="Advise whether list corrections were made on departure_x000a_" sqref="BN34:BQ34" xr:uid="{00000000-0002-0000-0F00-000024000000}">
      <formula1>$CN$13:$CN$14</formula1>
    </dataValidation>
    <dataValidation type="list" allowBlank="1" showInputMessage="1" showErrorMessage="1" prompt="Advise whether trim corrections were made on departure" sqref="BN33:BQ33" xr:uid="{00000000-0002-0000-0F00-000025000000}">
      <formula1>$CN$13:$CN$14</formula1>
    </dataValidation>
    <dataValidation allowBlank="1" showInputMessage="1" showErrorMessage="1" prompt="Advise time that the closing soundings were made_x000a_" sqref="BB32:BI32" xr:uid="{00000000-0002-0000-0F00-000026000000}"/>
    <dataValidation allowBlank="1" showInputMessage="1" showErrorMessage="1" prompt="Advise the list of the vessel when closing soundings were made and select either °P or °S in the adjacent box" sqref="AH34:AL34" xr:uid="{00000000-0002-0000-0F00-000027000000}"/>
    <dataValidation type="list" allowBlank="1" showInputMessage="1" showErrorMessage="1" sqref="BZ51:CF51" xr:uid="{00000000-0002-0000-0F00-000028000000}">
      <formula1>$CN$13:$CN$14</formula1>
    </dataValidation>
    <dataValidation type="list" allowBlank="1" showInputMessage="1" showErrorMessage="1" prompt="Advise the sea condition during the opening soundings" sqref="BR13:CG13" xr:uid="{00000000-0002-0000-0F00-000029000000}">
      <formula1>$CN$57:$CN$59</formula1>
    </dataValidation>
    <dataValidation type="list" allowBlank="1" showInputMessage="1" showErrorMessage="1" prompt="Advise the sea condition during the closing soundings" sqref="BR32:CG32" xr:uid="{00000000-0002-0000-0F00-00002A000000}">
      <formula1>$CN$57:$CN$59</formula1>
    </dataValidation>
    <dataValidation allowBlank="1" showInputMessage="1" showErrorMessage="1" prompt="Please enter the name of the company that has certified/created the calibration table." sqref="BB4:BL4" xr:uid="{00000000-0002-0000-0F00-00002B000000}"/>
    <dataValidation operator="greaterThan" allowBlank="1" showInputMessage="1" showErrorMessage="1" prompt="Enter the date of the calibration table_x000a_" sqref="BB5:BL5" xr:uid="{00000000-0002-0000-0F00-00002C000000}"/>
    <dataValidation allowBlank="1" showInputMessage="1" showErrorMessage="1" prompt="Enter the serial number of the sounding tape used" sqref="BX4:CG4" xr:uid="{00000000-0002-0000-0F00-00002D000000}"/>
    <dataValidation allowBlank="1" showInputMessage="1" showErrorMessage="1" prompt="Enter the serial number of the thermometer used" sqref="BX5:CG5" xr:uid="{00000000-0002-0000-0F00-00002E000000}"/>
    <dataValidation allowBlank="1" showInputMessage="1" showErrorMessage="1" prompt="Advise date closing measurements were made" sqref="AP32:AW32" xr:uid="{B08CEDFB-E57F-4BD8-8685-12C3BC3B2191}"/>
  </dataValidations>
  <printOptions horizontalCentered="1" verticalCentered="1"/>
  <pageMargins left="0.23622047244094491" right="0.23622047244094491" top="0.23622047244094491" bottom="0.23622047244094491" header="0.51181102362204722" footer="0.23622047244094491"/>
  <pageSetup scale="94" orientation="landscape" r:id="rId1"/>
  <headerFooter alignWithMargins="0">
    <oddFooter>&amp;C&amp;06 &amp;P &amp; of &amp;N</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8">
    <tabColor rgb="FFFFFF00"/>
    <pageSetUpPr fitToPage="1"/>
  </sheetPr>
  <dimension ref="A1:Q150"/>
  <sheetViews>
    <sheetView showGridLines="0" topLeftCell="A31" zoomScaleNormal="100" workbookViewId="0">
      <selection activeCell="BG36" sqref="BG36"/>
    </sheetView>
  </sheetViews>
  <sheetFormatPr defaultColWidth="11.42578125" defaultRowHeight="15" x14ac:dyDescent="0.25"/>
  <cols>
    <col min="1" max="1" width="5.85546875" style="57" customWidth="1"/>
    <col min="2" max="2" width="1.140625" style="57" customWidth="1"/>
    <col min="3" max="3" width="6.140625" style="57" customWidth="1"/>
    <col min="4" max="4" width="1.5703125" style="57" customWidth="1"/>
    <col min="5" max="5" width="10.7109375" style="57" customWidth="1"/>
    <col min="6" max="6" width="10.85546875" style="57" customWidth="1"/>
    <col min="7" max="7" width="10.7109375" style="57" customWidth="1"/>
    <col min="8" max="8" width="1.7109375" style="57" customWidth="1"/>
    <col min="9" max="9" width="6.85546875" style="57" customWidth="1"/>
    <col min="10" max="10" width="5.28515625" style="57" customWidth="1"/>
    <col min="11" max="11" width="1.5703125" style="57" customWidth="1"/>
    <col min="12" max="12" width="5.42578125" style="57" customWidth="1"/>
    <col min="13" max="13" width="10" style="57" customWidth="1"/>
    <col min="14" max="14" width="11.42578125" style="57" customWidth="1"/>
    <col min="15" max="15" width="0.85546875" style="57" customWidth="1"/>
    <col min="16" max="16" width="4.7109375" style="57" customWidth="1"/>
    <col min="17" max="17" width="3.140625" style="57" customWidth="1"/>
    <col min="18" max="16384" width="11.42578125" style="57"/>
  </cols>
  <sheetData>
    <row r="1" spans="1:17" ht="71.25" customHeight="1" x14ac:dyDescent="0.25">
      <c r="A1" s="492"/>
      <c r="B1" s="493"/>
      <c r="C1" s="493"/>
      <c r="N1" s="58"/>
    </row>
    <row r="2" spans="1:17" ht="21" x14ac:dyDescent="0.25">
      <c r="A2" s="494" t="s">
        <v>283</v>
      </c>
      <c r="B2" s="494"/>
      <c r="C2" s="494"/>
      <c r="D2" s="494"/>
      <c r="E2" s="494"/>
      <c r="F2" s="494"/>
      <c r="G2" s="494"/>
      <c r="H2" s="494"/>
      <c r="I2" s="494"/>
      <c r="J2" s="494"/>
      <c r="K2" s="494"/>
      <c r="L2" s="494"/>
      <c r="M2" s="494"/>
      <c r="N2" s="494"/>
      <c r="O2" s="494"/>
      <c r="P2" s="494"/>
      <c r="Q2" s="59"/>
    </row>
    <row r="3" spans="1:17" ht="6" customHeight="1" x14ac:dyDescent="0.25">
      <c r="A3" s="59"/>
      <c r="B3" s="59"/>
      <c r="C3" s="59"/>
      <c r="D3" s="59"/>
      <c r="E3" s="59"/>
      <c r="F3" s="59"/>
      <c r="G3" s="59"/>
      <c r="H3" s="59"/>
      <c r="I3" s="59"/>
      <c r="J3" s="59"/>
      <c r="K3" s="59"/>
      <c r="L3" s="59"/>
      <c r="M3" s="59"/>
      <c r="N3" s="59"/>
      <c r="O3" s="59"/>
      <c r="P3" s="59"/>
      <c r="Q3" s="59"/>
    </row>
    <row r="4" spans="1:17" ht="15" customHeight="1" x14ac:dyDescent="0.25">
      <c r="A4" s="476" t="s">
        <v>278</v>
      </c>
      <c r="B4" s="476"/>
      <c r="C4" s="476"/>
      <c r="D4" s="60" t="s">
        <v>0</v>
      </c>
      <c r="E4" s="495" t="str">
        <f>IF('Data Entry'!N6="","",'Data Entry'!N6)</f>
        <v/>
      </c>
      <c r="F4" s="495"/>
      <c r="G4" s="495"/>
      <c r="H4" s="61"/>
      <c r="I4" s="476" t="s">
        <v>268</v>
      </c>
      <c r="J4" s="476"/>
      <c r="K4" s="62" t="s">
        <v>0</v>
      </c>
      <c r="L4" s="496" t="str">
        <f>IF('Data Entry'!N15="","",'Data Entry'!N15)</f>
        <v/>
      </c>
      <c r="M4" s="496"/>
      <c r="N4" s="496"/>
      <c r="O4" s="496"/>
      <c r="P4" s="496"/>
      <c r="Q4" s="59"/>
    </row>
    <row r="5" spans="1:17" ht="15" customHeight="1" x14ac:dyDescent="0.25">
      <c r="A5" s="476" t="s">
        <v>317</v>
      </c>
      <c r="B5" s="476"/>
      <c r="C5" s="476"/>
      <c r="D5" s="60" t="s">
        <v>0</v>
      </c>
      <c r="E5" s="488" t="str">
        <f>IF('Data Entry'!N26="","",'Data Entry'!N26)&amp;IF(OR('Data Entry'!N26="",'Data Entry'!N27=""),"","/")&amp; IF('Data Entry'!N27="","",'Data Entry'!N27)</f>
        <v>ANCHORAGE AREA/İSTANBUL</v>
      </c>
      <c r="F5" s="488"/>
      <c r="G5" s="488"/>
      <c r="H5" s="61"/>
      <c r="I5" s="476" t="s">
        <v>318</v>
      </c>
      <c r="J5" s="476"/>
      <c r="K5" s="62" t="s">
        <v>0</v>
      </c>
      <c r="L5" s="497" t="str">
        <f>IF('Data Entry'!N28="","",'Data Entry'!N28)</f>
        <v/>
      </c>
      <c r="M5" s="497"/>
      <c r="N5" s="497"/>
      <c r="O5" s="497"/>
      <c r="P5" s="497"/>
      <c r="Q5" s="59"/>
    </row>
    <row r="6" spans="1:17" ht="15" customHeight="1" x14ac:dyDescent="0.25">
      <c r="A6" s="476" t="s">
        <v>319</v>
      </c>
      <c r="B6" s="476"/>
      <c r="C6" s="476"/>
      <c r="D6" s="60" t="s">
        <v>0</v>
      </c>
      <c r="E6" s="488" t="str">
        <f>IF('Data Entry'!N19="","",'Data Entry'!N19)</f>
        <v/>
      </c>
      <c r="F6" s="488"/>
      <c r="G6" s="488"/>
      <c r="H6" s="61"/>
      <c r="I6" s="63" t="s">
        <v>281</v>
      </c>
      <c r="J6" s="63"/>
      <c r="K6" s="62" t="s">
        <v>0</v>
      </c>
      <c r="L6" s="498" t="str">
        <f>IF('Data Entry'!N39="","",'Data Entry'!N39)</f>
        <v>SC17124</v>
      </c>
      <c r="M6" s="498"/>
      <c r="N6" s="498"/>
      <c r="O6" s="498"/>
      <c r="P6" s="498"/>
      <c r="Q6" s="59"/>
    </row>
    <row r="7" spans="1:17" ht="15" customHeight="1" x14ac:dyDescent="0.25">
      <c r="A7" s="476" t="s">
        <v>277</v>
      </c>
      <c r="B7" s="476"/>
      <c r="C7" s="476"/>
      <c r="D7" s="60" t="s">
        <v>0</v>
      </c>
      <c r="E7" s="488" t="str">
        <f>IF('Data Entry'!N17="","",'Data Entry'!N17)</f>
        <v/>
      </c>
      <c r="F7" s="488"/>
      <c r="G7" s="488"/>
      <c r="H7" s="61"/>
      <c r="I7" s="476"/>
      <c r="J7" s="476"/>
      <c r="K7" s="62"/>
      <c r="L7" s="477" t="str">
        <f>'Bunker Certificate 1'!Y4</f>
        <v/>
      </c>
      <c r="M7" s="477"/>
      <c r="N7" s="477"/>
      <c r="O7" s="477"/>
      <c r="P7" s="477"/>
      <c r="Q7" s="59"/>
    </row>
    <row r="8" spans="1:17" ht="6" customHeight="1" x14ac:dyDescent="0.25">
      <c r="A8" s="59"/>
      <c r="B8" s="59"/>
      <c r="C8" s="59"/>
      <c r="D8" s="59"/>
      <c r="E8" s="59"/>
      <c r="F8" s="59"/>
      <c r="G8" s="59"/>
      <c r="H8" s="59"/>
      <c r="I8" s="59"/>
      <c r="J8" s="59"/>
      <c r="K8" s="59"/>
      <c r="L8" s="59"/>
      <c r="M8" s="59"/>
      <c r="N8" s="59"/>
      <c r="O8" s="59"/>
      <c r="P8" s="59"/>
      <c r="Q8" s="59"/>
    </row>
    <row r="9" spans="1:17" ht="6" customHeight="1" x14ac:dyDescent="0.25">
      <c r="A9" s="59"/>
      <c r="B9" s="59"/>
      <c r="C9" s="59"/>
      <c r="D9" s="59"/>
      <c r="E9" s="59"/>
      <c r="F9" s="59"/>
      <c r="G9" s="59"/>
      <c r="H9" s="59"/>
      <c r="I9" s="59"/>
      <c r="J9" s="59"/>
      <c r="K9" s="59"/>
      <c r="L9" s="59"/>
      <c r="M9" s="59"/>
      <c r="N9" s="59"/>
      <c r="O9" s="59"/>
      <c r="P9" s="59"/>
      <c r="Q9" s="59"/>
    </row>
    <row r="10" spans="1:17" x14ac:dyDescent="0.25">
      <c r="A10" s="480" t="s">
        <v>284</v>
      </c>
      <c r="B10" s="481"/>
      <c r="C10" s="481"/>
      <c r="D10" s="481"/>
      <c r="E10" s="481"/>
      <c r="F10" s="481"/>
      <c r="G10" s="481"/>
      <c r="H10" s="481"/>
      <c r="I10" s="481"/>
      <c r="J10" s="481"/>
      <c r="K10" s="481"/>
      <c r="L10" s="481"/>
      <c r="M10" s="481"/>
      <c r="N10" s="481"/>
      <c r="O10" s="481"/>
      <c r="P10" s="481"/>
      <c r="Q10" s="482"/>
    </row>
    <row r="11" spans="1:17" ht="8.1" customHeight="1" x14ac:dyDescent="0.25">
      <c r="A11" s="64"/>
      <c r="B11" s="62"/>
      <c r="C11" s="65"/>
      <c r="D11" s="65"/>
      <c r="E11" s="65"/>
      <c r="F11" s="65"/>
      <c r="G11" s="65"/>
      <c r="H11" s="65"/>
      <c r="I11" s="65"/>
      <c r="J11" s="65"/>
      <c r="K11" s="65"/>
      <c r="L11" s="65"/>
      <c r="M11" s="65"/>
      <c r="N11" s="65"/>
      <c r="O11" s="65"/>
      <c r="P11" s="65"/>
      <c r="Q11" s="66"/>
    </row>
    <row r="12" spans="1:17" ht="15" customHeight="1" x14ac:dyDescent="0.25">
      <c r="A12" s="67">
        <v>1</v>
      </c>
      <c r="B12" s="61"/>
      <c r="C12" s="106" t="s">
        <v>354</v>
      </c>
      <c r="D12" s="106"/>
      <c r="E12" s="106"/>
      <c r="F12" s="106"/>
      <c r="G12" s="106"/>
      <c r="H12" s="106"/>
      <c r="I12" s="106"/>
      <c r="J12" s="106"/>
      <c r="K12" s="106"/>
      <c r="L12" s="106"/>
      <c r="M12" s="106"/>
      <c r="N12" s="105"/>
      <c r="O12" s="68"/>
      <c r="P12" s="69"/>
      <c r="Q12" s="70"/>
    </row>
    <row r="13" spans="1:17" ht="15" customHeight="1" x14ac:dyDescent="0.25">
      <c r="A13" s="67">
        <v>2</v>
      </c>
      <c r="B13" s="61"/>
      <c r="C13" s="106" t="s">
        <v>285</v>
      </c>
      <c r="D13" s="71"/>
      <c r="E13" s="71"/>
      <c r="F13" s="71"/>
      <c r="G13" s="71"/>
      <c r="H13" s="71"/>
      <c r="I13" s="71"/>
      <c r="J13" s="71"/>
      <c r="K13" s="71"/>
      <c r="L13" s="71"/>
      <c r="M13" s="71"/>
      <c r="N13" s="71"/>
      <c r="O13" s="68"/>
      <c r="P13" s="69"/>
      <c r="Q13" s="70"/>
    </row>
    <row r="14" spans="1:17" ht="15" customHeight="1" x14ac:dyDescent="0.25">
      <c r="A14" s="67">
        <v>3</v>
      </c>
      <c r="B14" s="61"/>
      <c r="C14" s="106" t="s">
        <v>355</v>
      </c>
      <c r="D14" s="106"/>
      <c r="E14" s="106"/>
      <c r="F14" s="106"/>
      <c r="G14" s="106"/>
      <c r="H14" s="106"/>
      <c r="I14" s="106"/>
      <c r="J14" s="106"/>
      <c r="K14" s="106"/>
      <c r="L14" s="106"/>
      <c r="M14" s="106"/>
      <c r="N14" s="105"/>
      <c r="O14" s="68"/>
      <c r="P14" s="69"/>
      <c r="Q14" s="70"/>
    </row>
    <row r="15" spans="1:17" ht="15" customHeight="1" x14ac:dyDescent="0.25">
      <c r="A15" s="67">
        <v>4</v>
      </c>
      <c r="B15" s="61"/>
      <c r="C15" s="106" t="s">
        <v>286</v>
      </c>
      <c r="D15" s="71"/>
      <c r="E15" s="71"/>
      <c r="F15" s="71"/>
      <c r="G15" s="71"/>
      <c r="H15" s="71"/>
      <c r="I15" s="71"/>
      <c r="J15" s="71"/>
      <c r="K15" s="71"/>
      <c r="L15" s="71"/>
      <c r="M15" s="71"/>
      <c r="N15" s="71"/>
      <c r="O15" s="68"/>
      <c r="P15" s="69"/>
      <c r="Q15" s="70"/>
    </row>
    <row r="16" spans="1:17" ht="15" customHeight="1" x14ac:dyDescent="0.25">
      <c r="A16" s="67">
        <v>5</v>
      </c>
      <c r="B16" s="61"/>
      <c r="C16" s="106" t="s">
        <v>287</v>
      </c>
      <c r="D16" s="106"/>
      <c r="E16" s="106"/>
      <c r="F16" s="106"/>
      <c r="G16" s="106"/>
      <c r="H16" s="106"/>
      <c r="I16" s="106"/>
      <c r="J16" s="106"/>
      <c r="K16" s="106"/>
      <c r="L16" s="106"/>
      <c r="M16" s="106"/>
      <c r="N16" s="106"/>
      <c r="O16" s="68"/>
      <c r="P16" s="69"/>
      <c r="Q16" s="70"/>
    </row>
    <row r="17" spans="1:17" ht="15" customHeight="1" x14ac:dyDescent="0.25">
      <c r="A17" s="72"/>
      <c r="B17" s="61"/>
      <c r="C17" s="106" t="s">
        <v>288</v>
      </c>
      <c r="D17" s="71"/>
      <c r="E17" s="71"/>
      <c r="F17" s="71"/>
      <c r="G17" s="105"/>
      <c r="H17" s="270"/>
      <c r="I17" s="270"/>
      <c r="J17" s="270"/>
      <c r="K17" s="270"/>
      <c r="L17" s="270"/>
      <c r="M17" s="270"/>
      <c r="N17" s="270"/>
      <c r="O17" s="68"/>
      <c r="P17" s="69"/>
      <c r="Q17" s="70"/>
    </row>
    <row r="18" spans="1:17" ht="15" customHeight="1" x14ac:dyDescent="0.25">
      <c r="A18" s="67">
        <v>6</v>
      </c>
      <c r="B18" s="61"/>
      <c r="C18" s="106" t="s">
        <v>310</v>
      </c>
      <c r="D18" s="71"/>
      <c r="E18" s="71"/>
      <c r="F18" s="71"/>
      <c r="G18" s="105"/>
      <c r="H18" s="127"/>
      <c r="I18" s="127"/>
      <c r="J18" s="127"/>
      <c r="K18" s="127"/>
      <c r="L18" s="127"/>
      <c r="M18" s="127"/>
      <c r="N18" s="127"/>
      <c r="O18" s="68"/>
      <c r="P18" s="69"/>
      <c r="Q18" s="70"/>
    </row>
    <row r="19" spans="1:17" ht="15" customHeight="1" x14ac:dyDescent="0.25">
      <c r="A19" s="67"/>
      <c r="B19" s="61"/>
      <c r="C19" s="106"/>
      <c r="D19" s="71"/>
      <c r="E19" s="466" t="s">
        <v>311</v>
      </c>
      <c r="F19" s="466"/>
      <c r="G19" s="467" t="s">
        <v>312</v>
      </c>
      <c r="H19" s="467"/>
      <c r="I19" s="467"/>
      <c r="J19" s="467"/>
      <c r="K19" s="470" t="s">
        <v>313</v>
      </c>
      <c r="L19" s="470"/>
      <c r="M19" s="470"/>
      <c r="N19" s="470"/>
      <c r="O19" s="68"/>
      <c r="P19" s="69"/>
      <c r="Q19" s="70"/>
    </row>
    <row r="20" spans="1:17" ht="15" customHeight="1" x14ac:dyDescent="0.25">
      <c r="A20" s="458" t="s">
        <v>278</v>
      </c>
      <c r="B20" s="459"/>
      <c r="C20" s="459"/>
      <c r="D20" s="73" t="s">
        <v>0</v>
      </c>
      <c r="E20" s="551" t="str">
        <f>IF('Data Entry'!N7="","",'Data Entry'!N7)</f>
        <v/>
      </c>
      <c r="F20" s="551"/>
      <c r="G20" s="471"/>
      <c r="H20" s="472"/>
      <c r="I20" s="472"/>
      <c r="J20" s="472"/>
      <c r="K20" s="471"/>
      <c r="L20" s="472"/>
      <c r="M20" s="472"/>
      <c r="N20" s="472"/>
      <c r="O20" s="61"/>
      <c r="P20" s="61"/>
      <c r="Q20" s="70"/>
    </row>
    <row r="21" spans="1:17" ht="15" customHeight="1" x14ac:dyDescent="0.25">
      <c r="A21" s="458" t="s">
        <v>277</v>
      </c>
      <c r="B21" s="459"/>
      <c r="C21" s="459"/>
      <c r="D21" s="73" t="s">
        <v>0</v>
      </c>
      <c r="E21" s="552"/>
      <c r="F21" s="552"/>
      <c r="G21" s="473"/>
      <c r="H21" s="474"/>
      <c r="I21" s="474"/>
      <c r="J21" s="474"/>
      <c r="K21" s="473"/>
      <c r="L21" s="474"/>
      <c r="M21" s="474"/>
      <c r="N21" s="474"/>
      <c r="O21" s="61"/>
      <c r="P21" s="61"/>
      <c r="Q21" s="70"/>
    </row>
    <row r="22" spans="1:17" ht="15" customHeight="1" x14ac:dyDescent="0.25">
      <c r="A22" s="67">
        <v>7</v>
      </c>
      <c r="B22" s="61"/>
      <c r="C22" s="105" t="s">
        <v>289</v>
      </c>
      <c r="D22" s="71"/>
      <c r="E22" s="71"/>
      <c r="F22" s="71"/>
      <c r="G22" s="71"/>
      <c r="H22" s="71"/>
      <c r="I22" s="71"/>
      <c r="J22" s="71"/>
      <c r="K22" s="71"/>
      <c r="L22" s="71"/>
      <c r="M22" s="71"/>
      <c r="N22" s="71"/>
      <c r="O22" s="68"/>
      <c r="P22" s="69"/>
      <c r="Q22" s="70"/>
    </row>
    <row r="23" spans="1:17" ht="15" customHeight="1" x14ac:dyDescent="0.25">
      <c r="A23" s="67">
        <v>8</v>
      </c>
      <c r="B23" s="61"/>
      <c r="C23" s="106" t="s">
        <v>290</v>
      </c>
      <c r="D23" s="106"/>
      <c r="E23" s="106"/>
      <c r="F23" s="106"/>
      <c r="G23" s="106"/>
      <c r="H23" s="106"/>
      <c r="I23" s="106"/>
      <c r="J23" s="106"/>
      <c r="K23" s="106"/>
      <c r="L23" s="106"/>
      <c r="M23" s="106"/>
      <c r="N23" s="106"/>
      <c r="O23" s="68"/>
      <c r="P23" s="69"/>
      <c r="Q23" s="70"/>
    </row>
    <row r="24" spans="1:17" ht="15" customHeight="1" x14ac:dyDescent="0.25">
      <c r="A24" s="72"/>
      <c r="B24" s="61"/>
      <c r="C24" s="106" t="s">
        <v>291</v>
      </c>
      <c r="D24" s="71"/>
      <c r="E24" s="71"/>
      <c r="F24" s="71"/>
      <c r="G24" s="478"/>
      <c r="H24" s="478"/>
      <c r="I24" s="478"/>
      <c r="J24" s="478"/>
      <c r="K24" s="478"/>
      <c r="L24" s="478"/>
      <c r="M24" s="478"/>
      <c r="N24" s="478"/>
      <c r="O24" s="68"/>
      <c r="P24" s="69"/>
      <c r="Q24" s="70"/>
    </row>
    <row r="25" spans="1:17" ht="3" customHeight="1" x14ac:dyDescent="0.25">
      <c r="A25" s="72"/>
      <c r="B25" s="61"/>
      <c r="C25" s="106"/>
      <c r="D25" s="71"/>
      <c r="E25" s="71"/>
      <c r="F25" s="71"/>
      <c r="G25" s="128"/>
      <c r="H25" s="128"/>
      <c r="I25" s="128"/>
      <c r="J25" s="128"/>
      <c r="K25" s="128"/>
      <c r="L25" s="128"/>
      <c r="M25" s="128"/>
      <c r="N25" s="128"/>
      <c r="O25" s="68"/>
      <c r="P25" s="69"/>
      <c r="Q25" s="70"/>
    </row>
    <row r="26" spans="1:17" ht="15" customHeight="1" x14ac:dyDescent="0.25">
      <c r="A26" s="67">
        <v>9</v>
      </c>
      <c r="B26" s="61"/>
      <c r="C26" s="106" t="s">
        <v>292</v>
      </c>
      <c r="D26" s="71"/>
      <c r="E26" s="71"/>
      <c r="F26" s="71"/>
      <c r="G26" s="71"/>
      <c r="H26" s="71"/>
      <c r="I26" s="71"/>
      <c r="J26" s="71"/>
      <c r="K26" s="71"/>
      <c r="L26" s="71"/>
      <c r="M26" s="71"/>
      <c r="N26" s="71"/>
      <c r="O26" s="68"/>
      <c r="P26" s="69"/>
      <c r="Q26" s="70"/>
    </row>
    <row r="27" spans="1:17" ht="15" customHeight="1" x14ac:dyDescent="0.25">
      <c r="A27" s="67">
        <v>10</v>
      </c>
      <c r="B27" s="61"/>
      <c r="C27" s="106" t="s">
        <v>293</v>
      </c>
      <c r="D27" s="71"/>
      <c r="E27" s="71"/>
      <c r="F27" s="71"/>
      <c r="G27" s="71"/>
      <c r="H27" s="71"/>
      <c r="I27" s="71"/>
      <c r="J27" s="71"/>
      <c r="K27" s="71"/>
      <c r="L27" s="71"/>
      <c r="M27" s="71"/>
      <c r="N27" s="71"/>
      <c r="O27" s="68"/>
      <c r="P27" s="69"/>
      <c r="Q27" s="70"/>
    </row>
    <row r="28" spans="1:17" ht="15" customHeight="1" x14ac:dyDescent="0.25">
      <c r="A28" s="67">
        <v>11</v>
      </c>
      <c r="B28" s="61"/>
      <c r="C28" s="106" t="s">
        <v>294</v>
      </c>
      <c r="D28" s="71"/>
      <c r="E28" s="71"/>
      <c r="F28" s="71"/>
      <c r="G28" s="71"/>
      <c r="H28" s="71"/>
      <c r="I28" s="71"/>
      <c r="J28" s="71"/>
      <c r="K28" s="71"/>
      <c r="L28" s="71"/>
      <c r="M28" s="71"/>
      <c r="N28" s="71"/>
      <c r="O28" s="68"/>
      <c r="P28" s="69"/>
      <c r="Q28" s="70"/>
    </row>
    <row r="29" spans="1:17" ht="15" customHeight="1" x14ac:dyDescent="0.25">
      <c r="A29" s="67">
        <v>12</v>
      </c>
      <c r="B29" s="61"/>
      <c r="C29" s="106" t="s">
        <v>295</v>
      </c>
      <c r="D29" s="71"/>
      <c r="E29" s="71"/>
      <c r="F29" s="71"/>
      <c r="G29" s="71"/>
      <c r="H29" s="71"/>
      <c r="I29" s="71"/>
      <c r="J29" s="71"/>
      <c r="K29" s="71"/>
      <c r="L29" s="71"/>
      <c r="M29" s="71"/>
      <c r="N29" s="71"/>
      <c r="O29" s="68"/>
      <c r="P29" s="69"/>
      <c r="Q29" s="70"/>
    </row>
    <row r="30" spans="1:17" ht="6" customHeight="1" x14ac:dyDescent="0.25">
      <c r="A30" s="72"/>
      <c r="B30" s="61"/>
      <c r="C30" s="106"/>
      <c r="D30" s="71"/>
      <c r="E30" s="71"/>
      <c r="F30" s="71"/>
      <c r="G30" s="71"/>
      <c r="H30" s="71"/>
      <c r="I30" s="71"/>
      <c r="J30" s="71"/>
      <c r="K30" s="71"/>
      <c r="L30" s="71"/>
      <c r="M30" s="71"/>
      <c r="N30" s="71"/>
      <c r="O30" s="68"/>
      <c r="P30" s="69"/>
      <c r="Q30" s="70"/>
    </row>
    <row r="31" spans="1:17" ht="15" customHeight="1" x14ac:dyDescent="0.25">
      <c r="A31" s="484" t="s">
        <v>296</v>
      </c>
      <c r="B31" s="485"/>
      <c r="C31" s="485"/>
      <c r="D31" s="485"/>
      <c r="E31" s="485"/>
      <c r="F31" s="485"/>
      <c r="G31" s="485"/>
      <c r="H31" s="485"/>
      <c r="I31" s="485"/>
      <c r="J31" s="485"/>
      <c r="K31" s="485"/>
      <c r="L31" s="485"/>
      <c r="M31" s="485"/>
      <c r="N31" s="485"/>
      <c r="O31" s="485"/>
      <c r="P31" s="485"/>
      <c r="Q31" s="486"/>
    </row>
    <row r="32" spans="1:17" ht="8.25" customHeight="1" x14ac:dyDescent="0.25">
      <c r="A32" s="72"/>
      <c r="B32" s="61"/>
      <c r="C32" s="106"/>
      <c r="D32" s="71"/>
      <c r="E32" s="71"/>
      <c r="F32" s="71"/>
      <c r="G32" s="71"/>
      <c r="H32" s="71"/>
      <c r="I32" s="71"/>
      <c r="J32" s="71"/>
      <c r="K32" s="71"/>
      <c r="L32" s="71"/>
      <c r="M32" s="71"/>
      <c r="N32" s="71"/>
      <c r="O32" s="68"/>
      <c r="P32" s="69"/>
      <c r="Q32" s="70"/>
    </row>
    <row r="33" spans="1:17" ht="15" customHeight="1" x14ac:dyDescent="0.25">
      <c r="A33" s="67">
        <v>13</v>
      </c>
      <c r="B33" s="61"/>
      <c r="C33" s="106" t="s">
        <v>297</v>
      </c>
      <c r="D33" s="71"/>
      <c r="E33" s="71"/>
      <c r="F33" s="71"/>
      <c r="G33" s="71"/>
      <c r="H33" s="71"/>
      <c r="I33" s="71"/>
      <c r="J33" s="71"/>
      <c r="K33" s="71"/>
      <c r="L33" s="71"/>
      <c r="M33" s="71"/>
      <c r="N33" s="71"/>
      <c r="O33" s="68"/>
      <c r="P33" s="69"/>
      <c r="Q33" s="70"/>
    </row>
    <row r="34" spans="1:17" ht="15" customHeight="1" x14ac:dyDescent="0.25">
      <c r="A34" s="67">
        <v>14</v>
      </c>
      <c r="B34" s="61"/>
      <c r="C34" s="106" t="s">
        <v>298</v>
      </c>
      <c r="D34" s="71"/>
      <c r="E34" s="71"/>
      <c r="F34" s="71"/>
      <c r="G34" s="71"/>
      <c r="H34" s="71"/>
      <c r="I34" s="71"/>
      <c r="J34" s="71"/>
      <c r="K34" s="71"/>
      <c r="L34" s="71"/>
      <c r="M34" s="71"/>
      <c r="N34" s="71"/>
      <c r="O34" s="68"/>
      <c r="P34" s="69"/>
      <c r="Q34" s="70"/>
    </row>
    <row r="35" spans="1:17" ht="6" customHeight="1" x14ac:dyDescent="0.25">
      <c r="A35" s="72"/>
      <c r="B35" s="61"/>
      <c r="C35" s="106"/>
      <c r="D35" s="71"/>
      <c r="E35" s="71"/>
      <c r="F35" s="71"/>
      <c r="G35" s="71"/>
      <c r="H35" s="71"/>
      <c r="I35" s="71"/>
      <c r="J35" s="71"/>
      <c r="K35" s="71"/>
      <c r="L35" s="71"/>
      <c r="M35" s="71"/>
      <c r="N35" s="71"/>
      <c r="O35" s="68"/>
      <c r="P35" s="69"/>
      <c r="Q35" s="70"/>
    </row>
    <row r="36" spans="1:17" ht="15" customHeight="1" x14ac:dyDescent="0.25">
      <c r="A36" s="480" t="s">
        <v>299</v>
      </c>
      <c r="B36" s="481"/>
      <c r="C36" s="481"/>
      <c r="D36" s="481"/>
      <c r="E36" s="481"/>
      <c r="F36" s="481"/>
      <c r="G36" s="481"/>
      <c r="H36" s="481"/>
      <c r="I36" s="481"/>
      <c r="J36" s="481"/>
      <c r="K36" s="481"/>
      <c r="L36" s="481"/>
      <c r="M36" s="481"/>
      <c r="N36" s="481"/>
      <c r="O36" s="481"/>
      <c r="P36" s="481"/>
      <c r="Q36" s="482"/>
    </row>
    <row r="37" spans="1:17" ht="6" customHeight="1" x14ac:dyDescent="0.25">
      <c r="A37" s="72"/>
      <c r="B37" s="61"/>
      <c r="C37" s="71"/>
      <c r="D37" s="71"/>
      <c r="E37" s="71"/>
      <c r="F37" s="71"/>
      <c r="G37" s="71"/>
      <c r="H37" s="71"/>
      <c r="I37" s="71"/>
      <c r="J37" s="71"/>
      <c r="K37" s="71"/>
      <c r="L37" s="71"/>
      <c r="M37" s="71"/>
      <c r="N37" s="71"/>
      <c r="O37" s="68"/>
      <c r="P37" s="69"/>
      <c r="Q37" s="70"/>
    </row>
    <row r="38" spans="1:17" ht="15" customHeight="1" x14ac:dyDescent="0.25">
      <c r="A38" s="67">
        <v>15</v>
      </c>
      <c r="B38" s="61"/>
      <c r="C38" s="106" t="s">
        <v>354</v>
      </c>
      <c r="D38" s="106"/>
      <c r="E38" s="106"/>
      <c r="F38" s="106"/>
      <c r="G38" s="106"/>
      <c r="H38" s="106"/>
      <c r="I38" s="106"/>
      <c r="J38" s="106"/>
      <c r="K38" s="106"/>
      <c r="L38" s="106"/>
      <c r="M38" s="106"/>
      <c r="N38" s="105"/>
      <c r="O38" s="68"/>
      <c r="P38" s="69"/>
      <c r="Q38" s="70"/>
    </row>
    <row r="39" spans="1:17" ht="15" customHeight="1" x14ac:dyDescent="0.25">
      <c r="A39" s="67">
        <v>16</v>
      </c>
      <c r="B39" s="61"/>
      <c r="C39" s="106" t="s">
        <v>285</v>
      </c>
      <c r="D39" s="71"/>
      <c r="E39" s="71"/>
      <c r="F39" s="71"/>
      <c r="G39" s="71"/>
      <c r="H39" s="71"/>
      <c r="I39" s="71"/>
      <c r="J39" s="106"/>
      <c r="K39" s="106"/>
      <c r="L39" s="106"/>
      <c r="M39" s="106"/>
      <c r="N39" s="105"/>
      <c r="O39" s="68"/>
      <c r="P39" s="69"/>
      <c r="Q39" s="70"/>
    </row>
    <row r="40" spans="1:17" ht="15" customHeight="1" x14ac:dyDescent="0.25">
      <c r="A40" s="67">
        <v>17</v>
      </c>
      <c r="B40" s="61"/>
      <c r="C40" s="106" t="s">
        <v>355</v>
      </c>
      <c r="D40" s="106"/>
      <c r="E40" s="106"/>
      <c r="F40" s="106"/>
      <c r="G40" s="106"/>
      <c r="H40" s="106"/>
      <c r="I40" s="106"/>
      <c r="J40" s="106"/>
      <c r="K40" s="106"/>
      <c r="L40" s="106"/>
      <c r="M40" s="106"/>
      <c r="N40" s="105"/>
      <c r="O40" s="68"/>
      <c r="P40" s="69"/>
      <c r="Q40" s="70"/>
    </row>
    <row r="41" spans="1:17" ht="15" customHeight="1" x14ac:dyDescent="0.25">
      <c r="A41" s="67">
        <v>18</v>
      </c>
      <c r="B41" s="61"/>
      <c r="C41" s="106" t="s">
        <v>300</v>
      </c>
      <c r="D41" s="71"/>
      <c r="E41" s="71"/>
      <c r="F41" s="71"/>
      <c r="G41" s="71"/>
      <c r="H41" s="71"/>
      <c r="I41" s="71"/>
      <c r="J41" s="71"/>
      <c r="K41" s="71"/>
      <c r="L41" s="71"/>
      <c r="M41" s="71"/>
      <c r="N41" s="71"/>
      <c r="O41" s="68"/>
      <c r="P41" s="69"/>
      <c r="Q41" s="70"/>
    </row>
    <row r="42" spans="1:17" ht="15" customHeight="1" x14ac:dyDescent="0.25">
      <c r="A42" s="67">
        <v>19</v>
      </c>
      <c r="B42" s="61"/>
      <c r="C42" s="106" t="s">
        <v>301</v>
      </c>
      <c r="D42" s="71"/>
      <c r="E42" s="71"/>
      <c r="F42" s="71"/>
      <c r="G42" s="71"/>
      <c r="H42" s="71"/>
      <c r="I42" s="71"/>
      <c r="J42" s="106"/>
      <c r="K42" s="106"/>
      <c r="L42" s="106"/>
      <c r="M42" s="106"/>
      <c r="N42" s="105"/>
      <c r="O42" s="68"/>
      <c r="P42" s="69"/>
      <c r="Q42" s="70"/>
    </row>
    <row r="43" spans="1:17" ht="15" customHeight="1" x14ac:dyDescent="0.25">
      <c r="A43" s="67">
        <v>20</v>
      </c>
      <c r="B43" s="61"/>
      <c r="C43" s="106" t="s">
        <v>287</v>
      </c>
      <c r="D43" s="106"/>
      <c r="E43" s="106"/>
      <c r="F43" s="106"/>
      <c r="G43" s="106"/>
      <c r="H43" s="106"/>
      <c r="I43" s="106"/>
      <c r="J43" s="106"/>
      <c r="K43" s="106"/>
      <c r="L43" s="106"/>
      <c r="M43" s="106"/>
      <c r="N43" s="106"/>
      <c r="O43" s="68"/>
      <c r="P43" s="69"/>
      <c r="Q43" s="70"/>
    </row>
    <row r="44" spans="1:17" ht="15" customHeight="1" x14ac:dyDescent="0.25">
      <c r="A44" s="72"/>
      <c r="B44" s="61"/>
      <c r="C44" s="106" t="s">
        <v>288</v>
      </c>
      <c r="D44" s="71"/>
      <c r="E44" s="71"/>
      <c r="F44" s="71"/>
      <c r="G44" s="105"/>
      <c r="H44" s="487"/>
      <c r="I44" s="487"/>
      <c r="J44" s="487"/>
      <c r="K44" s="487"/>
      <c r="L44" s="487"/>
      <c r="M44" s="487"/>
      <c r="N44" s="487"/>
      <c r="O44" s="68"/>
      <c r="P44" s="69"/>
      <c r="Q44" s="70"/>
    </row>
    <row r="45" spans="1:17" ht="3.95" customHeight="1" x14ac:dyDescent="0.25">
      <c r="A45" s="72"/>
      <c r="B45" s="61"/>
      <c r="C45" s="106"/>
      <c r="D45" s="71"/>
      <c r="E45" s="71"/>
      <c r="F45" s="71"/>
      <c r="G45" s="105"/>
      <c r="H45" s="127"/>
      <c r="I45" s="127"/>
      <c r="J45" s="127"/>
      <c r="K45" s="127"/>
      <c r="L45" s="127"/>
      <c r="M45" s="127"/>
      <c r="N45" s="127"/>
      <c r="O45" s="68"/>
      <c r="P45" s="69"/>
      <c r="Q45" s="70"/>
    </row>
    <row r="46" spans="1:17" ht="15" customHeight="1" x14ac:dyDescent="0.25">
      <c r="A46" s="67">
        <v>21</v>
      </c>
      <c r="B46" s="61"/>
      <c r="C46" s="105" t="s">
        <v>289</v>
      </c>
      <c r="D46" s="71"/>
      <c r="E46" s="71"/>
      <c r="F46" s="71"/>
      <c r="G46" s="71"/>
      <c r="H46" s="71"/>
      <c r="I46" s="71"/>
      <c r="J46" s="71"/>
      <c r="K46" s="71"/>
      <c r="L46" s="71"/>
      <c r="M46" s="71"/>
      <c r="N46" s="71"/>
      <c r="O46" s="68"/>
      <c r="P46" s="69"/>
      <c r="Q46" s="70"/>
    </row>
    <row r="47" spans="1:17" ht="15" customHeight="1" x14ac:dyDescent="0.25">
      <c r="A47" s="67">
        <v>22</v>
      </c>
      <c r="B47" s="61"/>
      <c r="C47" s="106" t="s">
        <v>290</v>
      </c>
      <c r="D47" s="106"/>
      <c r="E47" s="106"/>
      <c r="F47" s="106"/>
      <c r="G47" s="106"/>
      <c r="H47" s="106"/>
      <c r="I47" s="106"/>
      <c r="J47" s="106"/>
      <c r="K47" s="106"/>
      <c r="L47" s="106"/>
      <c r="M47" s="106"/>
      <c r="N47" s="106"/>
      <c r="O47" s="68"/>
      <c r="P47" s="69"/>
      <c r="Q47" s="70"/>
    </row>
    <row r="48" spans="1:17" ht="15" customHeight="1" x14ac:dyDescent="0.25">
      <c r="A48" s="72"/>
      <c r="B48" s="61"/>
      <c r="C48" s="106" t="s">
        <v>291</v>
      </c>
      <c r="D48" s="71"/>
      <c r="E48" s="71"/>
      <c r="F48" s="71"/>
      <c r="G48" s="478"/>
      <c r="H48" s="478"/>
      <c r="I48" s="478"/>
      <c r="J48" s="478"/>
      <c r="K48" s="478"/>
      <c r="L48" s="478"/>
      <c r="M48" s="478"/>
      <c r="N48" s="478"/>
      <c r="O48" s="68"/>
      <c r="P48" s="69"/>
      <c r="Q48" s="70"/>
    </row>
    <row r="49" spans="1:17" ht="3.95" customHeight="1" x14ac:dyDescent="0.25">
      <c r="A49" s="72"/>
      <c r="B49" s="61"/>
      <c r="C49" s="106"/>
      <c r="D49" s="71"/>
      <c r="E49" s="71"/>
      <c r="F49" s="71"/>
      <c r="G49" s="479"/>
      <c r="H49" s="479"/>
      <c r="I49" s="479"/>
      <c r="J49" s="479"/>
      <c r="K49" s="479"/>
      <c r="L49" s="479"/>
      <c r="M49" s="479"/>
      <c r="N49" s="479"/>
      <c r="O49" s="68"/>
      <c r="P49" s="69"/>
      <c r="Q49" s="70"/>
    </row>
    <row r="50" spans="1:17" ht="15" customHeight="1" x14ac:dyDescent="0.25">
      <c r="A50" s="67">
        <v>23</v>
      </c>
      <c r="B50" s="61"/>
      <c r="C50" s="106" t="s">
        <v>292</v>
      </c>
      <c r="D50" s="71"/>
      <c r="E50" s="71"/>
      <c r="F50" s="71"/>
      <c r="G50" s="71"/>
      <c r="H50" s="71"/>
      <c r="I50" s="71"/>
      <c r="J50" s="71"/>
      <c r="K50" s="71"/>
      <c r="L50" s="71"/>
      <c r="M50" s="71"/>
      <c r="N50" s="71"/>
      <c r="O50" s="68"/>
      <c r="P50" s="69"/>
      <c r="Q50" s="70"/>
    </row>
    <row r="51" spans="1:17" ht="15" customHeight="1" x14ac:dyDescent="0.25">
      <c r="A51" s="67">
        <v>24</v>
      </c>
      <c r="B51" s="61"/>
      <c r="C51" s="106" t="s">
        <v>293</v>
      </c>
      <c r="D51" s="71"/>
      <c r="E51" s="71"/>
      <c r="F51" s="71"/>
      <c r="G51" s="71"/>
      <c r="H51" s="71"/>
      <c r="I51" s="71"/>
      <c r="J51" s="71"/>
      <c r="K51" s="71"/>
      <c r="L51" s="71"/>
      <c r="M51" s="71"/>
      <c r="N51" s="71"/>
      <c r="O51" s="68"/>
      <c r="P51" s="69"/>
      <c r="Q51" s="70"/>
    </row>
    <row r="52" spans="1:17" ht="15" customHeight="1" x14ac:dyDescent="0.25">
      <c r="A52" s="67">
        <v>25</v>
      </c>
      <c r="B52" s="61"/>
      <c r="C52" s="74" t="s">
        <v>302</v>
      </c>
      <c r="D52" s="71"/>
      <c r="E52" s="71"/>
      <c r="F52" s="71"/>
      <c r="G52" s="71"/>
      <c r="H52" s="71"/>
      <c r="I52" s="71"/>
      <c r="J52" s="71"/>
      <c r="K52" s="74" t="s">
        <v>303</v>
      </c>
      <c r="L52" s="71"/>
      <c r="M52" s="71"/>
      <c r="N52" s="71"/>
      <c r="Q52" s="70"/>
    </row>
    <row r="53" spans="1:17" ht="15" customHeight="1" x14ac:dyDescent="0.25">
      <c r="A53" s="67">
        <v>26</v>
      </c>
      <c r="B53" s="61"/>
      <c r="C53" s="106" t="s">
        <v>304</v>
      </c>
      <c r="D53" s="106"/>
      <c r="E53" s="106"/>
      <c r="F53" s="106"/>
      <c r="G53" s="106"/>
      <c r="H53" s="106"/>
      <c r="I53" s="106"/>
      <c r="J53" s="106"/>
      <c r="K53" s="106"/>
      <c r="L53" s="106"/>
      <c r="M53" s="106"/>
      <c r="N53" s="106"/>
      <c r="O53" s="68"/>
      <c r="P53" s="69"/>
      <c r="Q53" s="70"/>
    </row>
    <row r="54" spans="1:17" ht="15" customHeight="1" x14ac:dyDescent="0.25">
      <c r="A54" s="67">
        <v>27</v>
      </c>
      <c r="B54" s="61"/>
      <c r="C54" s="106" t="s">
        <v>305</v>
      </c>
      <c r="D54" s="106"/>
      <c r="E54" s="106"/>
      <c r="F54" s="106"/>
      <c r="G54" s="106"/>
      <c r="H54" s="106"/>
      <c r="I54" s="106"/>
      <c r="J54" s="106"/>
      <c r="K54" s="106"/>
      <c r="L54" s="106"/>
      <c r="M54" s="106"/>
      <c r="N54" s="106"/>
      <c r="O54" s="68"/>
      <c r="P54" s="69"/>
      <c r="Q54" s="70"/>
    </row>
    <row r="55" spans="1:17" ht="15" customHeight="1" x14ac:dyDescent="0.25">
      <c r="A55" s="67">
        <v>28</v>
      </c>
      <c r="B55" s="61"/>
      <c r="C55" s="106" t="s">
        <v>306</v>
      </c>
      <c r="D55" s="106"/>
      <c r="E55" s="106"/>
      <c r="F55" s="106"/>
      <c r="G55" s="106"/>
      <c r="H55" s="106"/>
      <c r="I55" s="106"/>
      <c r="J55" s="106"/>
      <c r="K55" s="106"/>
      <c r="L55" s="106"/>
      <c r="M55" s="106"/>
      <c r="N55" s="106"/>
      <c r="O55" s="68"/>
      <c r="P55" s="69"/>
      <c r="Q55" s="70"/>
    </row>
    <row r="56" spans="1:17" ht="15" customHeight="1" x14ac:dyDescent="0.25">
      <c r="A56" s="72"/>
      <c r="B56" s="61"/>
      <c r="C56" s="106" t="s">
        <v>307</v>
      </c>
      <c r="D56" s="106"/>
      <c r="E56" s="106"/>
      <c r="F56" s="106"/>
      <c r="G56" s="106"/>
      <c r="H56" s="106"/>
      <c r="I56" s="106"/>
      <c r="J56" s="106"/>
      <c r="K56" s="106"/>
      <c r="L56" s="106"/>
      <c r="M56" s="106"/>
      <c r="N56" s="106"/>
      <c r="O56" s="68"/>
      <c r="P56" s="69"/>
      <c r="Q56" s="70"/>
    </row>
    <row r="57" spans="1:17" ht="15" customHeight="1" x14ac:dyDescent="0.25">
      <c r="A57" s="67">
        <v>29</v>
      </c>
      <c r="B57" s="61"/>
      <c r="C57" s="106" t="s">
        <v>308</v>
      </c>
      <c r="D57" s="106"/>
      <c r="E57" s="106"/>
      <c r="F57" s="106"/>
      <c r="G57" s="106"/>
      <c r="H57" s="106"/>
      <c r="I57" s="106"/>
      <c r="J57" s="106"/>
      <c r="K57" s="106"/>
      <c r="L57" s="106"/>
      <c r="M57" s="106"/>
      <c r="N57" s="106"/>
      <c r="O57" s="68"/>
      <c r="P57" s="69"/>
      <c r="Q57" s="70"/>
    </row>
    <row r="58" spans="1:17" ht="15" customHeight="1" x14ac:dyDescent="0.25">
      <c r="A58" s="67">
        <v>30</v>
      </c>
      <c r="B58" s="61"/>
      <c r="C58" s="490" t="s">
        <v>321</v>
      </c>
      <c r="D58" s="490"/>
      <c r="E58" s="490"/>
      <c r="F58" s="489"/>
      <c r="G58" s="489"/>
      <c r="H58" s="106"/>
      <c r="I58" s="491" t="s">
        <v>322</v>
      </c>
      <c r="J58" s="491"/>
      <c r="K58" s="491"/>
      <c r="L58" s="491"/>
      <c r="M58" s="489"/>
      <c r="N58" s="489"/>
      <c r="O58" s="68"/>
      <c r="P58" s="69"/>
      <c r="Q58" s="70"/>
    </row>
    <row r="59" spans="1:17" ht="3.95" customHeight="1" x14ac:dyDescent="0.25">
      <c r="A59" s="75"/>
      <c r="B59" s="76"/>
      <c r="C59" s="77"/>
      <c r="D59" s="78"/>
      <c r="E59" s="78"/>
      <c r="F59" s="78"/>
      <c r="G59" s="104"/>
      <c r="H59" s="129"/>
      <c r="I59" s="129"/>
      <c r="J59" s="129"/>
      <c r="K59" s="129"/>
      <c r="L59" s="129"/>
      <c r="M59" s="129"/>
      <c r="N59" s="129"/>
      <c r="O59" s="79"/>
      <c r="P59" s="80"/>
      <c r="Q59" s="81"/>
    </row>
    <row r="60" spans="1:17" ht="12" customHeight="1" x14ac:dyDescent="0.25">
      <c r="A60" s="82" t="s">
        <v>309</v>
      </c>
      <c r="B60" s="61"/>
      <c r="C60" s="83"/>
      <c r="D60" s="61"/>
      <c r="E60" s="61"/>
      <c r="F60" s="61"/>
      <c r="G60" s="61"/>
      <c r="H60" s="61"/>
      <c r="I60" s="61"/>
      <c r="J60" s="61"/>
      <c r="K60" s="61"/>
      <c r="L60" s="61"/>
      <c r="M60" s="61"/>
      <c r="N60" s="84"/>
      <c r="O60" s="61"/>
      <c r="P60" s="85"/>
      <c r="Q60" s="85"/>
    </row>
    <row r="61" spans="1:17" ht="12.95" customHeight="1" x14ac:dyDescent="0.25">
      <c r="A61" s="82"/>
      <c r="B61" s="475"/>
      <c r="C61" s="475"/>
      <c r="D61" s="475"/>
      <c r="E61" s="475"/>
      <c r="F61" s="475"/>
      <c r="G61" s="475"/>
      <c r="H61" s="475"/>
      <c r="I61" s="475"/>
      <c r="J61" s="475"/>
      <c r="K61" s="475"/>
      <c r="L61" s="475"/>
      <c r="M61" s="475"/>
      <c r="N61" s="475"/>
      <c r="O61" s="475"/>
      <c r="P61" s="85"/>
      <c r="Q61" s="85"/>
    </row>
    <row r="62" spans="1:17" ht="12.95" customHeight="1" x14ac:dyDescent="0.25">
      <c r="A62" s="82"/>
      <c r="B62" s="475"/>
      <c r="C62" s="475"/>
      <c r="D62" s="475"/>
      <c r="E62" s="475"/>
      <c r="F62" s="475"/>
      <c r="G62" s="475"/>
      <c r="H62" s="475"/>
      <c r="I62" s="475"/>
      <c r="J62" s="475"/>
      <c r="K62" s="475"/>
      <c r="L62" s="475"/>
      <c r="M62" s="475"/>
      <c r="N62" s="475"/>
      <c r="O62" s="475"/>
      <c r="P62" s="85"/>
      <c r="Q62" s="85"/>
    </row>
    <row r="63" spans="1:17" ht="12.95" customHeight="1" x14ac:dyDescent="0.25">
      <c r="A63" s="82"/>
      <c r="B63" s="475"/>
      <c r="C63" s="475"/>
      <c r="D63" s="475"/>
      <c r="E63" s="475"/>
      <c r="F63" s="475"/>
      <c r="G63" s="475"/>
      <c r="H63" s="475"/>
      <c r="I63" s="475"/>
      <c r="J63" s="475"/>
      <c r="K63" s="475"/>
      <c r="L63" s="475"/>
      <c r="M63" s="475"/>
      <c r="N63" s="475"/>
      <c r="O63" s="475"/>
      <c r="P63" s="85"/>
      <c r="Q63" s="85"/>
    </row>
    <row r="64" spans="1:17" ht="12.95" customHeight="1" x14ac:dyDescent="0.25">
      <c r="A64" s="82"/>
      <c r="B64" s="84"/>
      <c r="C64" s="84"/>
      <c r="D64" s="84"/>
      <c r="E64" s="84"/>
      <c r="F64" s="84"/>
      <c r="G64" s="84"/>
      <c r="H64" s="84"/>
      <c r="I64" s="84"/>
      <c r="J64" s="84"/>
      <c r="K64" s="84"/>
      <c r="L64" s="84"/>
      <c r="M64" s="84"/>
      <c r="N64" s="84"/>
      <c r="O64" s="84"/>
      <c r="P64" s="85"/>
      <c r="Q64" s="85"/>
    </row>
    <row r="65" spans="1:17" ht="12" customHeight="1" x14ac:dyDescent="0.25">
      <c r="A65" s="82"/>
      <c r="B65" s="61"/>
      <c r="C65" s="452" t="str">
        <f>IF('Data Entry'!N29="","",'Data Entry'!N29)&amp;IF(OR('Data Entry'!N29="",'Data Entry'!N30=""),""," / Licence No")&amp; IF('Data Entry'!N30="","",'Data Entry'!N30)</f>
        <v>MEHMET EROĞLU</v>
      </c>
      <c r="D65" s="452"/>
      <c r="E65" s="452"/>
      <c r="F65" s="130"/>
      <c r="G65" s="452" t="str">
        <f>IF('Data Entry'!N18="","",'Data Entry'!N18)</f>
        <v/>
      </c>
      <c r="H65" s="452"/>
      <c r="I65" s="452"/>
      <c r="J65" s="130"/>
      <c r="K65" s="130"/>
      <c r="L65" s="130"/>
      <c r="M65" s="452" t="str">
        <f>IF('Data Entry'!N9="","",'Data Entry'!N9)</f>
        <v/>
      </c>
      <c r="N65" s="452"/>
      <c r="O65" s="61"/>
      <c r="P65" s="85"/>
      <c r="Q65" s="85"/>
    </row>
    <row r="66" spans="1:17" ht="12" customHeight="1" x14ac:dyDescent="0.25">
      <c r="A66" s="82"/>
      <c r="B66" s="61"/>
      <c r="C66" s="452"/>
      <c r="D66" s="452"/>
      <c r="E66" s="452"/>
      <c r="F66" s="130"/>
      <c r="G66" s="452"/>
      <c r="H66" s="452"/>
      <c r="I66" s="452"/>
      <c r="J66" s="130"/>
      <c r="K66" s="130"/>
      <c r="L66" s="130"/>
      <c r="M66" s="452"/>
      <c r="N66" s="452"/>
      <c r="O66" s="61"/>
      <c r="P66" s="85"/>
      <c r="Q66" s="85"/>
    </row>
    <row r="67" spans="1:17" ht="12" customHeight="1" x14ac:dyDescent="0.25">
      <c r="A67" s="82"/>
      <c r="B67" s="61"/>
      <c r="C67" s="453"/>
      <c r="D67" s="453"/>
      <c r="E67" s="453"/>
      <c r="F67" s="130"/>
      <c r="G67" s="453"/>
      <c r="H67" s="453"/>
      <c r="I67" s="453"/>
      <c r="J67" s="130"/>
      <c r="K67" s="130"/>
      <c r="L67" s="130"/>
      <c r="M67" s="453"/>
      <c r="N67" s="453"/>
      <c r="O67" s="61"/>
      <c r="P67" s="85"/>
      <c r="Q67" s="85"/>
    </row>
    <row r="68" spans="1:17" ht="12" customHeight="1" x14ac:dyDescent="0.25">
      <c r="A68" s="82"/>
      <c r="B68" s="61"/>
      <c r="C68" s="457" t="s">
        <v>184</v>
      </c>
      <c r="D68" s="457"/>
      <c r="E68" s="457"/>
      <c r="F68" s="86"/>
      <c r="G68" s="457" t="s">
        <v>51</v>
      </c>
      <c r="H68" s="457"/>
      <c r="I68" s="457"/>
      <c r="J68" s="86"/>
      <c r="K68" s="86"/>
      <c r="L68" s="86"/>
      <c r="M68" s="457" t="s">
        <v>17</v>
      </c>
      <c r="N68" s="457"/>
      <c r="O68" s="61"/>
      <c r="P68" s="85"/>
      <c r="Q68" s="85"/>
    </row>
    <row r="69" spans="1:17" ht="12" customHeight="1" x14ac:dyDescent="0.25">
      <c r="A69" s="454" t="s">
        <v>315</v>
      </c>
      <c r="B69" s="455"/>
      <c r="C69" s="455"/>
      <c r="D69" s="455"/>
      <c r="E69" s="455"/>
      <c r="F69" s="455"/>
      <c r="G69" s="455"/>
      <c r="H69" s="455"/>
      <c r="I69" s="456" t="str">
        <f>'Data Entry'!AK9</f>
        <v>LTS-CUS-F-01 rev 2.0</v>
      </c>
      <c r="J69" s="456"/>
      <c r="K69" s="456"/>
      <c r="L69" s="456"/>
      <c r="M69" s="456"/>
      <c r="N69" s="456"/>
      <c r="O69" s="456"/>
      <c r="P69" s="456"/>
      <c r="Q69" s="456"/>
    </row>
    <row r="70" spans="1:17" x14ac:dyDescent="0.25">
      <c r="A70" s="61"/>
      <c r="B70" s="61"/>
      <c r="C70" s="61"/>
      <c r="D70" s="61"/>
      <c r="E70" s="61"/>
      <c r="F70" s="61"/>
      <c r="G70" s="61"/>
      <c r="H70" s="61"/>
      <c r="I70" s="61"/>
      <c r="J70" s="61"/>
      <c r="K70" s="61"/>
      <c r="L70" s="61"/>
      <c r="M70" s="61"/>
      <c r="N70" s="61"/>
      <c r="O70" s="61"/>
      <c r="P70" s="61"/>
      <c r="Q70" s="59"/>
    </row>
    <row r="71" spans="1:17" x14ac:dyDescent="0.25">
      <c r="A71" s="61"/>
      <c r="B71" s="61"/>
      <c r="C71" s="61"/>
      <c r="D71" s="61"/>
      <c r="E71" s="61"/>
      <c r="F71" s="61"/>
      <c r="G71" s="61"/>
      <c r="H71" s="61"/>
      <c r="I71" s="61"/>
      <c r="J71" s="61"/>
      <c r="K71" s="61"/>
      <c r="L71" s="61"/>
      <c r="M71" s="61"/>
      <c r="N71" s="61"/>
      <c r="O71" s="61"/>
      <c r="P71" s="61"/>
      <c r="Q71" s="59"/>
    </row>
    <row r="72" spans="1:17" x14ac:dyDescent="0.25">
      <c r="A72" s="61"/>
      <c r="B72" s="61"/>
      <c r="C72" s="61"/>
      <c r="D72" s="61"/>
      <c r="E72" s="61"/>
      <c r="F72" s="61"/>
      <c r="G72" s="61"/>
      <c r="H72" s="61"/>
      <c r="I72" s="61"/>
      <c r="J72" s="61"/>
      <c r="K72" s="61"/>
      <c r="L72" s="61"/>
      <c r="M72" s="61"/>
      <c r="N72" s="61"/>
      <c r="O72" s="61"/>
      <c r="P72" s="61"/>
      <c r="Q72" s="59"/>
    </row>
    <row r="73" spans="1:17" x14ac:dyDescent="0.25">
      <c r="A73" s="61"/>
      <c r="B73" s="61"/>
      <c r="C73" s="61"/>
      <c r="D73" s="61"/>
      <c r="E73" s="61"/>
      <c r="F73" s="61"/>
      <c r="G73" s="61"/>
      <c r="H73" s="61"/>
      <c r="I73" s="61"/>
      <c r="J73" s="61"/>
      <c r="K73" s="61"/>
      <c r="L73" s="61"/>
      <c r="M73" s="61"/>
      <c r="N73" s="61"/>
      <c r="O73" s="61"/>
      <c r="P73" s="61"/>
      <c r="Q73" s="59"/>
    </row>
    <row r="74" spans="1:17" x14ac:dyDescent="0.25">
      <c r="A74" s="61"/>
      <c r="B74" s="61"/>
      <c r="C74" s="61"/>
      <c r="D74" s="61"/>
      <c r="E74" s="61"/>
      <c r="F74" s="61"/>
      <c r="G74" s="61"/>
      <c r="H74" s="61"/>
      <c r="I74" s="61"/>
      <c r="J74" s="61"/>
      <c r="K74" s="61"/>
      <c r="L74" s="61"/>
      <c r="M74" s="61"/>
      <c r="N74" s="61"/>
      <c r="O74" s="61"/>
      <c r="P74" s="61"/>
      <c r="Q74" s="59"/>
    </row>
    <row r="75" spans="1:17" x14ac:dyDescent="0.25">
      <c r="A75" s="61"/>
      <c r="B75" s="61"/>
      <c r="C75" s="61"/>
      <c r="D75" s="61"/>
      <c r="E75" s="61"/>
      <c r="F75" s="61"/>
      <c r="G75" s="61"/>
      <c r="H75" s="61"/>
      <c r="I75" s="61"/>
      <c r="J75" s="61"/>
      <c r="K75" s="61"/>
      <c r="L75" s="61"/>
      <c r="M75" s="61"/>
      <c r="N75" s="61"/>
      <c r="O75" s="61"/>
      <c r="P75" s="61"/>
      <c r="Q75" s="59"/>
    </row>
    <row r="76" spans="1:17" x14ac:dyDescent="0.25">
      <c r="A76" s="61"/>
      <c r="B76" s="61"/>
      <c r="C76" s="61"/>
      <c r="D76" s="61"/>
      <c r="E76" s="61"/>
      <c r="F76" s="61"/>
      <c r="G76" s="61"/>
      <c r="H76" s="61"/>
      <c r="I76" s="61"/>
      <c r="J76" s="61"/>
      <c r="K76" s="61"/>
      <c r="L76" s="61"/>
      <c r="M76" s="61"/>
      <c r="N76" s="61"/>
      <c r="O76" s="61"/>
      <c r="P76" s="61"/>
      <c r="Q76" s="59"/>
    </row>
    <row r="77" spans="1:17" x14ac:dyDescent="0.25">
      <c r="A77" s="61"/>
      <c r="B77" s="61"/>
      <c r="C77" s="61"/>
      <c r="D77" s="61"/>
      <c r="E77" s="61"/>
      <c r="F77" s="61"/>
      <c r="G77" s="61"/>
      <c r="H77" s="61"/>
      <c r="I77" s="61"/>
      <c r="J77" s="61"/>
      <c r="K77" s="61"/>
      <c r="L77" s="61"/>
      <c r="M77" s="61"/>
      <c r="N77" s="61"/>
      <c r="O77" s="61"/>
      <c r="P77" s="61"/>
      <c r="Q77" s="59"/>
    </row>
    <row r="78" spans="1:17" x14ac:dyDescent="0.25">
      <c r="A78" s="61"/>
      <c r="B78" s="61"/>
      <c r="C78" s="61"/>
      <c r="D78" s="61"/>
      <c r="E78" s="61"/>
      <c r="F78" s="61"/>
      <c r="G78" s="61"/>
      <c r="H78" s="61"/>
      <c r="I78" s="61"/>
      <c r="J78" s="61"/>
      <c r="K78" s="61"/>
      <c r="L78" s="61"/>
      <c r="M78" s="61"/>
      <c r="N78" s="61"/>
      <c r="O78" s="61"/>
      <c r="P78" s="61"/>
      <c r="Q78" s="59"/>
    </row>
    <row r="79" spans="1:17" x14ac:dyDescent="0.25">
      <c r="A79" s="61"/>
      <c r="B79" s="61"/>
      <c r="C79" s="61"/>
      <c r="D79" s="61"/>
      <c r="E79" s="61"/>
      <c r="F79" s="61"/>
      <c r="G79" s="61"/>
      <c r="H79" s="61"/>
      <c r="I79" s="61"/>
      <c r="J79" s="61"/>
      <c r="K79" s="61"/>
      <c r="L79" s="61"/>
      <c r="M79" s="61"/>
      <c r="N79" s="61"/>
      <c r="O79" s="61"/>
      <c r="P79" s="61"/>
      <c r="Q79" s="59"/>
    </row>
    <row r="80" spans="1:17" x14ac:dyDescent="0.25">
      <c r="A80" s="61"/>
      <c r="B80" s="61"/>
      <c r="C80" s="61"/>
      <c r="D80" s="61"/>
      <c r="E80" s="61"/>
      <c r="F80" s="61"/>
      <c r="G80" s="61"/>
      <c r="H80" s="61"/>
      <c r="I80" s="61"/>
      <c r="J80" s="61"/>
      <c r="K80" s="61"/>
      <c r="L80" s="61"/>
      <c r="M80" s="61"/>
      <c r="N80" s="61"/>
      <c r="O80" s="61"/>
      <c r="P80" s="61"/>
      <c r="Q80" s="59"/>
    </row>
    <row r="81" spans="1:17" x14ac:dyDescent="0.25">
      <c r="A81" s="61"/>
      <c r="B81" s="61"/>
      <c r="C81" s="61"/>
      <c r="D81" s="61"/>
      <c r="E81" s="61"/>
      <c r="F81" s="61"/>
      <c r="G81" s="61"/>
      <c r="H81" s="61"/>
      <c r="I81" s="61"/>
      <c r="J81" s="61"/>
      <c r="K81" s="61"/>
      <c r="L81" s="61"/>
      <c r="M81" s="61"/>
      <c r="N81" s="61"/>
      <c r="O81" s="61"/>
      <c r="P81" s="61"/>
      <c r="Q81" s="59"/>
    </row>
    <row r="82" spans="1:17" x14ac:dyDescent="0.25">
      <c r="A82" s="61"/>
      <c r="B82" s="61"/>
      <c r="C82" s="61"/>
      <c r="D82" s="61"/>
      <c r="E82" s="61"/>
      <c r="F82" s="61"/>
      <c r="G82" s="61"/>
      <c r="H82" s="61"/>
      <c r="I82" s="61"/>
      <c r="J82" s="61"/>
      <c r="K82" s="61"/>
      <c r="L82" s="61"/>
      <c r="M82" s="61"/>
      <c r="N82" s="61"/>
      <c r="O82" s="61"/>
      <c r="P82" s="61"/>
      <c r="Q82" s="59"/>
    </row>
    <row r="83" spans="1:17" x14ac:dyDescent="0.25">
      <c r="A83" s="61"/>
      <c r="B83" s="61"/>
      <c r="C83" s="61"/>
      <c r="D83" s="61"/>
      <c r="E83" s="61"/>
      <c r="F83" s="61"/>
      <c r="G83" s="61"/>
      <c r="H83" s="61"/>
      <c r="I83" s="61"/>
      <c r="J83" s="61"/>
      <c r="K83" s="61"/>
      <c r="L83" s="61"/>
      <c r="M83" s="61"/>
      <c r="N83" s="61"/>
      <c r="O83" s="61"/>
      <c r="P83" s="61"/>
      <c r="Q83" s="59"/>
    </row>
    <row r="84" spans="1:17" x14ac:dyDescent="0.25">
      <c r="A84" s="61"/>
      <c r="B84" s="61"/>
      <c r="C84" s="61"/>
      <c r="D84" s="61"/>
      <c r="E84" s="61"/>
      <c r="F84" s="61"/>
      <c r="G84" s="61"/>
      <c r="H84" s="61"/>
      <c r="I84" s="61"/>
      <c r="J84" s="61"/>
      <c r="K84" s="61"/>
      <c r="L84" s="61"/>
      <c r="M84" s="61"/>
      <c r="N84" s="61"/>
      <c r="O84" s="61"/>
      <c r="P84" s="61"/>
      <c r="Q84" s="59"/>
    </row>
    <row r="85" spans="1:17" x14ac:dyDescent="0.25">
      <c r="A85" s="74"/>
      <c r="B85" s="74"/>
      <c r="C85" s="74"/>
      <c r="D85" s="74"/>
      <c r="E85" s="74"/>
      <c r="F85" s="74"/>
      <c r="G85" s="74"/>
      <c r="H85" s="74"/>
      <c r="I85" s="74"/>
      <c r="J85" s="74"/>
      <c r="K85" s="74"/>
      <c r="L85" s="74"/>
      <c r="M85" s="74"/>
      <c r="N85" s="74"/>
      <c r="O85" s="74"/>
      <c r="P85" s="74"/>
    </row>
    <row r="86" spans="1:17" x14ac:dyDescent="0.25">
      <c r="A86" s="74"/>
      <c r="B86" s="74"/>
      <c r="C86" s="74"/>
      <c r="D86" s="74"/>
      <c r="E86" s="74"/>
      <c r="F86" s="74"/>
      <c r="G86" s="74"/>
      <c r="H86" s="74"/>
      <c r="I86" s="74"/>
      <c r="J86" s="74"/>
      <c r="K86" s="74"/>
      <c r="L86" s="74"/>
      <c r="M86" s="74"/>
      <c r="N86" s="74"/>
      <c r="O86" s="74"/>
      <c r="P86" s="74"/>
    </row>
    <row r="87" spans="1:17" x14ac:dyDescent="0.25">
      <c r="A87" s="74"/>
      <c r="B87" s="74"/>
      <c r="C87" s="74"/>
      <c r="D87" s="74"/>
      <c r="E87" s="74"/>
      <c r="F87" s="74"/>
      <c r="G87" s="74"/>
      <c r="H87" s="74"/>
      <c r="I87" s="74"/>
      <c r="J87" s="74"/>
      <c r="K87" s="74"/>
      <c r="L87" s="74"/>
      <c r="M87" s="74"/>
      <c r="N87" s="74"/>
      <c r="O87" s="74"/>
      <c r="P87" s="74"/>
    </row>
    <row r="88" spans="1:17" x14ac:dyDescent="0.25">
      <c r="A88" s="74"/>
      <c r="B88" s="74"/>
      <c r="C88" s="74"/>
      <c r="D88" s="74"/>
      <c r="E88" s="74"/>
      <c r="F88" s="74"/>
      <c r="G88" s="74"/>
      <c r="H88" s="74"/>
      <c r="I88" s="74"/>
      <c r="J88" s="74"/>
      <c r="K88" s="74"/>
      <c r="L88" s="74"/>
      <c r="M88" s="74"/>
      <c r="N88" s="74"/>
      <c r="O88" s="74"/>
      <c r="P88" s="74"/>
    </row>
    <row r="89" spans="1:17" x14ac:dyDescent="0.25">
      <c r="A89" s="74"/>
      <c r="B89" s="74"/>
      <c r="C89" s="74"/>
      <c r="D89" s="74"/>
      <c r="E89" s="74"/>
      <c r="F89" s="74"/>
      <c r="G89" s="74"/>
      <c r="H89" s="74"/>
      <c r="I89" s="74"/>
      <c r="J89" s="74"/>
      <c r="K89" s="74"/>
      <c r="L89" s="74"/>
      <c r="M89" s="74"/>
      <c r="N89" s="74"/>
      <c r="O89" s="74"/>
      <c r="P89" s="74"/>
    </row>
    <row r="90" spans="1:17" x14ac:dyDescent="0.25">
      <c r="A90" s="74"/>
      <c r="B90" s="74"/>
      <c r="C90" s="74"/>
      <c r="D90" s="74"/>
      <c r="E90" s="74"/>
      <c r="F90" s="74"/>
      <c r="G90" s="74"/>
      <c r="H90" s="74"/>
      <c r="I90" s="74"/>
      <c r="J90" s="74"/>
      <c r="K90" s="74"/>
      <c r="L90" s="74"/>
      <c r="M90" s="74"/>
      <c r="N90" s="74"/>
      <c r="O90" s="74"/>
      <c r="P90" s="74"/>
    </row>
    <row r="91" spans="1:17" x14ac:dyDescent="0.25">
      <c r="A91" s="74"/>
      <c r="B91" s="74"/>
      <c r="C91" s="74"/>
      <c r="D91" s="74"/>
      <c r="E91" s="74"/>
      <c r="F91" s="74"/>
      <c r="G91" s="74"/>
      <c r="H91" s="74"/>
      <c r="I91" s="74"/>
      <c r="J91" s="74"/>
      <c r="K91" s="74"/>
      <c r="L91" s="74"/>
      <c r="M91" s="74"/>
      <c r="N91" s="74"/>
      <c r="O91" s="74"/>
      <c r="P91" s="74"/>
    </row>
    <row r="92" spans="1:17" x14ac:dyDescent="0.25">
      <c r="A92" s="74"/>
      <c r="B92" s="74"/>
      <c r="C92" s="74"/>
      <c r="D92" s="74"/>
      <c r="E92" s="74"/>
      <c r="F92" s="74"/>
      <c r="G92" s="74"/>
      <c r="H92" s="74"/>
      <c r="I92" s="74"/>
      <c r="J92" s="74"/>
      <c r="K92" s="74"/>
      <c r="L92" s="74"/>
      <c r="M92" s="74"/>
      <c r="N92" s="74"/>
      <c r="O92" s="74"/>
      <c r="P92" s="74"/>
    </row>
    <row r="93" spans="1:17" x14ac:dyDescent="0.25">
      <c r="A93" s="74"/>
      <c r="B93" s="74"/>
      <c r="C93" s="74"/>
      <c r="D93" s="74"/>
      <c r="E93" s="74"/>
      <c r="F93" s="74"/>
      <c r="G93" s="74"/>
      <c r="H93" s="74"/>
      <c r="I93" s="74"/>
      <c r="J93" s="74"/>
      <c r="K93" s="74"/>
      <c r="L93" s="74"/>
      <c r="M93" s="74"/>
      <c r="N93" s="74"/>
      <c r="O93" s="74"/>
      <c r="P93" s="74"/>
    </row>
    <row r="94" spans="1:17" x14ac:dyDescent="0.25">
      <c r="A94" s="74"/>
      <c r="B94" s="74"/>
      <c r="C94" s="74"/>
      <c r="D94" s="74"/>
      <c r="E94" s="74"/>
      <c r="F94" s="74"/>
      <c r="G94" s="74"/>
      <c r="H94" s="74"/>
      <c r="I94" s="74"/>
      <c r="J94" s="74"/>
      <c r="K94" s="74"/>
      <c r="L94" s="74"/>
      <c r="M94" s="74"/>
      <c r="N94" s="74"/>
      <c r="O94" s="74"/>
      <c r="P94" s="74"/>
    </row>
    <row r="95" spans="1:17" x14ac:dyDescent="0.25">
      <c r="A95" s="74"/>
      <c r="B95" s="74"/>
      <c r="C95" s="74"/>
      <c r="D95" s="74"/>
      <c r="E95" s="74"/>
      <c r="F95" s="74"/>
      <c r="G95" s="74"/>
      <c r="H95" s="74"/>
      <c r="I95" s="74"/>
      <c r="J95" s="74"/>
      <c r="K95" s="74"/>
      <c r="L95" s="74"/>
      <c r="M95" s="74"/>
      <c r="N95" s="74"/>
      <c r="O95" s="74"/>
      <c r="P95" s="74"/>
    </row>
    <row r="96" spans="1:17" x14ac:dyDescent="0.25">
      <c r="A96" s="74"/>
      <c r="B96" s="74"/>
      <c r="C96" s="74"/>
      <c r="D96" s="74"/>
      <c r="E96" s="74"/>
      <c r="F96" s="74"/>
      <c r="G96" s="74"/>
      <c r="H96" s="74"/>
      <c r="I96" s="74"/>
      <c r="J96" s="74"/>
      <c r="K96" s="74"/>
      <c r="L96" s="74"/>
      <c r="M96" s="74"/>
      <c r="N96" s="74"/>
      <c r="O96" s="74"/>
      <c r="P96" s="74"/>
    </row>
    <row r="97" spans="1:16" x14ac:dyDescent="0.25">
      <c r="A97" s="74"/>
      <c r="B97" s="74"/>
      <c r="C97" s="74"/>
      <c r="D97" s="74"/>
      <c r="E97" s="74"/>
      <c r="F97" s="74"/>
      <c r="G97" s="74"/>
      <c r="H97" s="74"/>
      <c r="I97" s="74"/>
      <c r="J97" s="74"/>
      <c r="K97" s="74"/>
      <c r="L97" s="74"/>
      <c r="M97" s="74"/>
      <c r="N97" s="74"/>
      <c r="O97" s="74"/>
      <c r="P97" s="74"/>
    </row>
    <row r="98" spans="1:16" x14ac:dyDescent="0.25">
      <c r="A98" s="74"/>
      <c r="B98" s="74"/>
      <c r="C98" s="74"/>
      <c r="D98" s="74"/>
      <c r="E98" s="74"/>
      <c r="F98" s="74"/>
      <c r="G98" s="74"/>
      <c r="H98" s="74"/>
      <c r="I98" s="74"/>
      <c r="J98" s="74"/>
      <c r="K98" s="74"/>
      <c r="L98" s="74"/>
      <c r="M98" s="74"/>
      <c r="N98" s="74"/>
      <c r="O98" s="74"/>
      <c r="P98" s="74"/>
    </row>
    <row r="99" spans="1:16" x14ac:dyDescent="0.25">
      <c r="A99" s="74"/>
      <c r="B99" s="74"/>
      <c r="C99" s="74"/>
      <c r="D99" s="74"/>
      <c r="E99" s="74"/>
      <c r="F99" s="74"/>
      <c r="G99" s="74"/>
      <c r="H99" s="74"/>
      <c r="I99" s="74"/>
      <c r="J99" s="74"/>
      <c r="K99" s="74"/>
      <c r="L99" s="74"/>
      <c r="M99" s="74"/>
      <c r="N99" s="74"/>
      <c r="O99" s="74"/>
      <c r="P99" s="74"/>
    </row>
    <row r="100" spans="1:16" x14ac:dyDescent="0.25">
      <c r="A100" s="74"/>
      <c r="B100" s="74"/>
      <c r="C100" s="74"/>
      <c r="D100" s="74"/>
      <c r="E100" s="74"/>
      <c r="F100" s="74"/>
      <c r="G100" s="74"/>
      <c r="H100" s="74"/>
      <c r="I100" s="74"/>
      <c r="J100" s="74"/>
      <c r="K100" s="74"/>
      <c r="L100" s="74"/>
      <c r="M100" s="74"/>
      <c r="N100" s="74"/>
      <c r="O100" s="74"/>
      <c r="P100" s="74"/>
    </row>
    <row r="101" spans="1:16" x14ac:dyDescent="0.25">
      <c r="A101" s="74"/>
      <c r="B101" s="74"/>
      <c r="C101" s="74"/>
      <c r="D101" s="74"/>
      <c r="E101" s="74"/>
      <c r="F101" s="74"/>
      <c r="G101" s="74"/>
      <c r="H101" s="74"/>
      <c r="I101" s="74"/>
      <c r="J101" s="74"/>
      <c r="K101" s="74"/>
      <c r="L101" s="74"/>
      <c r="M101" s="74"/>
      <c r="N101" s="74"/>
      <c r="O101" s="74"/>
      <c r="P101" s="74"/>
    </row>
    <row r="102" spans="1:16" x14ac:dyDescent="0.25">
      <c r="A102" s="74"/>
      <c r="B102" s="74"/>
      <c r="C102" s="74"/>
      <c r="D102" s="74"/>
      <c r="E102" s="74"/>
      <c r="F102" s="74"/>
      <c r="G102" s="74"/>
      <c r="H102" s="74"/>
      <c r="I102" s="74"/>
      <c r="J102" s="74"/>
      <c r="K102" s="74"/>
      <c r="L102" s="74"/>
      <c r="M102" s="74"/>
      <c r="N102" s="74"/>
      <c r="O102" s="74"/>
      <c r="P102" s="74"/>
    </row>
    <row r="103" spans="1:16" x14ac:dyDescent="0.25">
      <c r="A103" s="74"/>
      <c r="B103" s="74"/>
      <c r="C103" s="74"/>
      <c r="D103" s="74"/>
      <c r="E103" s="74"/>
      <c r="F103" s="74"/>
      <c r="G103" s="74"/>
      <c r="H103" s="74"/>
      <c r="I103" s="74"/>
      <c r="J103" s="74"/>
      <c r="K103" s="74"/>
      <c r="L103" s="74"/>
      <c r="M103" s="74"/>
      <c r="N103" s="74"/>
      <c r="O103" s="74"/>
      <c r="P103" s="74"/>
    </row>
    <row r="104" spans="1:16" x14ac:dyDescent="0.25">
      <c r="A104" s="74"/>
      <c r="B104" s="74"/>
      <c r="C104" s="74"/>
      <c r="D104" s="74"/>
      <c r="E104" s="74"/>
      <c r="F104" s="74"/>
      <c r="G104" s="74"/>
      <c r="H104" s="74"/>
      <c r="I104" s="74"/>
      <c r="J104" s="74"/>
      <c r="K104" s="74"/>
      <c r="L104" s="74"/>
      <c r="M104" s="74"/>
      <c r="N104" s="74"/>
      <c r="O104" s="74"/>
      <c r="P104" s="74"/>
    </row>
    <row r="105" spans="1:16" x14ac:dyDescent="0.25">
      <c r="A105" s="74"/>
      <c r="B105" s="74"/>
      <c r="C105" s="74"/>
      <c r="D105" s="74"/>
      <c r="E105" s="74"/>
      <c r="F105" s="74"/>
      <c r="G105" s="74"/>
      <c r="H105" s="74"/>
      <c r="I105" s="74"/>
      <c r="J105" s="74"/>
      <c r="K105" s="74"/>
      <c r="L105" s="74"/>
      <c r="M105" s="74"/>
      <c r="N105" s="74"/>
      <c r="O105" s="74"/>
      <c r="P105" s="74"/>
    </row>
    <row r="106" spans="1:16" x14ac:dyDescent="0.25">
      <c r="A106" s="74"/>
      <c r="B106" s="74"/>
      <c r="C106" s="74"/>
      <c r="D106" s="74"/>
      <c r="E106" s="74"/>
      <c r="F106" s="74"/>
      <c r="G106" s="74"/>
      <c r="H106" s="74"/>
      <c r="I106" s="74"/>
      <c r="J106" s="74"/>
      <c r="K106" s="74"/>
      <c r="L106" s="74"/>
      <c r="M106" s="74"/>
      <c r="N106" s="74"/>
      <c r="O106" s="74"/>
      <c r="P106" s="74"/>
    </row>
    <row r="107" spans="1:16" x14ac:dyDescent="0.25">
      <c r="A107" s="74"/>
      <c r="B107" s="74"/>
      <c r="C107" s="74"/>
      <c r="D107" s="74"/>
      <c r="E107" s="74"/>
      <c r="F107" s="74"/>
      <c r="G107" s="74"/>
      <c r="H107" s="74"/>
      <c r="I107" s="74"/>
      <c r="J107" s="74"/>
      <c r="K107" s="74"/>
      <c r="L107" s="74"/>
      <c r="M107" s="74"/>
      <c r="N107" s="74"/>
      <c r="O107" s="74"/>
      <c r="P107" s="74"/>
    </row>
    <row r="108" spans="1:16" x14ac:dyDescent="0.25">
      <c r="A108" s="74"/>
      <c r="B108" s="74"/>
      <c r="C108" s="74"/>
      <c r="D108" s="74"/>
      <c r="E108" s="74"/>
      <c r="F108" s="74"/>
      <c r="G108" s="74"/>
      <c r="H108" s="74"/>
      <c r="I108" s="74"/>
      <c r="J108" s="74"/>
      <c r="K108" s="74"/>
      <c r="L108" s="74"/>
      <c r="M108" s="74"/>
      <c r="N108" s="74"/>
      <c r="O108" s="74"/>
      <c r="P108" s="74"/>
    </row>
    <row r="109" spans="1:16" x14ac:dyDescent="0.25">
      <c r="A109" s="74"/>
      <c r="B109" s="74"/>
      <c r="C109" s="74"/>
      <c r="D109" s="74"/>
      <c r="E109" s="74"/>
      <c r="F109" s="74"/>
      <c r="G109" s="74"/>
      <c r="H109" s="74"/>
      <c r="I109" s="74"/>
      <c r="J109" s="74"/>
      <c r="K109" s="74"/>
      <c r="L109" s="74"/>
      <c r="M109" s="74"/>
      <c r="N109" s="74"/>
      <c r="O109" s="74"/>
      <c r="P109" s="74"/>
    </row>
    <row r="110" spans="1:16" x14ac:dyDescent="0.25">
      <c r="A110" s="74"/>
      <c r="B110" s="74"/>
      <c r="C110" s="74"/>
      <c r="D110" s="74"/>
      <c r="E110" s="74"/>
      <c r="F110" s="74"/>
      <c r="G110" s="74"/>
      <c r="H110" s="74"/>
      <c r="I110" s="74"/>
      <c r="J110" s="74"/>
      <c r="K110" s="74"/>
      <c r="L110" s="74"/>
      <c r="M110" s="74"/>
      <c r="N110" s="74"/>
      <c r="O110" s="74"/>
      <c r="P110" s="74"/>
    </row>
    <row r="111" spans="1:16" x14ac:dyDescent="0.25">
      <c r="A111" s="74"/>
      <c r="B111" s="74"/>
      <c r="C111" s="74"/>
      <c r="D111" s="74"/>
      <c r="E111" s="74"/>
      <c r="F111" s="74"/>
      <c r="G111" s="74"/>
      <c r="H111" s="74"/>
      <c r="I111" s="74"/>
      <c r="J111" s="74"/>
      <c r="K111" s="74"/>
      <c r="L111" s="74"/>
      <c r="M111" s="74"/>
      <c r="N111" s="74"/>
      <c r="O111" s="74"/>
      <c r="P111" s="74"/>
    </row>
    <row r="112" spans="1:16" x14ac:dyDescent="0.25">
      <c r="A112" s="74"/>
      <c r="B112" s="74"/>
      <c r="C112" s="74"/>
      <c r="D112" s="74"/>
      <c r="E112" s="74"/>
      <c r="F112" s="74"/>
      <c r="G112" s="74"/>
      <c r="H112" s="74"/>
      <c r="I112" s="74"/>
      <c r="J112" s="74"/>
      <c r="K112" s="74"/>
      <c r="L112" s="74"/>
      <c r="M112" s="74"/>
      <c r="N112" s="74"/>
      <c r="O112" s="74"/>
      <c r="P112" s="74"/>
    </row>
    <row r="113" spans="1:16" x14ac:dyDescent="0.25">
      <c r="A113" s="74"/>
      <c r="B113" s="74"/>
      <c r="C113" s="74"/>
      <c r="D113" s="74"/>
      <c r="E113" s="74"/>
      <c r="F113" s="74"/>
      <c r="G113" s="74"/>
      <c r="H113" s="74"/>
      <c r="I113" s="74"/>
      <c r="J113" s="74"/>
      <c r="K113" s="74"/>
      <c r="L113" s="74"/>
      <c r="M113" s="74"/>
      <c r="N113" s="74"/>
      <c r="O113" s="74"/>
      <c r="P113" s="74"/>
    </row>
    <row r="114" spans="1:16" x14ac:dyDescent="0.25">
      <c r="A114" s="74"/>
      <c r="B114" s="74"/>
      <c r="C114" s="74"/>
      <c r="D114" s="74"/>
      <c r="E114" s="74"/>
      <c r="F114" s="74"/>
      <c r="G114" s="74"/>
      <c r="H114" s="74"/>
      <c r="I114" s="74"/>
      <c r="J114" s="74"/>
      <c r="K114" s="74"/>
      <c r="L114" s="74"/>
      <c r="M114" s="74"/>
      <c r="N114" s="74"/>
      <c r="O114" s="74"/>
      <c r="P114" s="74"/>
    </row>
    <row r="115" spans="1:16" x14ac:dyDescent="0.25">
      <c r="A115" s="74"/>
      <c r="B115" s="74"/>
      <c r="C115" s="74"/>
      <c r="D115" s="74"/>
      <c r="E115" s="74"/>
      <c r="F115" s="74"/>
      <c r="G115" s="74"/>
      <c r="H115" s="74"/>
      <c r="I115" s="74"/>
      <c r="J115" s="74"/>
      <c r="K115" s="74"/>
      <c r="L115" s="74"/>
      <c r="M115" s="74"/>
      <c r="N115" s="74"/>
      <c r="O115" s="74"/>
      <c r="P115" s="74"/>
    </row>
    <row r="116" spans="1:16" x14ac:dyDescent="0.25">
      <c r="A116" s="74"/>
      <c r="B116" s="74"/>
      <c r="C116" s="74"/>
      <c r="D116" s="74"/>
      <c r="E116" s="74"/>
      <c r="F116" s="74"/>
      <c r="G116" s="74"/>
      <c r="H116" s="74"/>
      <c r="I116" s="74"/>
      <c r="J116" s="74"/>
      <c r="K116" s="74"/>
      <c r="L116" s="74"/>
      <c r="M116" s="74"/>
      <c r="N116" s="74"/>
      <c r="O116" s="74"/>
      <c r="P116" s="74"/>
    </row>
    <row r="117" spans="1:16" x14ac:dyDescent="0.25">
      <c r="A117" s="74"/>
      <c r="B117" s="74"/>
      <c r="C117" s="74"/>
      <c r="D117" s="74"/>
      <c r="E117" s="74"/>
      <c r="F117" s="74"/>
      <c r="G117" s="74"/>
      <c r="H117" s="74"/>
      <c r="I117" s="74"/>
      <c r="J117" s="74"/>
      <c r="K117" s="74"/>
      <c r="L117" s="74"/>
      <c r="M117" s="74"/>
      <c r="N117" s="74"/>
      <c r="O117" s="74"/>
      <c r="P117" s="74"/>
    </row>
    <row r="118" spans="1:16" x14ac:dyDescent="0.25">
      <c r="A118" s="74"/>
      <c r="B118" s="74"/>
      <c r="C118" s="74"/>
      <c r="D118" s="74"/>
      <c r="E118" s="74"/>
      <c r="F118" s="74"/>
      <c r="G118" s="74"/>
      <c r="H118" s="74"/>
      <c r="I118" s="74"/>
      <c r="J118" s="74"/>
      <c r="K118" s="74"/>
      <c r="L118" s="74"/>
      <c r="M118" s="74"/>
      <c r="N118" s="74"/>
      <c r="O118" s="74"/>
      <c r="P118" s="74"/>
    </row>
    <row r="119" spans="1:16" x14ac:dyDescent="0.25">
      <c r="A119" s="74"/>
      <c r="B119" s="74"/>
      <c r="C119" s="74"/>
      <c r="D119" s="74"/>
      <c r="E119" s="74"/>
      <c r="F119" s="74"/>
      <c r="G119" s="74"/>
      <c r="H119" s="74"/>
      <c r="I119" s="74"/>
      <c r="J119" s="74"/>
      <c r="K119" s="74"/>
      <c r="L119" s="74"/>
      <c r="M119" s="74"/>
      <c r="N119" s="74"/>
      <c r="O119" s="74"/>
      <c r="P119" s="74"/>
    </row>
    <row r="120" spans="1:16" x14ac:dyDescent="0.25">
      <c r="A120" s="74"/>
      <c r="B120" s="74"/>
      <c r="C120" s="74"/>
      <c r="D120" s="74"/>
      <c r="E120" s="74"/>
      <c r="F120" s="74"/>
      <c r="G120" s="74"/>
      <c r="H120" s="74"/>
      <c r="I120" s="74"/>
      <c r="J120" s="74"/>
      <c r="K120" s="74"/>
      <c r="L120" s="74"/>
      <c r="M120" s="74"/>
      <c r="N120" s="74"/>
      <c r="O120" s="74"/>
      <c r="P120" s="74"/>
    </row>
    <row r="121" spans="1:16" x14ac:dyDescent="0.25">
      <c r="A121" s="74"/>
      <c r="B121" s="74"/>
      <c r="C121" s="74"/>
      <c r="D121" s="74"/>
      <c r="E121" s="74"/>
      <c r="F121" s="74"/>
      <c r="G121" s="74"/>
      <c r="H121" s="74"/>
      <c r="I121" s="74"/>
      <c r="J121" s="74"/>
      <c r="K121" s="74"/>
      <c r="L121" s="74"/>
      <c r="M121" s="74"/>
      <c r="N121" s="74"/>
      <c r="O121" s="74"/>
      <c r="P121" s="74"/>
    </row>
    <row r="122" spans="1:16" x14ac:dyDescent="0.25">
      <c r="A122" s="74"/>
      <c r="B122" s="74"/>
      <c r="C122" s="74"/>
      <c r="D122" s="74"/>
      <c r="E122" s="74"/>
      <c r="F122" s="74"/>
      <c r="G122" s="74"/>
      <c r="H122" s="74"/>
      <c r="I122" s="74"/>
      <c r="J122" s="74"/>
      <c r="K122" s="74"/>
      <c r="L122" s="74"/>
      <c r="M122" s="74"/>
      <c r="N122" s="74"/>
      <c r="O122" s="74"/>
      <c r="P122" s="74"/>
    </row>
    <row r="123" spans="1:16" x14ac:dyDescent="0.25">
      <c r="A123" s="74"/>
      <c r="B123" s="74"/>
      <c r="C123" s="74"/>
      <c r="D123" s="74"/>
      <c r="E123" s="74"/>
      <c r="F123" s="74"/>
      <c r="G123" s="74"/>
      <c r="H123" s="74"/>
      <c r="I123" s="74"/>
      <c r="J123" s="74"/>
      <c r="K123" s="74"/>
      <c r="L123" s="74"/>
      <c r="M123" s="74"/>
      <c r="N123" s="74"/>
      <c r="O123" s="74"/>
      <c r="P123" s="74"/>
    </row>
    <row r="124" spans="1:16" x14ac:dyDescent="0.25">
      <c r="A124" s="74"/>
      <c r="B124" s="74"/>
      <c r="C124" s="74"/>
      <c r="D124" s="74"/>
      <c r="E124" s="74"/>
      <c r="F124" s="74"/>
      <c r="G124" s="74"/>
      <c r="H124" s="74"/>
      <c r="I124" s="74"/>
      <c r="J124" s="74"/>
      <c r="K124" s="74"/>
      <c r="L124" s="74"/>
      <c r="M124" s="74"/>
      <c r="N124" s="74"/>
      <c r="O124" s="74"/>
      <c r="P124" s="74"/>
    </row>
    <row r="125" spans="1:16" x14ac:dyDescent="0.25">
      <c r="A125" s="74"/>
      <c r="B125" s="74"/>
      <c r="C125" s="74"/>
      <c r="D125" s="74"/>
      <c r="E125" s="74"/>
      <c r="F125" s="74"/>
      <c r="G125" s="74"/>
      <c r="H125" s="74"/>
      <c r="I125" s="74"/>
      <c r="J125" s="74"/>
      <c r="K125" s="74"/>
      <c r="L125" s="74"/>
      <c r="M125" s="74"/>
      <c r="N125" s="74"/>
      <c r="O125" s="74"/>
      <c r="P125" s="74"/>
    </row>
    <row r="126" spans="1:16" x14ac:dyDescent="0.25">
      <c r="A126" s="74"/>
      <c r="B126" s="74"/>
      <c r="C126" s="74"/>
      <c r="D126" s="74"/>
      <c r="E126" s="74"/>
      <c r="F126" s="74"/>
      <c r="G126" s="74"/>
      <c r="H126" s="74"/>
      <c r="I126" s="74"/>
      <c r="J126" s="74"/>
      <c r="K126" s="74"/>
      <c r="L126" s="74"/>
      <c r="M126" s="74"/>
      <c r="N126" s="74"/>
      <c r="O126" s="74"/>
      <c r="P126" s="74"/>
    </row>
    <row r="127" spans="1:16" x14ac:dyDescent="0.25">
      <c r="A127" s="74"/>
      <c r="B127" s="74"/>
      <c r="C127" s="74"/>
      <c r="D127" s="74"/>
      <c r="E127" s="74"/>
      <c r="F127" s="74"/>
      <c r="G127" s="74"/>
      <c r="H127" s="74"/>
      <c r="I127" s="74"/>
      <c r="J127" s="74"/>
      <c r="K127" s="74"/>
      <c r="L127" s="74"/>
      <c r="M127" s="74"/>
      <c r="N127" s="74"/>
      <c r="O127" s="74"/>
      <c r="P127" s="74"/>
    </row>
    <row r="128" spans="1:16" x14ac:dyDescent="0.25">
      <c r="A128" s="74"/>
      <c r="B128" s="74"/>
      <c r="C128" s="74"/>
      <c r="D128" s="74"/>
      <c r="E128" s="74"/>
      <c r="F128" s="74"/>
      <c r="G128" s="74"/>
      <c r="H128" s="74"/>
      <c r="I128" s="74"/>
      <c r="J128" s="74"/>
      <c r="K128" s="74"/>
      <c r="L128" s="74"/>
      <c r="M128" s="74"/>
      <c r="N128" s="74"/>
      <c r="O128" s="74"/>
      <c r="P128" s="74"/>
    </row>
    <row r="129" spans="1:16" x14ac:dyDescent="0.25">
      <c r="A129" s="74"/>
      <c r="B129" s="74"/>
      <c r="C129" s="74"/>
      <c r="D129" s="74"/>
      <c r="E129" s="74"/>
      <c r="F129" s="74"/>
      <c r="G129" s="74"/>
      <c r="H129" s="74"/>
      <c r="I129" s="74"/>
      <c r="J129" s="74"/>
      <c r="K129" s="74"/>
      <c r="L129" s="74"/>
      <c r="M129" s="74"/>
      <c r="N129" s="74"/>
      <c r="O129" s="74"/>
      <c r="P129" s="74"/>
    </row>
    <row r="130" spans="1:16" x14ac:dyDescent="0.25">
      <c r="A130" s="74"/>
      <c r="B130" s="74"/>
      <c r="C130" s="74"/>
      <c r="D130" s="74"/>
      <c r="E130" s="74"/>
      <c r="F130" s="74"/>
      <c r="G130" s="74"/>
      <c r="H130" s="74"/>
      <c r="I130" s="74"/>
      <c r="J130" s="74"/>
      <c r="K130" s="74"/>
      <c r="L130" s="74"/>
      <c r="M130" s="74"/>
      <c r="N130" s="74"/>
      <c r="O130" s="74"/>
      <c r="P130" s="74"/>
    </row>
    <row r="131" spans="1:16" x14ac:dyDescent="0.25">
      <c r="A131" s="74"/>
      <c r="B131" s="74"/>
      <c r="C131" s="74"/>
      <c r="D131" s="74"/>
      <c r="E131" s="74"/>
      <c r="F131" s="74"/>
      <c r="G131" s="74"/>
      <c r="H131" s="74"/>
      <c r="I131" s="74"/>
      <c r="J131" s="74"/>
      <c r="K131" s="74"/>
      <c r="L131" s="74"/>
      <c r="M131" s="74"/>
      <c r="N131" s="74"/>
      <c r="O131" s="74"/>
      <c r="P131" s="74"/>
    </row>
    <row r="132" spans="1:16" x14ac:dyDescent="0.25">
      <c r="A132" s="74"/>
      <c r="B132" s="74"/>
      <c r="C132" s="74"/>
      <c r="D132" s="74"/>
      <c r="E132" s="74"/>
      <c r="F132" s="74"/>
      <c r="G132" s="74"/>
      <c r="H132" s="74"/>
      <c r="I132" s="74"/>
      <c r="J132" s="74"/>
      <c r="K132" s="74"/>
      <c r="L132" s="74"/>
      <c r="M132" s="74"/>
      <c r="N132" s="74"/>
      <c r="O132" s="74"/>
      <c r="P132" s="74"/>
    </row>
    <row r="133" spans="1:16" x14ac:dyDescent="0.25">
      <c r="A133" s="74"/>
      <c r="B133" s="74"/>
      <c r="C133" s="74"/>
      <c r="D133" s="74"/>
      <c r="E133" s="74"/>
      <c r="F133" s="74"/>
      <c r="G133" s="74"/>
      <c r="H133" s="74"/>
      <c r="I133" s="74"/>
      <c r="J133" s="74"/>
      <c r="K133" s="74"/>
      <c r="L133" s="74"/>
      <c r="M133" s="74"/>
      <c r="N133" s="74"/>
      <c r="O133" s="74"/>
      <c r="P133" s="74"/>
    </row>
    <row r="134" spans="1:16" x14ac:dyDescent="0.25">
      <c r="A134" s="74"/>
      <c r="B134" s="74"/>
      <c r="C134" s="74"/>
      <c r="D134" s="74"/>
      <c r="E134" s="74"/>
      <c r="F134" s="74"/>
      <c r="G134" s="74"/>
      <c r="H134" s="74"/>
      <c r="I134" s="74"/>
      <c r="J134" s="74"/>
      <c r="K134" s="74"/>
      <c r="L134" s="74"/>
      <c r="M134" s="74"/>
      <c r="N134" s="74"/>
      <c r="O134" s="74"/>
      <c r="P134" s="74"/>
    </row>
    <row r="135" spans="1:16" x14ac:dyDescent="0.25">
      <c r="A135" s="74"/>
      <c r="B135" s="74"/>
      <c r="C135" s="74"/>
      <c r="D135" s="74"/>
      <c r="E135" s="74"/>
      <c r="F135" s="74"/>
      <c r="G135" s="74"/>
      <c r="H135" s="74"/>
      <c r="I135" s="74"/>
      <c r="J135" s="74"/>
      <c r="K135" s="74"/>
      <c r="L135" s="74"/>
      <c r="M135" s="74"/>
      <c r="N135" s="74"/>
      <c r="O135" s="74"/>
      <c r="P135" s="74"/>
    </row>
    <row r="136" spans="1:16" x14ac:dyDescent="0.25">
      <c r="A136" s="74"/>
      <c r="B136" s="74"/>
      <c r="C136" s="74"/>
      <c r="D136" s="74"/>
      <c r="E136" s="74"/>
      <c r="F136" s="74"/>
      <c r="G136" s="74"/>
      <c r="H136" s="74"/>
      <c r="I136" s="74"/>
      <c r="J136" s="74"/>
      <c r="K136" s="74"/>
      <c r="L136" s="74"/>
      <c r="M136" s="74"/>
      <c r="N136" s="74"/>
      <c r="O136" s="74"/>
      <c r="P136" s="74"/>
    </row>
    <row r="137" spans="1:16" x14ac:dyDescent="0.25">
      <c r="A137" s="74"/>
      <c r="B137" s="74"/>
      <c r="C137" s="74"/>
      <c r="D137" s="74"/>
      <c r="E137" s="74"/>
      <c r="F137" s="74"/>
      <c r="G137" s="74"/>
      <c r="H137" s="74"/>
      <c r="I137" s="74"/>
      <c r="J137" s="74"/>
      <c r="K137" s="74"/>
      <c r="L137" s="74"/>
      <c r="M137" s="74"/>
      <c r="N137" s="74"/>
      <c r="O137" s="74"/>
      <c r="P137" s="74"/>
    </row>
    <row r="138" spans="1:16" x14ac:dyDescent="0.25">
      <c r="A138" s="74"/>
      <c r="B138" s="74"/>
      <c r="C138" s="74"/>
      <c r="D138" s="74"/>
      <c r="E138" s="74"/>
      <c r="F138" s="74"/>
      <c r="G138" s="74"/>
      <c r="H138" s="74"/>
      <c r="I138" s="74"/>
      <c r="J138" s="74"/>
      <c r="K138" s="74"/>
      <c r="L138" s="74"/>
      <c r="M138" s="74"/>
      <c r="N138" s="74"/>
      <c r="O138" s="74"/>
      <c r="P138" s="74"/>
    </row>
    <row r="139" spans="1:16" x14ac:dyDescent="0.25">
      <c r="A139" s="74"/>
      <c r="B139" s="74"/>
      <c r="C139" s="74"/>
      <c r="D139" s="74"/>
      <c r="E139" s="74"/>
      <c r="F139" s="74"/>
      <c r="G139" s="74"/>
      <c r="H139" s="74"/>
      <c r="I139" s="74"/>
      <c r="J139" s="74"/>
      <c r="K139" s="74"/>
      <c r="L139" s="74"/>
      <c r="M139" s="74"/>
      <c r="N139" s="74"/>
      <c r="O139" s="74"/>
      <c r="P139" s="74"/>
    </row>
    <row r="140" spans="1:16" x14ac:dyDescent="0.25">
      <c r="A140" s="74"/>
      <c r="B140" s="74"/>
      <c r="C140" s="74"/>
      <c r="D140" s="74"/>
      <c r="E140" s="74"/>
      <c r="F140" s="74"/>
      <c r="G140" s="74"/>
      <c r="H140" s="74"/>
      <c r="I140" s="74"/>
      <c r="J140" s="74"/>
      <c r="K140" s="74"/>
      <c r="L140" s="74"/>
      <c r="M140" s="74"/>
      <c r="N140" s="74"/>
      <c r="O140" s="74"/>
      <c r="P140" s="74"/>
    </row>
    <row r="141" spans="1:16" x14ac:dyDescent="0.25">
      <c r="A141" s="74"/>
      <c r="B141" s="74"/>
      <c r="C141" s="74"/>
      <c r="D141" s="74"/>
      <c r="E141" s="74"/>
      <c r="F141" s="74"/>
      <c r="G141" s="74"/>
      <c r="H141" s="74"/>
      <c r="I141" s="74"/>
      <c r="J141" s="74"/>
      <c r="K141" s="74"/>
      <c r="L141" s="74"/>
      <c r="M141" s="74"/>
      <c r="N141" s="74"/>
      <c r="O141" s="74"/>
      <c r="P141" s="74"/>
    </row>
    <row r="142" spans="1:16" x14ac:dyDescent="0.25">
      <c r="A142" s="74"/>
      <c r="B142" s="74"/>
      <c r="C142" s="74"/>
      <c r="D142" s="74"/>
      <c r="E142" s="74"/>
      <c r="F142" s="74"/>
      <c r="G142" s="74"/>
      <c r="H142" s="74"/>
      <c r="I142" s="74"/>
      <c r="J142" s="74"/>
      <c r="K142" s="74"/>
      <c r="L142" s="74"/>
      <c r="M142" s="74"/>
      <c r="N142" s="74"/>
      <c r="O142" s="74"/>
      <c r="P142" s="74"/>
    </row>
    <row r="143" spans="1:16" x14ac:dyDescent="0.25">
      <c r="A143" s="74"/>
      <c r="B143" s="74"/>
      <c r="C143" s="74"/>
      <c r="D143" s="74"/>
      <c r="E143" s="74"/>
      <c r="F143" s="74"/>
      <c r="G143" s="74"/>
      <c r="H143" s="74"/>
      <c r="I143" s="74"/>
      <c r="J143" s="74"/>
      <c r="K143" s="74"/>
      <c r="L143" s="74"/>
      <c r="M143" s="74"/>
      <c r="N143" s="74"/>
      <c r="O143" s="74"/>
      <c r="P143" s="74"/>
    </row>
    <row r="144" spans="1:16" x14ac:dyDescent="0.25">
      <c r="A144" s="74"/>
      <c r="B144" s="74"/>
      <c r="C144" s="74"/>
      <c r="D144" s="74"/>
      <c r="E144" s="74"/>
      <c r="F144" s="74"/>
      <c r="G144" s="74"/>
      <c r="H144" s="74"/>
      <c r="I144" s="74"/>
      <c r="J144" s="74"/>
      <c r="K144" s="74"/>
      <c r="L144" s="74"/>
      <c r="M144" s="74"/>
      <c r="N144" s="74"/>
      <c r="O144" s="74"/>
      <c r="P144" s="74"/>
    </row>
    <row r="145" spans="1:16" x14ac:dyDescent="0.25">
      <c r="A145" s="74"/>
      <c r="B145" s="74"/>
      <c r="C145" s="74"/>
      <c r="D145" s="74"/>
      <c r="E145" s="74"/>
      <c r="F145" s="74"/>
      <c r="G145" s="74"/>
      <c r="H145" s="74"/>
      <c r="I145" s="74"/>
      <c r="J145" s="74"/>
      <c r="K145" s="74"/>
      <c r="L145" s="74"/>
      <c r="M145" s="74"/>
      <c r="N145" s="74"/>
      <c r="O145" s="74"/>
      <c r="P145" s="74"/>
    </row>
    <row r="146" spans="1:16" x14ac:dyDescent="0.25">
      <c r="A146" s="74"/>
      <c r="B146" s="74"/>
      <c r="C146" s="74"/>
      <c r="D146" s="74"/>
      <c r="E146" s="74"/>
      <c r="F146" s="74"/>
      <c r="G146" s="74"/>
      <c r="H146" s="74"/>
      <c r="I146" s="74"/>
      <c r="J146" s="74"/>
      <c r="K146" s="74"/>
      <c r="L146" s="74"/>
      <c r="M146" s="74"/>
      <c r="N146" s="74"/>
      <c r="O146" s="74"/>
      <c r="P146" s="74"/>
    </row>
    <row r="147" spans="1:16" x14ac:dyDescent="0.25">
      <c r="A147" s="74"/>
      <c r="B147" s="74"/>
      <c r="C147" s="74"/>
      <c r="D147" s="74"/>
      <c r="E147" s="74"/>
      <c r="F147" s="74"/>
      <c r="G147" s="74"/>
      <c r="H147" s="74"/>
      <c r="I147" s="74"/>
      <c r="J147" s="74"/>
      <c r="K147" s="74"/>
      <c r="L147" s="74"/>
      <c r="M147" s="74"/>
      <c r="N147" s="74"/>
      <c r="O147" s="74"/>
      <c r="P147" s="74"/>
    </row>
    <row r="148" spans="1:16" x14ac:dyDescent="0.25">
      <c r="A148" s="74"/>
      <c r="B148" s="74"/>
      <c r="C148" s="74"/>
      <c r="D148" s="74"/>
      <c r="E148" s="74"/>
      <c r="F148" s="74"/>
      <c r="G148" s="74"/>
      <c r="H148" s="74"/>
      <c r="I148" s="74"/>
      <c r="J148" s="74"/>
      <c r="K148" s="74"/>
      <c r="L148" s="74"/>
      <c r="M148" s="74"/>
      <c r="N148" s="74"/>
      <c r="O148" s="74"/>
      <c r="P148" s="74"/>
    </row>
    <row r="149" spans="1:16" x14ac:dyDescent="0.25">
      <c r="A149" s="74"/>
      <c r="B149" s="74"/>
      <c r="C149" s="74"/>
      <c r="D149" s="74"/>
      <c r="E149" s="74"/>
      <c r="F149" s="74"/>
      <c r="G149" s="74"/>
      <c r="H149" s="74"/>
      <c r="I149" s="74"/>
      <c r="J149" s="74"/>
      <c r="K149" s="74"/>
      <c r="L149" s="74"/>
      <c r="M149" s="74"/>
      <c r="N149" s="74"/>
      <c r="O149" s="74"/>
      <c r="P149" s="74"/>
    </row>
    <row r="150" spans="1:16" x14ac:dyDescent="0.25">
      <c r="A150" s="74"/>
      <c r="B150" s="74"/>
      <c r="C150" s="74"/>
      <c r="D150" s="74"/>
      <c r="E150" s="74"/>
      <c r="F150" s="74"/>
      <c r="G150" s="74"/>
      <c r="H150" s="74"/>
      <c r="I150" s="74"/>
      <c r="J150" s="74"/>
      <c r="K150" s="74"/>
      <c r="L150" s="74"/>
      <c r="M150" s="74"/>
      <c r="N150" s="74"/>
      <c r="O150" s="74"/>
      <c r="P150" s="74"/>
    </row>
  </sheetData>
  <mergeCells count="51">
    <mergeCell ref="C58:E58"/>
    <mergeCell ref="F58:G58"/>
    <mergeCell ref="I58:L58"/>
    <mergeCell ref="M58:N58"/>
    <mergeCell ref="A69:H69"/>
    <mergeCell ref="I69:Q69"/>
    <mergeCell ref="B61:O61"/>
    <mergeCell ref="B62:O62"/>
    <mergeCell ref="B63:O63"/>
    <mergeCell ref="C65:E67"/>
    <mergeCell ref="G65:I67"/>
    <mergeCell ref="M65:N67"/>
    <mergeCell ref="C68:E68"/>
    <mergeCell ref="G68:I68"/>
    <mergeCell ref="M68:N68"/>
    <mergeCell ref="A31:Q31"/>
    <mergeCell ref="A36:Q36"/>
    <mergeCell ref="H44:N44"/>
    <mergeCell ref="G48:N48"/>
    <mergeCell ref="G49:N49"/>
    <mergeCell ref="A21:C21"/>
    <mergeCell ref="E21:F21"/>
    <mergeCell ref="G21:J21"/>
    <mergeCell ref="K21:N21"/>
    <mergeCell ref="G24:N24"/>
    <mergeCell ref="H17:N17"/>
    <mergeCell ref="E19:F19"/>
    <mergeCell ref="G19:J19"/>
    <mergeCell ref="K19:N19"/>
    <mergeCell ref="A20:C20"/>
    <mergeCell ref="E20:F20"/>
    <mergeCell ref="G20:J20"/>
    <mergeCell ref="K20:N20"/>
    <mergeCell ref="A7:C7"/>
    <mergeCell ref="E7:G7"/>
    <mergeCell ref="I7:J7"/>
    <mergeCell ref="L7:P7"/>
    <mergeCell ref="A10:Q10"/>
    <mergeCell ref="A5:C5"/>
    <mergeCell ref="E5:G5"/>
    <mergeCell ref="I5:J5"/>
    <mergeCell ref="L5:P5"/>
    <mergeCell ref="A6:C6"/>
    <mergeCell ref="E6:G6"/>
    <mergeCell ref="L6:P6"/>
    <mergeCell ref="A1:C1"/>
    <mergeCell ref="A2:P2"/>
    <mergeCell ref="A4:C4"/>
    <mergeCell ref="E4:G4"/>
    <mergeCell ref="I4:J4"/>
    <mergeCell ref="L4:P4"/>
  </mergeCells>
  <conditionalFormatting sqref="E4:E7 L5:L6 E20">
    <cfRule type="containsBlanks" dxfId="57" priority="5" stopIfTrue="1">
      <formula>LEN(TRIM(E4))=0</formula>
    </cfRule>
  </conditionalFormatting>
  <conditionalFormatting sqref="H17 K20:K21 G20:G21 E21 G24 H44 G48 F58 M58">
    <cfRule type="cellIs" dxfId="56" priority="4" stopIfTrue="1" operator="equal">
      <formula>""</formula>
    </cfRule>
  </conditionalFormatting>
  <conditionalFormatting sqref="L4 C65 G65 M65">
    <cfRule type="containsBlanks" dxfId="55" priority="2" stopIfTrue="1">
      <formula>LEN(TRIM(C4))=0</formula>
    </cfRule>
  </conditionalFormatting>
  <dataValidations count="3">
    <dataValidation operator="greaterThan" allowBlank="1" showInputMessage="1" showErrorMessage="1" sqref="L4:P4" xr:uid="{00000000-0002-0000-1000-000000000000}"/>
    <dataValidation type="date" operator="greaterThan" allowBlank="1" showInputMessage="1" showErrorMessage="1" errorTitle="Invalid date entered" error="Please enter the date in format dd/mm/yyyy" promptTitle="Barge's date of calibration" prompt="Date stated on the barge's calibration table, please enter the date in format dd/mm/yyyy" sqref="G21:J21" xr:uid="{00000000-0002-0000-1000-000001000000}">
      <formula1>1</formula1>
    </dataValidation>
    <dataValidation type="date" operator="greaterThan" allowBlank="1" showInputMessage="1" showErrorMessage="1" errorTitle="Invalid date entered" error="Please enter the date in format dd/mm/yyyy" promptTitle="Vessel's date of calibration" prompt="Date stated on the vessel's calibration table, please enter the date in format dd/mm/yyyy" sqref="G20:J20" xr:uid="{00000000-0002-0000-1000-000002000000}">
      <formula1>1</formula1>
    </dataValidation>
  </dataValidations>
  <printOptions horizontalCentered="1"/>
  <pageMargins left="0.51181102362204722" right="0.23622047244094491" top="0.51181102362204722" bottom="0.74803149606299213" header="0" footer="0.23622047244094491"/>
  <pageSetup paperSize="9" scale="73" orientation="portrait"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from>
                    <xdr:col>12</xdr:col>
                    <xdr:colOff>619125</xdr:colOff>
                    <xdr:row>10</xdr:row>
                    <xdr:rowOff>38100</xdr:rowOff>
                  </from>
                  <to>
                    <xdr:col>13</xdr:col>
                    <xdr:colOff>381000</xdr:colOff>
                    <xdr:row>12</xdr:row>
                    <xdr:rowOff>47625</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from>
                    <xdr:col>13</xdr:col>
                    <xdr:colOff>400050</xdr:colOff>
                    <xdr:row>10</xdr:row>
                    <xdr:rowOff>47625</xdr:rowOff>
                  </from>
                  <to>
                    <xdr:col>15</xdr:col>
                    <xdr:colOff>19050</xdr:colOff>
                    <xdr:row>12</xdr:row>
                    <xdr:rowOff>57150</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from>
                    <xdr:col>6</xdr:col>
                    <xdr:colOff>219075</xdr:colOff>
                    <xdr:row>11</xdr:row>
                    <xdr:rowOff>104775</xdr:rowOff>
                  </from>
                  <to>
                    <xdr:col>6</xdr:col>
                    <xdr:colOff>647700</xdr:colOff>
                    <xdr:row>13</xdr:row>
                    <xdr:rowOff>19050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from>
                    <xdr:col>6</xdr:col>
                    <xdr:colOff>666750</xdr:colOff>
                    <xdr:row>11</xdr:row>
                    <xdr:rowOff>104775</xdr:rowOff>
                  </from>
                  <to>
                    <xdr:col>8</xdr:col>
                    <xdr:colOff>276225</xdr:colOff>
                    <xdr:row>13</xdr:row>
                    <xdr:rowOff>19050</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from>
                    <xdr:col>9</xdr:col>
                    <xdr:colOff>9525</xdr:colOff>
                    <xdr:row>14</xdr:row>
                    <xdr:rowOff>133350</xdr:rowOff>
                  </from>
                  <to>
                    <xdr:col>10</xdr:col>
                    <xdr:colOff>85725</xdr:colOff>
                    <xdr:row>16</xdr:row>
                    <xdr:rowOff>47625</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from>
                    <xdr:col>10</xdr:col>
                    <xdr:colOff>76200</xdr:colOff>
                    <xdr:row>14</xdr:row>
                    <xdr:rowOff>133350</xdr:rowOff>
                  </from>
                  <to>
                    <xdr:col>12</xdr:col>
                    <xdr:colOff>47625</xdr:colOff>
                    <xdr:row>16</xdr:row>
                    <xdr:rowOff>47625</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from>
                    <xdr:col>13</xdr:col>
                    <xdr:colOff>390525</xdr:colOff>
                    <xdr:row>20</xdr:row>
                    <xdr:rowOff>152400</xdr:rowOff>
                  </from>
                  <to>
                    <xdr:col>15</xdr:col>
                    <xdr:colOff>0</xdr:colOff>
                    <xdr:row>22</xdr:row>
                    <xdr:rowOff>0</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from>
                    <xdr:col>15</xdr:col>
                    <xdr:colOff>0</xdr:colOff>
                    <xdr:row>20</xdr:row>
                    <xdr:rowOff>161925</xdr:rowOff>
                  </from>
                  <to>
                    <xdr:col>16</xdr:col>
                    <xdr:colOff>19050</xdr:colOff>
                    <xdr:row>22</xdr:row>
                    <xdr:rowOff>0</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from>
                    <xdr:col>7</xdr:col>
                    <xdr:colOff>38100</xdr:colOff>
                    <xdr:row>21</xdr:row>
                    <xdr:rowOff>133350</xdr:rowOff>
                  </from>
                  <to>
                    <xdr:col>8</xdr:col>
                    <xdr:colOff>352425</xdr:colOff>
                    <xdr:row>23</xdr:row>
                    <xdr:rowOff>47625</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from>
                    <xdr:col>8</xdr:col>
                    <xdr:colOff>381000</xdr:colOff>
                    <xdr:row>21</xdr:row>
                    <xdr:rowOff>133350</xdr:rowOff>
                  </from>
                  <to>
                    <xdr:col>10</xdr:col>
                    <xdr:colOff>9525</xdr:colOff>
                    <xdr:row>23</xdr:row>
                    <xdr:rowOff>47625</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from>
                    <xdr:col>9</xdr:col>
                    <xdr:colOff>276225</xdr:colOff>
                    <xdr:row>24</xdr:row>
                    <xdr:rowOff>9525</xdr:rowOff>
                  </from>
                  <to>
                    <xdr:col>11</xdr:col>
                    <xdr:colOff>247650</xdr:colOff>
                    <xdr:row>26</xdr:row>
                    <xdr:rowOff>0</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from>
                    <xdr:col>11</xdr:col>
                    <xdr:colOff>238125</xdr:colOff>
                    <xdr:row>24</xdr:row>
                    <xdr:rowOff>9525</xdr:rowOff>
                  </from>
                  <to>
                    <xdr:col>12</xdr:col>
                    <xdr:colOff>314325</xdr:colOff>
                    <xdr:row>26</xdr:row>
                    <xdr:rowOff>0</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from>
                    <xdr:col>13</xdr:col>
                    <xdr:colOff>228600</xdr:colOff>
                    <xdr:row>25</xdr:row>
                    <xdr:rowOff>104775</xdr:rowOff>
                  </from>
                  <to>
                    <xdr:col>13</xdr:col>
                    <xdr:colOff>666750</xdr:colOff>
                    <xdr:row>27</xdr:row>
                    <xdr:rowOff>19050</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from>
                    <xdr:col>12</xdr:col>
                    <xdr:colOff>476250</xdr:colOff>
                    <xdr:row>25</xdr:row>
                    <xdr:rowOff>104775</xdr:rowOff>
                  </from>
                  <to>
                    <xdr:col>13</xdr:col>
                    <xdr:colOff>238125</xdr:colOff>
                    <xdr:row>27</xdr:row>
                    <xdr:rowOff>19050</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from>
                    <xdr:col>6</xdr:col>
                    <xdr:colOff>542925</xdr:colOff>
                    <xdr:row>31</xdr:row>
                    <xdr:rowOff>47625</xdr:rowOff>
                  </from>
                  <to>
                    <xdr:col>9</xdr:col>
                    <xdr:colOff>228600</xdr:colOff>
                    <xdr:row>33</xdr:row>
                    <xdr:rowOff>47625</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from>
                    <xdr:col>9</xdr:col>
                    <xdr:colOff>219075</xdr:colOff>
                    <xdr:row>31</xdr:row>
                    <xdr:rowOff>47625</xdr:rowOff>
                  </from>
                  <to>
                    <xdr:col>12</xdr:col>
                    <xdr:colOff>371475</xdr:colOff>
                    <xdr:row>33</xdr:row>
                    <xdr:rowOff>47625</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from>
                    <xdr:col>6</xdr:col>
                    <xdr:colOff>114300</xdr:colOff>
                    <xdr:row>32</xdr:row>
                    <xdr:rowOff>133350</xdr:rowOff>
                  </from>
                  <to>
                    <xdr:col>9</xdr:col>
                    <xdr:colOff>257175</xdr:colOff>
                    <xdr:row>34</xdr:row>
                    <xdr:rowOff>47625</xdr:rowOff>
                  </to>
                </anchor>
              </controlPr>
            </control>
          </mc:Choice>
        </mc:AlternateContent>
        <mc:AlternateContent xmlns:mc="http://schemas.openxmlformats.org/markup-compatibility/2006">
          <mc:Choice Requires="x14">
            <control shapeId="29714" r:id="rId21" name="Check Box 18">
              <controlPr defaultSize="0" autoFill="0" autoLine="0" autoPict="0">
                <anchor moveWithCells="1">
                  <from>
                    <xdr:col>9</xdr:col>
                    <xdr:colOff>171450</xdr:colOff>
                    <xdr:row>32</xdr:row>
                    <xdr:rowOff>142875</xdr:rowOff>
                  </from>
                  <to>
                    <xdr:col>13</xdr:col>
                    <xdr:colOff>114300</xdr:colOff>
                    <xdr:row>34</xdr:row>
                    <xdr:rowOff>57150</xdr:rowOff>
                  </to>
                </anchor>
              </controlPr>
            </control>
          </mc:Choice>
        </mc:AlternateContent>
        <mc:AlternateContent xmlns:mc="http://schemas.openxmlformats.org/markup-compatibility/2006">
          <mc:Choice Requires="x14">
            <control shapeId="29715" r:id="rId22" name="Check Box 19">
              <controlPr defaultSize="0" autoFill="0" autoLine="0" autoPict="0">
                <anchor moveWithCells="1">
                  <from>
                    <xdr:col>6</xdr:col>
                    <xdr:colOff>342900</xdr:colOff>
                    <xdr:row>27</xdr:row>
                    <xdr:rowOff>123825</xdr:rowOff>
                  </from>
                  <to>
                    <xdr:col>7</xdr:col>
                    <xdr:colOff>57150</xdr:colOff>
                    <xdr:row>29</xdr:row>
                    <xdr:rowOff>38100</xdr:rowOff>
                  </to>
                </anchor>
              </controlPr>
            </control>
          </mc:Choice>
        </mc:AlternateContent>
        <mc:AlternateContent xmlns:mc="http://schemas.openxmlformats.org/markup-compatibility/2006">
          <mc:Choice Requires="x14">
            <control shapeId="29716" r:id="rId23" name="Check Box 20">
              <controlPr defaultSize="0" autoFill="0" autoLine="0" autoPict="0">
                <anchor moveWithCells="1">
                  <from>
                    <xdr:col>6</xdr:col>
                    <xdr:colOff>342900</xdr:colOff>
                    <xdr:row>26</xdr:row>
                    <xdr:rowOff>123825</xdr:rowOff>
                  </from>
                  <to>
                    <xdr:col>7</xdr:col>
                    <xdr:colOff>57150</xdr:colOff>
                    <xdr:row>28</xdr:row>
                    <xdr:rowOff>38100</xdr:rowOff>
                  </to>
                </anchor>
              </controlPr>
            </control>
          </mc:Choice>
        </mc:AlternateContent>
        <mc:AlternateContent xmlns:mc="http://schemas.openxmlformats.org/markup-compatibility/2006">
          <mc:Choice Requires="x14">
            <control shapeId="29717" r:id="rId24" name="Check Box 21">
              <controlPr defaultSize="0" autoFill="0" autoLine="0" autoPict="0">
                <anchor moveWithCells="1">
                  <from>
                    <xdr:col>7</xdr:col>
                    <xdr:colOff>57150</xdr:colOff>
                    <xdr:row>26</xdr:row>
                    <xdr:rowOff>133350</xdr:rowOff>
                  </from>
                  <to>
                    <xdr:col>8</xdr:col>
                    <xdr:colOff>381000</xdr:colOff>
                    <xdr:row>28</xdr:row>
                    <xdr:rowOff>47625</xdr:rowOff>
                  </to>
                </anchor>
              </controlPr>
            </control>
          </mc:Choice>
        </mc:AlternateContent>
        <mc:AlternateContent xmlns:mc="http://schemas.openxmlformats.org/markup-compatibility/2006">
          <mc:Choice Requires="x14">
            <control shapeId="29718" r:id="rId25" name="Check Box 22">
              <controlPr defaultSize="0" autoFill="0" autoLine="0" autoPict="0">
                <anchor moveWithCells="1">
                  <from>
                    <xdr:col>7</xdr:col>
                    <xdr:colOff>57150</xdr:colOff>
                    <xdr:row>27</xdr:row>
                    <xdr:rowOff>142875</xdr:rowOff>
                  </from>
                  <to>
                    <xdr:col>8</xdr:col>
                    <xdr:colOff>381000</xdr:colOff>
                    <xdr:row>29</xdr:row>
                    <xdr:rowOff>57150</xdr:rowOff>
                  </to>
                </anchor>
              </controlPr>
            </control>
          </mc:Choice>
        </mc:AlternateContent>
        <mc:AlternateContent xmlns:mc="http://schemas.openxmlformats.org/markup-compatibility/2006">
          <mc:Choice Requires="x14">
            <control shapeId="29719" r:id="rId26" name="Check Box 23">
              <controlPr defaultSize="0" autoFill="0" autoLine="0" autoPict="0">
                <anchor moveWithCells="1">
                  <from>
                    <xdr:col>12</xdr:col>
                    <xdr:colOff>619125</xdr:colOff>
                    <xdr:row>36</xdr:row>
                    <xdr:rowOff>38100</xdr:rowOff>
                  </from>
                  <to>
                    <xdr:col>13</xdr:col>
                    <xdr:colOff>381000</xdr:colOff>
                    <xdr:row>38</xdr:row>
                    <xdr:rowOff>66675</xdr:rowOff>
                  </to>
                </anchor>
              </controlPr>
            </control>
          </mc:Choice>
        </mc:AlternateContent>
        <mc:AlternateContent xmlns:mc="http://schemas.openxmlformats.org/markup-compatibility/2006">
          <mc:Choice Requires="x14">
            <control shapeId="29720" r:id="rId27" name="Check Box 24">
              <controlPr defaultSize="0" autoFill="0" autoLine="0" autoPict="0">
                <anchor moveWithCells="1">
                  <from>
                    <xdr:col>6</xdr:col>
                    <xdr:colOff>276225</xdr:colOff>
                    <xdr:row>37</xdr:row>
                    <xdr:rowOff>142875</xdr:rowOff>
                  </from>
                  <to>
                    <xdr:col>6</xdr:col>
                    <xdr:colOff>704850</xdr:colOff>
                    <xdr:row>39</xdr:row>
                    <xdr:rowOff>57150</xdr:rowOff>
                  </to>
                </anchor>
              </controlPr>
            </control>
          </mc:Choice>
        </mc:AlternateContent>
        <mc:AlternateContent xmlns:mc="http://schemas.openxmlformats.org/markup-compatibility/2006">
          <mc:Choice Requires="x14">
            <control shapeId="29721" r:id="rId28" name="Check Box 25">
              <controlPr defaultSize="0" autoFill="0" autoLine="0" autoPict="0">
                <anchor moveWithCells="1">
                  <from>
                    <xdr:col>6</xdr:col>
                    <xdr:colOff>695325</xdr:colOff>
                    <xdr:row>37</xdr:row>
                    <xdr:rowOff>142875</xdr:rowOff>
                  </from>
                  <to>
                    <xdr:col>8</xdr:col>
                    <xdr:colOff>304800</xdr:colOff>
                    <xdr:row>39</xdr:row>
                    <xdr:rowOff>57150</xdr:rowOff>
                  </to>
                </anchor>
              </controlPr>
            </control>
          </mc:Choice>
        </mc:AlternateContent>
        <mc:AlternateContent xmlns:mc="http://schemas.openxmlformats.org/markup-compatibility/2006">
          <mc:Choice Requires="x14">
            <control shapeId="29722" r:id="rId29" name="Check Box 26">
              <controlPr defaultSize="0" autoFill="0" autoLine="0" autoPict="0">
                <anchor moveWithCells="1">
                  <from>
                    <xdr:col>9</xdr:col>
                    <xdr:colOff>19050</xdr:colOff>
                    <xdr:row>41</xdr:row>
                    <xdr:rowOff>133350</xdr:rowOff>
                  </from>
                  <to>
                    <xdr:col>10</xdr:col>
                    <xdr:colOff>95250</xdr:colOff>
                    <xdr:row>43</xdr:row>
                    <xdr:rowOff>47625</xdr:rowOff>
                  </to>
                </anchor>
              </controlPr>
            </control>
          </mc:Choice>
        </mc:AlternateContent>
        <mc:AlternateContent xmlns:mc="http://schemas.openxmlformats.org/markup-compatibility/2006">
          <mc:Choice Requires="x14">
            <control shapeId="29723" r:id="rId30" name="Check Box 27">
              <controlPr defaultSize="0" autoFill="0" autoLine="0" autoPict="0">
                <anchor moveWithCells="1">
                  <from>
                    <xdr:col>10</xdr:col>
                    <xdr:colOff>95250</xdr:colOff>
                    <xdr:row>41</xdr:row>
                    <xdr:rowOff>123825</xdr:rowOff>
                  </from>
                  <to>
                    <xdr:col>12</xdr:col>
                    <xdr:colOff>66675</xdr:colOff>
                    <xdr:row>43</xdr:row>
                    <xdr:rowOff>38100</xdr:rowOff>
                  </to>
                </anchor>
              </controlPr>
            </control>
          </mc:Choice>
        </mc:AlternateContent>
        <mc:AlternateContent xmlns:mc="http://schemas.openxmlformats.org/markup-compatibility/2006">
          <mc:Choice Requires="x14">
            <control shapeId="29724" r:id="rId31" name="Check Box 28">
              <controlPr defaultSize="0" autoFill="0" autoLine="0" autoPict="0">
                <anchor moveWithCells="1">
                  <from>
                    <xdr:col>13</xdr:col>
                    <xdr:colOff>381000</xdr:colOff>
                    <xdr:row>44</xdr:row>
                    <xdr:rowOff>38100</xdr:rowOff>
                  </from>
                  <to>
                    <xdr:col>13</xdr:col>
                    <xdr:colOff>752475</xdr:colOff>
                    <xdr:row>46</xdr:row>
                    <xdr:rowOff>28575</xdr:rowOff>
                  </to>
                </anchor>
              </controlPr>
            </control>
          </mc:Choice>
        </mc:AlternateContent>
        <mc:AlternateContent xmlns:mc="http://schemas.openxmlformats.org/markup-compatibility/2006">
          <mc:Choice Requires="x14">
            <control shapeId="29725" r:id="rId32" name="Check Box 29">
              <controlPr defaultSize="0" autoFill="0" autoLine="0" autoPict="0">
                <anchor moveWithCells="1">
                  <from>
                    <xdr:col>14</xdr:col>
                    <xdr:colOff>38100</xdr:colOff>
                    <xdr:row>44</xdr:row>
                    <xdr:rowOff>0</xdr:rowOff>
                  </from>
                  <to>
                    <xdr:col>16</xdr:col>
                    <xdr:colOff>28575</xdr:colOff>
                    <xdr:row>46</xdr:row>
                    <xdr:rowOff>57150</xdr:rowOff>
                  </to>
                </anchor>
              </controlPr>
            </control>
          </mc:Choice>
        </mc:AlternateContent>
        <mc:AlternateContent xmlns:mc="http://schemas.openxmlformats.org/markup-compatibility/2006">
          <mc:Choice Requires="x14">
            <control shapeId="29726" r:id="rId33" name="Check Box 30">
              <controlPr defaultSize="0" autoFill="0" autoLine="0" autoPict="0">
                <anchor moveWithCells="1">
                  <from>
                    <xdr:col>9</xdr:col>
                    <xdr:colOff>276225</xdr:colOff>
                    <xdr:row>48</xdr:row>
                    <xdr:rowOff>0</xdr:rowOff>
                  </from>
                  <to>
                    <xdr:col>11</xdr:col>
                    <xdr:colOff>200025</xdr:colOff>
                    <xdr:row>49</xdr:row>
                    <xdr:rowOff>171450</xdr:rowOff>
                  </to>
                </anchor>
              </controlPr>
            </control>
          </mc:Choice>
        </mc:AlternateContent>
        <mc:AlternateContent xmlns:mc="http://schemas.openxmlformats.org/markup-compatibility/2006">
          <mc:Choice Requires="x14">
            <control shapeId="29727" r:id="rId34" name="Check Box 31">
              <controlPr defaultSize="0" autoFill="0" autoLine="0" autoPict="0">
                <anchor moveWithCells="1">
                  <from>
                    <xdr:col>11</xdr:col>
                    <xdr:colOff>247650</xdr:colOff>
                    <xdr:row>48</xdr:row>
                    <xdr:rowOff>0</xdr:rowOff>
                  </from>
                  <to>
                    <xdr:col>12</xdr:col>
                    <xdr:colOff>323850</xdr:colOff>
                    <xdr:row>49</xdr:row>
                    <xdr:rowOff>171450</xdr:rowOff>
                  </to>
                </anchor>
              </controlPr>
            </control>
          </mc:Choice>
        </mc:AlternateContent>
        <mc:AlternateContent xmlns:mc="http://schemas.openxmlformats.org/markup-compatibility/2006">
          <mc:Choice Requires="x14">
            <control shapeId="29728" r:id="rId35" name="Check Box 32">
              <controlPr defaultSize="0" autoFill="0" autoLine="0" autoPict="0">
                <anchor moveWithCells="1">
                  <from>
                    <xdr:col>13</xdr:col>
                    <xdr:colOff>228600</xdr:colOff>
                    <xdr:row>49</xdr:row>
                    <xdr:rowOff>104775</xdr:rowOff>
                  </from>
                  <to>
                    <xdr:col>13</xdr:col>
                    <xdr:colOff>666750</xdr:colOff>
                    <xdr:row>51</xdr:row>
                    <xdr:rowOff>19050</xdr:rowOff>
                  </to>
                </anchor>
              </controlPr>
            </control>
          </mc:Choice>
        </mc:AlternateContent>
        <mc:AlternateContent xmlns:mc="http://schemas.openxmlformats.org/markup-compatibility/2006">
          <mc:Choice Requires="x14">
            <control shapeId="29729" r:id="rId36" name="Check Box 33">
              <controlPr defaultSize="0" autoFill="0" autoLine="0" autoPict="0">
                <anchor moveWithCells="1">
                  <from>
                    <xdr:col>12</xdr:col>
                    <xdr:colOff>476250</xdr:colOff>
                    <xdr:row>49</xdr:row>
                    <xdr:rowOff>104775</xdr:rowOff>
                  </from>
                  <to>
                    <xdr:col>13</xdr:col>
                    <xdr:colOff>238125</xdr:colOff>
                    <xdr:row>51</xdr:row>
                    <xdr:rowOff>19050</xdr:rowOff>
                  </to>
                </anchor>
              </controlPr>
            </control>
          </mc:Choice>
        </mc:AlternateContent>
        <mc:AlternateContent xmlns:mc="http://schemas.openxmlformats.org/markup-compatibility/2006">
          <mc:Choice Requires="x14">
            <control shapeId="29730" r:id="rId37" name="Check Box 34">
              <controlPr defaultSize="0" autoFill="0" autoLine="0" autoPict="0">
                <anchor moveWithCells="1">
                  <from>
                    <xdr:col>8</xdr:col>
                    <xdr:colOff>400050</xdr:colOff>
                    <xdr:row>51</xdr:row>
                    <xdr:rowOff>133350</xdr:rowOff>
                  </from>
                  <to>
                    <xdr:col>10</xdr:col>
                    <xdr:colOff>19050</xdr:colOff>
                    <xdr:row>53</xdr:row>
                    <xdr:rowOff>47625</xdr:rowOff>
                  </to>
                </anchor>
              </controlPr>
            </control>
          </mc:Choice>
        </mc:AlternateContent>
        <mc:AlternateContent xmlns:mc="http://schemas.openxmlformats.org/markup-compatibility/2006">
          <mc:Choice Requires="x14">
            <control shapeId="29731" r:id="rId38" name="Check Box 35">
              <controlPr defaultSize="0" autoFill="0" autoLine="0" autoPict="0">
                <anchor moveWithCells="1">
                  <from>
                    <xdr:col>10</xdr:col>
                    <xdr:colOff>9525</xdr:colOff>
                    <xdr:row>51</xdr:row>
                    <xdr:rowOff>133350</xdr:rowOff>
                  </from>
                  <to>
                    <xdr:col>11</xdr:col>
                    <xdr:colOff>342900</xdr:colOff>
                    <xdr:row>53</xdr:row>
                    <xdr:rowOff>47625</xdr:rowOff>
                  </to>
                </anchor>
              </controlPr>
            </control>
          </mc:Choice>
        </mc:AlternateContent>
        <mc:AlternateContent xmlns:mc="http://schemas.openxmlformats.org/markup-compatibility/2006">
          <mc:Choice Requires="x14">
            <control shapeId="29732" r:id="rId39" name="Check Box 36">
              <controlPr defaultSize="0" autoFill="0" autoLine="0" autoPict="0">
                <anchor moveWithCells="1">
                  <from>
                    <xdr:col>6</xdr:col>
                    <xdr:colOff>76200</xdr:colOff>
                    <xdr:row>52</xdr:row>
                    <xdr:rowOff>133350</xdr:rowOff>
                  </from>
                  <to>
                    <xdr:col>6</xdr:col>
                    <xdr:colOff>504825</xdr:colOff>
                    <xdr:row>54</xdr:row>
                    <xdr:rowOff>47625</xdr:rowOff>
                  </to>
                </anchor>
              </controlPr>
            </control>
          </mc:Choice>
        </mc:AlternateContent>
        <mc:AlternateContent xmlns:mc="http://schemas.openxmlformats.org/markup-compatibility/2006">
          <mc:Choice Requires="x14">
            <control shapeId="29733" r:id="rId40" name="Check Box 37">
              <controlPr defaultSize="0" autoFill="0" autoLine="0" autoPict="0">
                <anchor moveWithCells="1">
                  <from>
                    <xdr:col>6</xdr:col>
                    <xdr:colOff>504825</xdr:colOff>
                    <xdr:row>52</xdr:row>
                    <xdr:rowOff>133350</xdr:rowOff>
                  </from>
                  <to>
                    <xdr:col>8</xdr:col>
                    <xdr:colOff>114300</xdr:colOff>
                    <xdr:row>54</xdr:row>
                    <xdr:rowOff>47625</xdr:rowOff>
                  </to>
                </anchor>
              </controlPr>
            </control>
          </mc:Choice>
        </mc:AlternateContent>
        <mc:AlternateContent xmlns:mc="http://schemas.openxmlformats.org/markup-compatibility/2006">
          <mc:Choice Requires="x14">
            <control shapeId="29734" r:id="rId41" name="Check Box 38">
              <controlPr defaultSize="0" autoFill="0" autoLine="0" autoPict="0">
                <anchor moveWithCells="1">
                  <from>
                    <xdr:col>8</xdr:col>
                    <xdr:colOff>304800</xdr:colOff>
                    <xdr:row>50</xdr:row>
                    <xdr:rowOff>152400</xdr:rowOff>
                  </from>
                  <to>
                    <xdr:col>9</xdr:col>
                    <xdr:colOff>285750</xdr:colOff>
                    <xdr:row>52</xdr:row>
                    <xdr:rowOff>66675</xdr:rowOff>
                  </to>
                </anchor>
              </controlPr>
            </control>
          </mc:Choice>
        </mc:AlternateContent>
        <mc:AlternateContent xmlns:mc="http://schemas.openxmlformats.org/markup-compatibility/2006">
          <mc:Choice Requires="x14">
            <control shapeId="29735" r:id="rId42" name="Check Box 39">
              <controlPr defaultSize="0" autoFill="0" autoLine="0" autoPict="0">
                <anchor moveWithCells="1">
                  <from>
                    <xdr:col>6</xdr:col>
                    <xdr:colOff>704850</xdr:colOff>
                    <xdr:row>50</xdr:row>
                    <xdr:rowOff>142875</xdr:rowOff>
                  </from>
                  <to>
                    <xdr:col>8</xdr:col>
                    <xdr:colOff>304800</xdr:colOff>
                    <xdr:row>52</xdr:row>
                    <xdr:rowOff>57150</xdr:rowOff>
                  </to>
                </anchor>
              </controlPr>
            </control>
          </mc:Choice>
        </mc:AlternateContent>
        <mc:AlternateContent xmlns:mc="http://schemas.openxmlformats.org/markup-compatibility/2006">
          <mc:Choice Requires="x14">
            <control shapeId="29736" r:id="rId43" name="Check Box 40">
              <controlPr defaultSize="0" autoFill="0" autoLine="0" autoPict="0">
                <anchor moveWithCells="1">
                  <from>
                    <xdr:col>13</xdr:col>
                    <xdr:colOff>381000</xdr:colOff>
                    <xdr:row>36</xdr:row>
                    <xdr:rowOff>38100</xdr:rowOff>
                  </from>
                  <to>
                    <xdr:col>15</xdr:col>
                    <xdr:colOff>0</xdr:colOff>
                    <xdr:row>38</xdr:row>
                    <xdr:rowOff>66675</xdr:rowOff>
                  </to>
                </anchor>
              </controlPr>
            </control>
          </mc:Choice>
        </mc:AlternateContent>
        <mc:AlternateContent xmlns:mc="http://schemas.openxmlformats.org/markup-compatibility/2006">
          <mc:Choice Requires="x14">
            <control shapeId="29737" r:id="rId44" name="Check Box 41">
              <controlPr defaultSize="0" autoFill="0" autoLine="0" autoPict="0">
                <anchor moveWithCells="1">
                  <from>
                    <xdr:col>8</xdr:col>
                    <xdr:colOff>371475</xdr:colOff>
                    <xdr:row>40</xdr:row>
                    <xdr:rowOff>133350</xdr:rowOff>
                  </from>
                  <to>
                    <xdr:col>9</xdr:col>
                    <xdr:colOff>342900</xdr:colOff>
                    <xdr:row>42</xdr:row>
                    <xdr:rowOff>47625</xdr:rowOff>
                  </to>
                </anchor>
              </controlPr>
            </control>
          </mc:Choice>
        </mc:AlternateContent>
        <mc:AlternateContent xmlns:mc="http://schemas.openxmlformats.org/markup-compatibility/2006">
          <mc:Choice Requires="x14">
            <control shapeId="29738" r:id="rId45" name="Check Box 42">
              <controlPr defaultSize="0" autoFill="0" autoLine="0" autoPict="0">
                <anchor moveWithCells="1">
                  <from>
                    <xdr:col>9</xdr:col>
                    <xdr:colOff>333375</xdr:colOff>
                    <xdr:row>40</xdr:row>
                    <xdr:rowOff>171450</xdr:rowOff>
                  </from>
                  <to>
                    <xdr:col>11</xdr:col>
                    <xdr:colOff>314325</xdr:colOff>
                    <xdr:row>42</xdr:row>
                    <xdr:rowOff>9525</xdr:rowOff>
                  </to>
                </anchor>
              </controlPr>
            </control>
          </mc:Choice>
        </mc:AlternateContent>
        <mc:AlternateContent xmlns:mc="http://schemas.openxmlformats.org/markup-compatibility/2006">
          <mc:Choice Requires="x14">
            <control shapeId="29739" r:id="rId46" name="Check Box 43">
              <controlPr defaultSize="0" autoFill="0" autoLine="0" autoPict="0">
                <anchor moveWithCells="1">
                  <from>
                    <xdr:col>12</xdr:col>
                    <xdr:colOff>333375</xdr:colOff>
                    <xdr:row>53</xdr:row>
                    <xdr:rowOff>133350</xdr:rowOff>
                  </from>
                  <to>
                    <xdr:col>13</xdr:col>
                    <xdr:colOff>104775</xdr:colOff>
                    <xdr:row>55</xdr:row>
                    <xdr:rowOff>47625</xdr:rowOff>
                  </to>
                </anchor>
              </controlPr>
            </control>
          </mc:Choice>
        </mc:AlternateContent>
        <mc:AlternateContent xmlns:mc="http://schemas.openxmlformats.org/markup-compatibility/2006">
          <mc:Choice Requires="x14">
            <control shapeId="29740" r:id="rId47" name="Check Box 44">
              <controlPr defaultSize="0" autoFill="0" autoLine="0" autoPict="0">
                <anchor moveWithCells="1">
                  <from>
                    <xdr:col>11</xdr:col>
                    <xdr:colOff>266700</xdr:colOff>
                    <xdr:row>53</xdr:row>
                    <xdr:rowOff>123825</xdr:rowOff>
                  </from>
                  <to>
                    <xdr:col>12</xdr:col>
                    <xdr:colOff>333375</xdr:colOff>
                    <xdr:row>55</xdr:row>
                    <xdr:rowOff>38100</xdr:rowOff>
                  </to>
                </anchor>
              </controlPr>
            </control>
          </mc:Choice>
        </mc:AlternateContent>
        <mc:AlternateContent xmlns:mc="http://schemas.openxmlformats.org/markup-compatibility/2006">
          <mc:Choice Requires="x14">
            <control shapeId="29741" r:id="rId48" name="Check Box 45">
              <controlPr defaultSize="0" autoFill="0" autoLine="0" autoPict="0">
                <anchor moveWithCells="1">
                  <from>
                    <xdr:col>13</xdr:col>
                    <xdr:colOff>123825</xdr:colOff>
                    <xdr:row>12</xdr:row>
                    <xdr:rowOff>123825</xdr:rowOff>
                  </from>
                  <to>
                    <xdr:col>13</xdr:col>
                    <xdr:colOff>504825</xdr:colOff>
                    <xdr:row>14</xdr:row>
                    <xdr:rowOff>38100</xdr:rowOff>
                  </to>
                </anchor>
              </controlPr>
            </control>
          </mc:Choice>
        </mc:AlternateContent>
        <mc:AlternateContent xmlns:mc="http://schemas.openxmlformats.org/markup-compatibility/2006">
          <mc:Choice Requires="x14">
            <control shapeId="29742" r:id="rId49" name="Check Box 46">
              <controlPr defaultSize="0" autoFill="0" autoLine="0" autoPict="0">
                <anchor moveWithCells="1">
                  <from>
                    <xdr:col>13</xdr:col>
                    <xdr:colOff>552450</xdr:colOff>
                    <xdr:row>12</xdr:row>
                    <xdr:rowOff>123825</xdr:rowOff>
                  </from>
                  <to>
                    <xdr:col>15</xdr:col>
                    <xdr:colOff>171450</xdr:colOff>
                    <xdr:row>14</xdr:row>
                    <xdr:rowOff>38100</xdr:rowOff>
                  </to>
                </anchor>
              </controlPr>
            </control>
          </mc:Choice>
        </mc:AlternateContent>
        <mc:AlternateContent xmlns:mc="http://schemas.openxmlformats.org/markup-compatibility/2006">
          <mc:Choice Requires="x14">
            <control shapeId="29743" r:id="rId50" name="Check Box 47">
              <controlPr defaultSize="0" autoFill="0" autoLine="0" autoPict="0">
                <anchor moveWithCells="1">
                  <from>
                    <xdr:col>6</xdr:col>
                    <xdr:colOff>219075</xdr:colOff>
                    <xdr:row>13</xdr:row>
                    <xdr:rowOff>104775</xdr:rowOff>
                  </from>
                  <to>
                    <xdr:col>6</xdr:col>
                    <xdr:colOff>647700</xdr:colOff>
                    <xdr:row>15</xdr:row>
                    <xdr:rowOff>19050</xdr:rowOff>
                  </to>
                </anchor>
              </controlPr>
            </control>
          </mc:Choice>
        </mc:AlternateContent>
        <mc:AlternateContent xmlns:mc="http://schemas.openxmlformats.org/markup-compatibility/2006">
          <mc:Choice Requires="x14">
            <control shapeId="29744" r:id="rId51" name="Check Box 48">
              <controlPr defaultSize="0" autoFill="0" autoLine="0" autoPict="0">
                <anchor moveWithCells="1">
                  <from>
                    <xdr:col>6</xdr:col>
                    <xdr:colOff>666750</xdr:colOff>
                    <xdr:row>13</xdr:row>
                    <xdr:rowOff>104775</xdr:rowOff>
                  </from>
                  <to>
                    <xdr:col>8</xdr:col>
                    <xdr:colOff>276225</xdr:colOff>
                    <xdr:row>15</xdr:row>
                    <xdr:rowOff>19050</xdr:rowOff>
                  </to>
                </anchor>
              </controlPr>
            </control>
          </mc:Choice>
        </mc:AlternateContent>
        <mc:AlternateContent xmlns:mc="http://schemas.openxmlformats.org/markup-compatibility/2006">
          <mc:Choice Requires="x14">
            <control shapeId="29745" r:id="rId52" name="Check Box 49">
              <controlPr defaultSize="0" autoFill="0" autoLine="0" autoPict="0">
                <anchor moveWithCells="1">
                  <from>
                    <xdr:col>13</xdr:col>
                    <xdr:colOff>123825</xdr:colOff>
                    <xdr:row>38</xdr:row>
                    <xdr:rowOff>123825</xdr:rowOff>
                  </from>
                  <to>
                    <xdr:col>13</xdr:col>
                    <xdr:colOff>552450</xdr:colOff>
                    <xdr:row>40</xdr:row>
                    <xdr:rowOff>38100</xdr:rowOff>
                  </to>
                </anchor>
              </controlPr>
            </control>
          </mc:Choice>
        </mc:AlternateContent>
        <mc:AlternateContent xmlns:mc="http://schemas.openxmlformats.org/markup-compatibility/2006">
          <mc:Choice Requires="x14">
            <control shapeId="29746" r:id="rId53" name="Check Box 50">
              <controlPr defaultSize="0" autoFill="0" autoLine="0" autoPict="0">
                <anchor moveWithCells="1">
                  <from>
                    <xdr:col>13</xdr:col>
                    <xdr:colOff>552450</xdr:colOff>
                    <xdr:row>38</xdr:row>
                    <xdr:rowOff>123825</xdr:rowOff>
                  </from>
                  <to>
                    <xdr:col>15</xdr:col>
                    <xdr:colOff>66675</xdr:colOff>
                    <xdr:row>40</xdr:row>
                    <xdr:rowOff>38100</xdr:rowOff>
                  </to>
                </anchor>
              </controlPr>
            </control>
          </mc:Choice>
        </mc:AlternateContent>
        <mc:AlternateContent xmlns:mc="http://schemas.openxmlformats.org/markup-compatibility/2006">
          <mc:Choice Requires="x14">
            <control shapeId="29747" r:id="rId54" name="Check Box 51">
              <controlPr defaultSize="0" autoFill="0" autoLine="0" autoPict="0">
                <anchor moveWithCells="1">
                  <from>
                    <xdr:col>6</xdr:col>
                    <xdr:colOff>219075</xdr:colOff>
                    <xdr:row>39</xdr:row>
                    <xdr:rowOff>104775</xdr:rowOff>
                  </from>
                  <to>
                    <xdr:col>6</xdr:col>
                    <xdr:colOff>647700</xdr:colOff>
                    <xdr:row>41</xdr:row>
                    <xdr:rowOff>19050</xdr:rowOff>
                  </to>
                </anchor>
              </controlPr>
            </control>
          </mc:Choice>
        </mc:AlternateContent>
        <mc:AlternateContent xmlns:mc="http://schemas.openxmlformats.org/markup-compatibility/2006">
          <mc:Choice Requires="x14">
            <control shapeId="29748" r:id="rId55" name="Check Box 52">
              <controlPr defaultSize="0" autoFill="0" autoLine="0" autoPict="0">
                <anchor moveWithCells="1">
                  <from>
                    <xdr:col>6</xdr:col>
                    <xdr:colOff>666750</xdr:colOff>
                    <xdr:row>39</xdr:row>
                    <xdr:rowOff>104775</xdr:rowOff>
                  </from>
                  <to>
                    <xdr:col>8</xdr:col>
                    <xdr:colOff>276225</xdr:colOff>
                    <xdr:row>41</xdr:row>
                    <xdr:rowOff>19050</xdr:rowOff>
                  </to>
                </anchor>
              </controlPr>
            </control>
          </mc:Choice>
        </mc:AlternateContent>
        <mc:AlternateContent xmlns:mc="http://schemas.openxmlformats.org/markup-compatibility/2006">
          <mc:Choice Requires="x14">
            <control shapeId="29749" r:id="rId56" name="Check Box 53">
              <controlPr defaultSize="0" autoFill="0" autoLine="0" autoPict="0">
                <anchor moveWithCells="1">
                  <from>
                    <xdr:col>15</xdr:col>
                    <xdr:colOff>85725</xdr:colOff>
                    <xdr:row>12</xdr:row>
                    <xdr:rowOff>123825</xdr:rowOff>
                  </from>
                  <to>
                    <xdr:col>16</xdr:col>
                    <xdr:colOff>133350</xdr:colOff>
                    <xdr:row>14</xdr:row>
                    <xdr:rowOff>38100</xdr:rowOff>
                  </to>
                </anchor>
              </controlPr>
            </control>
          </mc:Choice>
        </mc:AlternateContent>
        <mc:AlternateContent xmlns:mc="http://schemas.openxmlformats.org/markup-compatibility/2006">
          <mc:Choice Requires="x14">
            <control shapeId="29750" r:id="rId57" name="Check Box 54">
              <controlPr defaultSize="0" autoFill="0" autoLine="0" autoPict="0">
                <anchor moveWithCells="1">
                  <from>
                    <xdr:col>8</xdr:col>
                    <xdr:colOff>161925</xdr:colOff>
                    <xdr:row>13</xdr:row>
                    <xdr:rowOff>104775</xdr:rowOff>
                  </from>
                  <to>
                    <xdr:col>9</xdr:col>
                    <xdr:colOff>142875</xdr:colOff>
                    <xdr:row>15</xdr:row>
                    <xdr:rowOff>19050</xdr:rowOff>
                  </to>
                </anchor>
              </controlPr>
            </control>
          </mc:Choice>
        </mc:AlternateContent>
        <mc:AlternateContent xmlns:mc="http://schemas.openxmlformats.org/markup-compatibility/2006">
          <mc:Choice Requires="x14">
            <control shapeId="29751" r:id="rId58" name="Check Box 55">
              <controlPr defaultSize="0" autoFill="0" autoLine="0" autoPict="0">
                <anchor moveWithCells="1">
                  <from>
                    <xdr:col>15</xdr:col>
                    <xdr:colOff>95250</xdr:colOff>
                    <xdr:row>38</xdr:row>
                    <xdr:rowOff>123825</xdr:rowOff>
                  </from>
                  <to>
                    <xdr:col>16</xdr:col>
                    <xdr:colOff>152400</xdr:colOff>
                    <xdr:row>40</xdr:row>
                    <xdr:rowOff>38100</xdr:rowOff>
                  </to>
                </anchor>
              </controlPr>
            </control>
          </mc:Choice>
        </mc:AlternateContent>
        <mc:AlternateContent xmlns:mc="http://schemas.openxmlformats.org/markup-compatibility/2006">
          <mc:Choice Requires="x14">
            <control shapeId="29752" r:id="rId59" name="Check Box 56">
              <controlPr defaultSize="0" autoFill="0" autoLine="0" autoPict="0">
                <anchor moveWithCells="1">
                  <from>
                    <xdr:col>8</xdr:col>
                    <xdr:colOff>219075</xdr:colOff>
                    <xdr:row>39</xdr:row>
                    <xdr:rowOff>104775</xdr:rowOff>
                  </from>
                  <to>
                    <xdr:col>9</xdr:col>
                    <xdr:colOff>200025</xdr:colOff>
                    <xdr:row>41</xdr:row>
                    <xdr:rowOff>19050</xdr:rowOff>
                  </to>
                </anchor>
              </controlPr>
            </control>
          </mc:Choice>
        </mc:AlternateContent>
        <mc:AlternateContent xmlns:mc="http://schemas.openxmlformats.org/markup-compatibility/2006">
          <mc:Choice Requires="x14">
            <control shapeId="29753" r:id="rId60" name="Check Box 57">
              <controlPr defaultSize="0" autoFill="0" autoLine="0" autoPict="0">
                <anchor moveWithCells="1">
                  <from>
                    <xdr:col>7</xdr:col>
                    <xdr:colOff>85725</xdr:colOff>
                    <xdr:row>45</xdr:row>
                    <xdr:rowOff>133350</xdr:rowOff>
                  </from>
                  <to>
                    <xdr:col>8</xdr:col>
                    <xdr:colOff>400050</xdr:colOff>
                    <xdr:row>47</xdr:row>
                    <xdr:rowOff>47625</xdr:rowOff>
                  </to>
                </anchor>
              </controlPr>
            </control>
          </mc:Choice>
        </mc:AlternateContent>
        <mc:AlternateContent xmlns:mc="http://schemas.openxmlformats.org/markup-compatibility/2006">
          <mc:Choice Requires="x14">
            <control shapeId="29754" r:id="rId61" name="Check Box 58">
              <controlPr defaultSize="0" autoFill="0" autoLine="0" autoPict="0">
                <anchor moveWithCells="1">
                  <from>
                    <xdr:col>8</xdr:col>
                    <xdr:colOff>390525</xdr:colOff>
                    <xdr:row>45</xdr:row>
                    <xdr:rowOff>171450</xdr:rowOff>
                  </from>
                  <to>
                    <xdr:col>10</xdr:col>
                    <xdr:colOff>19050</xdr:colOff>
                    <xdr:row>47</xdr:row>
                    <xdr:rowOff>9525</xdr:rowOff>
                  </to>
                </anchor>
              </controlPr>
            </control>
          </mc:Choice>
        </mc:AlternateContent>
        <mc:AlternateContent xmlns:mc="http://schemas.openxmlformats.org/markup-compatibility/2006">
          <mc:Choice Requires="x14">
            <control shapeId="29755" r:id="rId62" name="Check Box 59">
              <controlPr defaultSize="0" autoFill="0" autoLine="0" autoPict="0">
                <anchor moveWithCells="1">
                  <from>
                    <xdr:col>13</xdr:col>
                    <xdr:colOff>609600</xdr:colOff>
                    <xdr:row>25</xdr:row>
                    <xdr:rowOff>104775</xdr:rowOff>
                  </from>
                  <to>
                    <xdr:col>15</xdr:col>
                    <xdr:colOff>152400</xdr:colOff>
                    <xdr:row>27</xdr:row>
                    <xdr:rowOff>19050</xdr:rowOff>
                  </to>
                </anchor>
              </controlPr>
            </control>
          </mc:Choice>
        </mc:AlternateContent>
        <mc:AlternateContent xmlns:mc="http://schemas.openxmlformats.org/markup-compatibility/2006">
          <mc:Choice Requires="x14">
            <control shapeId="29756" r:id="rId63" name="Check Box 60">
              <controlPr defaultSize="0" autoFill="0" autoLine="0" autoPict="0">
                <anchor moveWithCells="1">
                  <from>
                    <xdr:col>13</xdr:col>
                    <xdr:colOff>628650</xdr:colOff>
                    <xdr:row>49</xdr:row>
                    <xdr:rowOff>104775</xdr:rowOff>
                  </from>
                  <to>
                    <xdr:col>15</xdr:col>
                    <xdr:colOff>171450</xdr:colOff>
                    <xdr:row>51</xdr:row>
                    <xdr:rowOff>19050</xdr:rowOff>
                  </to>
                </anchor>
              </controlPr>
            </control>
          </mc:Choice>
        </mc:AlternateContent>
        <mc:AlternateContent xmlns:mc="http://schemas.openxmlformats.org/markup-compatibility/2006">
          <mc:Choice Requires="x14">
            <control shapeId="29757" r:id="rId64" name="Check Box 61">
              <controlPr defaultSize="0" autoFill="0" autoLine="0" autoPict="0">
                <anchor moveWithCells="1">
                  <from>
                    <xdr:col>13</xdr:col>
                    <xdr:colOff>57150</xdr:colOff>
                    <xdr:row>53</xdr:row>
                    <xdr:rowOff>133350</xdr:rowOff>
                  </from>
                  <to>
                    <xdr:col>13</xdr:col>
                    <xdr:colOff>419100</xdr:colOff>
                    <xdr:row>55</xdr:row>
                    <xdr:rowOff>47625</xdr:rowOff>
                  </to>
                </anchor>
              </controlPr>
            </control>
          </mc:Choice>
        </mc:AlternateContent>
        <mc:AlternateContent xmlns:mc="http://schemas.openxmlformats.org/markup-compatibility/2006">
          <mc:Choice Requires="x14">
            <control shapeId="29758" r:id="rId65" name="Check Box 62">
              <controlPr defaultSize="0" autoFill="0" autoLine="0" autoPict="0">
                <anchor moveWithCells="1">
                  <from>
                    <xdr:col>8</xdr:col>
                    <xdr:colOff>66675</xdr:colOff>
                    <xdr:row>52</xdr:row>
                    <xdr:rowOff>133350</xdr:rowOff>
                  </from>
                  <to>
                    <xdr:col>8</xdr:col>
                    <xdr:colOff>428625</xdr:colOff>
                    <xdr:row>54</xdr:row>
                    <xdr:rowOff>47625</xdr:rowOff>
                  </to>
                </anchor>
              </controlPr>
            </control>
          </mc:Choice>
        </mc:AlternateContent>
        <mc:AlternateContent xmlns:mc="http://schemas.openxmlformats.org/markup-compatibility/2006">
          <mc:Choice Requires="x14">
            <control shapeId="29759" r:id="rId66" name="Check Box 63">
              <controlPr defaultSize="0" autoFill="0" autoLine="0" autoPict="0">
                <anchor moveWithCells="1">
                  <from>
                    <xdr:col>11</xdr:col>
                    <xdr:colOff>295275</xdr:colOff>
                    <xdr:row>51</xdr:row>
                    <xdr:rowOff>133350</xdr:rowOff>
                  </from>
                  <to>
                    <xdr:col>12</xdr:col>
                    <xdr:colOff>295275</xdr:colOff>
                    <xdr:row>53</xdr:row>
                    <xdr:rowOff>47625</xdr:rowOff>
                  </to>
                </anchor>
              </controlPr>
            </control>
          </mc:Choice>
        </mc:AlternateContent>
        <mc:AlternateContent xmlns:mc="http://schemas.openxmlformats.org/markup-compatibility/2006">
          <mc:Choice Requires="x14">
            <control shapeId="29760" r:id="rId67" name="Check Box 64">
              <controlPr defaultSize="0" autoFill="0" autoLine="0" autoPict="0">
                <anchor moveWithCells="1">
                  <from>
                    <xdr:col>12</xdr:col>
                    <xdr:colOff>285750</xdr:colOff>
                    <xdr:row>47</xdr:row>
                    <xdr:rowOff>152400</xdr:rowOff>
                  </from>
                  <to>
                    <xdr:col>12</xdr:col>
                    <xdr:colOff>647700</xdr:colOff>
                    <xdr:row>50</xdr:row>
                    <xdr:rowOff>19050</xdr:rowOff>
                  </to>
                </anchor>
              </controlPr>
            </control>
          </mc:Choice>
        </mc:AlternateContent>
        <mc:AlternateContent xmlns:mc="http://schemas.openxmlformats.org/markup-compatibility/2006">
          <mc:Choice Requires="x14">
            <control shapeId="29761" r:id="rId68" name="Check Box 65">
              <controlPr defaultSize="0" autoFill="0" autoLine="0" autoPict="0">
                <anchor moveWithCells="1">
                  <from>
                    <xdr:col>9</xdr:col>
                    <xdr:colOff>333375</xdr:colOff>
                    <xdr:row>55</xdr:row>
                    <xdr:rowOff>95250</xdr:rowOff>
                  </from>
                  <to>
                    <xdr:col>11</xdr:col>
                    <xdr:colOff>304800</xdr:colOff>
                    <xdr:row>57</xdr:row>
                    <xdr:rowOff>9525</xdr:rowOff>
                  </to>
                </anchor>
              </controlPr>
            </control>
          </mc:Choice>
        </mc:AlternateContent>
        <mc:AlternateContent xmlns:mc="http://schemas.openxmlformats.org/markup-compatibility/2006">
          <mc:Choice Requires="x14">
            <control shapeId="29762" r:id="rId69" name="Check Box 66">
              <controlPr defaultSize="0" autoFill="0" autoLine="0" autoPict="0">
                <anchor moveWithCells="1">
                  <from>
                    <xdr:col>11</xdr:col>
                    <xdr:colOff>323850</xdr:colOff>
                    <xdr:row>55</xdr:row>
                    <xdr:rowOff>95250</xdr:rowOff>
                  </from>
                  <to>
                    <xdr:col>12</xdr:col>
                    <xdr:colOff>400050</xdr:colOff>
                    <xdr:row>57</xdr:row>
                    <xdr:rowOff>9525</xdr:rowOff>
                  </to>
                </anchor>
              </controlPr>
            </control>
          </mc:Choice>
        </mc:AlternateContent>
        <mc:AlternateContent xmlns:mc="http://schemas.openxmlformats.org/markup-compatibility/2006">
          <mc:Choice Requires="x14">
            <control shapeId="29763" r:id="rId70" name="Check Box 67">
              <controlPr defaultSize="0" autoFill="0" autoLine="0" autoPict="0">
                <anchor moveWithCells="1">
                  <from>
                    <xdr:col>12</xdr:col>
                    <xdr:colOff>371475</xdr:colOff>
                    <xdr:row>55</xdr:row>
                    <xdr:rowOff>114300</xdr:rowOff>
                  </from>
                  <to>
                    <xdr:col>13</xdr:col>
                    <xdr:colOff>66675</xdr:colOff>
                    <xdr:row>57</xdr:row>
                    <xdr:rowOff>28575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tabColor rgb="FFFFFF00"/>
  </sheetPr>
  <dimension ref="A1:BJ61"/>
  <sheetViews>
    <sheetView topLeftCell="A19" zoomScaleNormal="100" workbookViewId="0">
      <selection activeCell="BF19" sqref="BF19"/>
    </sheetView>
  </sheetViews>
  <sheetFormatPr defaultColWidth="9" defaultRowHeight="12" customHeight="1" x14ac:dyDescent="0.2"/>
  <cols>
    <col min="1" max="36" width="1" style="6" customWidth="1"/>
    <col min="37" max="54" width="3.7109375" style="6" customWidth="1"/>
    <col min="55" max="16384" width="9" style="6"/>
  </cols>
  <sheetData>
    <row r="1" spans="1:62" ht="12"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5" t="s">
        <v>280</v>
      </c>
      <c r="AS1" s="155"/>
      <c r="AT1" s="90" t="s">
        <v>0</v>
      </c>
      <c r="AU1" s="155" t="str">
        <f>IF('Data Entry'!N28="","",'Data Entry'!N28)</f>
        <v/>
      </c>
      <c r="AV1" s="155"/>
      <c r="AW1" s="155"/>
      <c r="AX1" s="155"/>
      <c r="AY1" s="155"/>
      <c r="AZ1" s="155"/>
      <c r="BA1" s="155"/>
      <c r="BB1" s="155"/>
    </row>
    <row r="2" spans="1:62" ht="12"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5" t="s">
        <v>281</v>
      </c>
      <c r="AS2" s="155"/>
      <c r="AT2" s="90" t="s">
        <v>0</v>
      </c>
      <c r="AU2" s="155" t="str">
        <f>IF('Data Entry'!N39="","",'Data Entry'!N39)</f>
        <v>SC17124</v>
      </c>
      <c r="AV2" s="155"/>
      <c r="AW2" s="155"/>
      <c r="AX2" s="155"/>
      <c r="AY2" s="155"/>
      <c r="AZ2" s="155"/>
      <c r="BA2" s="155"/>
      <c r="BB2" s="155"/>
    </row>
    <row r="3" spans="1:62" ht="12"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t="str">
        <f>'Bunker Certificate 1'!Y4</f>
        <v/>
      </c>
      <c r="AS3" s="154"/>
      <c r="AT3" s="154"/>
      <c r="AU3" s="154"/>
      <c r="AV3" s="154"/>
      <c r="AW3" s="154"/>
      <c r="AX3" s="154"/>
      <c r="AY3" s="154"/>
      <c r="AZ3" s="154"/>
      <c r="BA3" s="154"/>
      <c r="BB3" s="154"/>
    </row>
    <row r="4" spans="1:62" ht="12" customHeight="1" x14ac:dyDescent="0.2">
      <c r="A4" s="164" t="s">
        <v>30</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row>
    <row r="5" spans="1:62" ht="12" customHeight="1" x14ac:dyDescent="0.2">
      <c r="A5" s="164"/>
      <c r="B5" s="164"/>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row>
    <row r="6" spans="1:62" ht="12" customHeight="1" x14ac:dyDescent="0.2">
      <c r="A6" s="155" t="s">
        <v>1</v>
      </c>
      <c r="B6" s="155"/>
      <c r="C6" s="155"/>
      <c r="D6" s="155"/>
      <c r="E6" s="155"/>
      <c r="F6" s="155"/>
      <c r="G6" s="155"/>
      <c r="H6" s="155"/>
      <c r="I6" s="155"/>
      <c r="J6" s="155"/>
      <c r="K6" s="155"/>
      <c r="L6" s="155"/>
      <c r="M6" s="155" t="s">
        <v>0</v>
      </c>
      <c r="N6" s="155"/>
      <c r="O6" s="155" t="str">
        <f>IF('Data Entry'!N6="","",'Data Entry'!N6)</f>
        <v/>
      </c>
      <c r="P6" s="155"/>
      <c r="Q6" s="155"/>
      <c r="R6" s="155"/>
      <c r="S6" s="155"/>
      <c r="T6" s="155"/>
      <c r="U6" s="155"/>
      <c r="V6" s="155"/>
      <c r="W6" s="155"/>
      <c r="X6" s="155"/>
      <c r="Y6" s="155"/>
      <c r="Z6" s="155"/>
      <c r="AA6" s="155"/>
      <c r="AB6" s="155"/>
      <c r="AC6" s="155"/>
      <c r="AD6" s="155"/>
      <c r="AE6" s="155"/>
      <c r="AF6" s="155"/>
      <c r="AG6" s="155"/>
      <c r="AH6" s="155"/>
      <c r="AI6" s="155"/>
      <c r="AJ6" s="155"/>
      <c r="AK6" s="155"/>
      <c r="AL6" s="155"/>
      <c r="AM6" s="155"/>
      <c r="AN6" s="155"/>
      <c r="AO6" s="155"/>
      <c r="AP6" s="155"/>
      <c r="AQ6" s="155"/>
      <c r="AR6" s="155" t="s">
        <v>197</v>
      </c>
      <c r="AS6" s="155"/>
      <c r="AT6" s="90" t="s">
        <v>0</v>
      </c>
      <c r="AU6" s="155" t="str">
        <f>IF('Data Entry'!N19="","",'Data Entry'!N19)</f>
        <v/>
      </c>
      <c r="AV6" s="155"/>
      <c r="AW6" s="155"/>
      <c r="AX6" s="155"/>
      <c r="AY6" s="155"/>
      <c r="AZ6" s="155"/>
      <c r="BA6" s="155"/>
      <c r="BB6" s="155"/>
    </row>
    <row r="7" spans="1:62" ht="12" customHeight="1" x14ac:dyDescent="0.2">
      <c r="A7" s="155" t="s">
        <v>124</v>
      </c>
      <c r="B7" s="155"/>
      <c r="C7" s="155"/>
      <c r="D7" s="155"/>
      <c r="E7" s="155"/>
      <c r="F7" s="155"/>
      <c r="G7" s="155"/>
      <c r="H7" s="155"/>
      <c r="I7" s="155"/>
      <c r="J7" s="155"/>
      <c r="K7" s="155"/>
      <c r="L7" s="155"/>
      <c r="M7" s="155" t="s">
        <v>0</v>
      </c>
      <c r="N7" s="155"/>
      <c r="O7" s="155" t="str">
        <f>IF('Data Entry'!N26="","",'Data Entry'!N26)&amp;IF(OR('Data Entry'!N26="",'Data Entry'!N27=""),"","/")&amp; IF('Data Entry'!N27="","",'Data Entry'!N27)</f>
        <v>ANCHORAGE AREA/İSTANBUL</v>
      </c>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t="s">
        <v>52</v>
      </c>
      <c r="AS7" s="155"/>
      <c r="AT7" s="90" t="s">
        <v>0</v>
      </c>
      <c r="AU7" s="155" t="str">
        <f>IF('Data Entry'!N17="","",'Data Entry'!N17)</f>
        <v/>
      </c>
      <c r="AV7" s="155"/>
      <c r="AW7" s="155"/>
      <c r="AX7" s="155"/>
      <c r="AY7" s="155"/>
      <c r="AZ7" s="155"/>
      <c r="BA7" s="155"/>
      <c r="BB7" s="155"/>
    </row>
    <row r="8" spans="1:62" ht="12" customHeight="1" thickBot="1" x14ac:dyDescent="0.25">
      <c r="A8" s="381"/>
      <c r="B8" s="381"/>
      <c r="C8" s="381"/>
      <c r="D8" s="381"/>
      <c r="E8" s="381"/>
      <c r="F8" s="381"/>
      <c r="G8" s="381"/>
      <c r="H8" s="381"/>
      <c r="I8" s="381"/>
      <c r="J8" s="381"/>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381"/>
      <c r="BB8" s="381"/>
    </row>
    <row r="9" spans="1:62" ht="12" customHeight="1" x14ac:dyDescent="0.2">
      <c r="A9" s="219" t="s">
        <v>480</v>
      </c>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c r="AW9" s="219"/>
      <c r="AX9" s="219"/>
      <c r="AY9" s="219"/>
      <c r="AZ9" s="219"/>
      <c r="BA9" s="219"/>
      <c r="BB9" s="219"/>
    </row>
    <row r="10" spans="1:62" ht="2.1" customHeight="1" x14ac:dyDescent="0.2">
      <c r="A10" s="155"/>
      <c r="B10" s="155"/>
      <c r="C10" s="155"/>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row>
    <row r="11" spans="1:62" ht="12" customHeight="1" x14ac:dyDescent="0.2">
      <c r="A11" s="445" t="s">
        <v>2</v>
      </c>
      <c r="B11" s="445"/>
      <c r="C11" s="445"/>
      <c r="D11" s="445"/>
      <c r="E11" s="445"/>
      <c r="F11" s="445"/>
      <c r="G11" s="445"/>
      <c r="H11" s="445"/>
      <c r="I11" s="445"/>
      <c r="J11" s="445"/>
      <c r="K11" s="445"/>
      <c r="L11" s="445"/>
      <c r="M11" s="445"/>
      <c r="N11" s="445"/>
      <c r="O11" s="445"/>
      <c r="P11" s="445"/>
      <c r="Q11" s="445"/>
      <c r="R11" s="445"/>
      <c r="S11" s="445" t="s">
        <v>32</v>
      </c>
      <c r="T11" s="445"/>
      <c r="U11" s="445"/>
      <c r="V11" s="445"/>
      <c r="W11" s="445"/>
      <c r="X11" s="445"/>
      <c r="Y11" s="445"/>
      <c r="Z11" s="445"/>
      <c r="AA11" s="445"/>
      <c r="AB11" s="445"/>
      <c r="AC11" s="445"/>
      <c r="AD11" s="445"/>
      <c r="AE11" s="445"/>
      <c r="AF11" s="445"/>
      <c r="AG11" s="445"/>
      <c r="AH11" s="445"/>
      <c r="AI11" s="445"/>
      <c r="AJ11" s="445"/>
      <c r="AK11" s="445" t="s">
        <v>33</v>
      </c>
      <c r="AL11" s="445"/>
      <c r="AM11" s="445"/>
      <c r="AN11" s="445"/>
      <c r="AO11" s="445"/>
      <c r="AP11" s="445"/>
      <c r="AQ11" s="445"/>
      <c r="AR11" s="445"/>
      <c r="AS11" s="445"/>
      <c r="AT11" s="445"/>
      <c r="AU11" s="445"/>
      <c r="AV11" s="445"/>
      <c r="AW11" s="445"/>
      <c r="AX11" s="445"/>
      <c r="AY11" s="445"/>
      <c r="AZ11" s="445"/>
      <c r="BA11" s="445"/>
      <c r="BB11" s="445"/>
    </row>
    <row r="12" spans="1:62" ht="12" customHeight="1" x14ac:dyDescent="0.2">
      <c r="A12" s="447"/>
      <c r="B12" s="447"/>
      <c r="C12" s="447"/>
      <c r="D12" s="447"/>
      <c r="E12" s="447"/>
      <c r="F12" s="447"/>
      <c r="G12" s="447"/>
      <c r="H12" s="447"/>
      <c r="I12" s="447"/>
      <c r="J12" s="447"/>
      <c r="K12" s="447"/>
      <c r="L12" s="447"/>
      <c r="M12" s="447"/>
      <c r="N12" s="447"/>
      <c r="O12" s="447"/>
      <c r="P12" s="447"/>
      <c r="Q12" s="447"/>
      <c r="R12" s="447"/>
      <c r="S12" s="400"/>
      <c r="T12" s="400"/>
      <c r="U12" s="400"/>
      <c r="V12" s="400"/>
      <c r="W12" s="400"/>
      <c r="X12" s="400"/>
      <c r="Y12" s="400"/>
      <c r="Z12" s="400"/>
      <c r="AA12" s="400"/>
      <c r="AB12" s="400"/>
      <c r="AC12" s="400"/>
      <c r="AD12" s="400"/>
      <c r="AE12" s="400"/>
      <c r="AF12" s="400"/>
      <c r="AG12" s="400"/>
      <c r="AH12" s="400"/>
      <c r="AI12" s="400"/>
      <c r="AJ12" s="400"/>
      <c r="AK12" s="446" t="s">
        <v>36</v>
      </c>
      <c r="AL12" s="446"/>
      <c r="AM12" s="446"/>
      <c r="AN12" s="446"/>
      <c r="AO12" s="446"/>
      <c r="AP12" s="446"/>
      <c r="AQ12" s="446"/>
      <c r="AR12" s="446"/>
      <c r="AS12" s="446"/>
      <c r="AT12" s="446"/>
      <c r="AU12" s="446"/>
      <c r="AV12" s="446"/>
      <c r="AW12" s="446"/>
      <c r="AX12" s="446"/>
      <c r="AY12" s="446"/>
      <c r="AZ12" s="446"/>
      <c r="BA12" s="446"/>
      <c r="BB12" s="446"/>
      <c r="BJ12" s="124"/>
    </row>
    <row r="13" spans="1:62" ht="12" customHeight="1" x14ac:dyDescent="0.2">
      <c r="A13" s="447"/>
      <c r="B13" s="447"/>
      <c r="C13" s="447"/>
      <c r="D13" s="447"/>
      <c r="E13" s="447"/>
      <c r="F13" s="447"/>
      <c r="G13" s="447"/>
      <c r="H13" s="447"/>
      <c r="I13" s="447"/>
      <c r="J13" s="447"/>
      <c r="K13" s="447"/>
      <c r="L13" s="447"/>
      <c r="M13" s="447"/>
      <c r="N13" s="447"/>
      <c r="O13" s="447"/>
      <c r="P13" s="447"/>
      <c r="Q13" s="447"/>
      <c r="R13" s="447"/>
      <c r="S13" s="400"/>
      <c r="T13" s="400"/>
      <c r="U13" s="400"/>
      <c r="V13" s="400"/>
      <c r="W13" s="400"/>
      <c r="X13" s="400"/>
      <c r="Y13" s="400"/>
      <c r="Z13" s="400"/>
      <c r="AA13" s="400"/>
      <c r="AB13" s="400"/>
      <c r="AC13" s="400"/>
      <c r="AD13" s="400"/>
      <c r="AE13" s="400"/>
      <c r="AF13" s="400"/>
      <c r="AG13" s="400"/>
      <c r="AH13" s="400"/>
      <c r="AI13" s="400"/>
      <c r="AJ13" s="400"/>
      <c r="AK13" s="182" t="s">
        <v>37</v>
      </c>
      <c r="AL13" s="182"/>
      <c r="AM13" s="182"/>
      <c r="AN13" s="182"/>
      <c r="AO13" s="182"/>
      <c r="AP13" s="182"/>
      <c r="AQ13" s="182"/>
      <c r="AR13" s="182"/>
      <c r="AS13" s="182"/>
      <c r="AT13" s="182"/>
      <c r="AU13" s="182"/>
      <c r="AV13" s="182"/>
      <c r="AW13" s="182"/>
      <c r="AX13" s="182"/>
      <c r="AY13" s="182"/>
      <c r="AZ13" s="182"/>
      <c r="BA13" s="182"/>
      <c r="BB13" s="182"/>
      <c r="BJ13" s="124"/>
    </row>
    <row r="14" spans="1:62" ht="12" customHeight="1" x14ac:dyDescent="0.2">
      <c r="A14" s="447"/>
      <c r="B14" s="447"/>
      <c r="C14" s="447"/>
      <c r="D14" s="447"/>
      <c r="E14" s="447"/>
      <c r="F14" s="447"/>
      <c r="G14" s="447"/>
      <c r="H14" s="447"/>
      <c r="I14" s="447"/>
      <c r="J14" s="447"/>
      <c r="K14" s="447"/>
      <c r="L14" s="447"/>
      <c r="M14" s="447"/>
      <c r="N14" s="447"/>
      <c r="O14" s="447"/>
      <c r="P14" s="447"/>
      <c r="Q14" s="447"/>
      <c r="R14" s="447"/>
      <c r="S14" s="400"/>
      <c r="T14" s="400"/>
      <c r="U14" s="400"/>
      <c r="V14" s="400"/>
      <c r="W14" s="400"/>
      <c r="X14" s="400"/>
      <c r="Y14" s="400"/>
      <c r="Z14" s="400"/>
      <c r="AA14" s="400"/>
      <c r="AB14" s="400"/>
      <c r="AC14" s="400"/>
      <c r="AD14" s="400"/>
      <c r="AE14" s="400"/>
      <c r="AF14" s="400"/>
      <c r="AG14" s="400"/>
      <c r="AH14" s="400"/>
      <c r="AI14" s="400"/>
      <c r="AJ14" s="400"/>
      <c r="AK14" s="182" t="s">
        <v>237</v>
      </c>
      <c r="AL14" s="182"/>
      <c r="AM14" s="182"/>
      <c r="AN14" s="182"/>
      <c r="AO14" s="182"/>
      <c r="AP14" s="182"/>
      <c r="AQ14" s="182"/>
      <c r="AR14" s="182"/>
      <c r="AS14" s="182"/>
      <c r="AT14" s="182"/>
      <c r="AU14" s="182"/>
      <c r="AV14" s="182"/>
      <c r="AW14" s="182"/>
      <c r="AX14" s="182"/>
      <c r="AY14" s="182"/>
      <c r="AZ14" s="182"/>
      <c r="BA14" s="182"/>
      <c r="BB14" s="182"/>
      <c r="BJ14" s="124"/>
    </row>
    <row r="15" spans="1:62" ht="12" customHeight="1" x14ac:dyDescent="0.2">
      <c r="A15" s="447"/>
      <c r="B15" s="447"/>
      <c r="C15" s="447"/>
      <c r="D15" s="447"/>
      <c r="E15" s="447"/>
      <c r="F15" s="447"/>
      <c r="G15" s="447"/>
      <c r="H15" s="447"/>
      <c r="I15" s="447"/>
      <c r="J15" s="447"/>
      <c r="K15" s="447"/>
      <c r="L15" s="447"/>
      <c r="M15" s="447"/>
      <c r="N15" s="447"/>
      <c r="O15" s="447"/>
      <c r="P15" s="447"/>
      <c r="Q15" s="447"/>
      <c r="R15" s="447"/>
      <c r="S15" s="400"/>
      <c r="T15" s="400"/>
      <c r="U15" s="400"/>
      <c r="V15" s="400"/>
      <c r="W15" s="400"/>
      <c r="X15" s="400"/>
      <c r="Y15" s="400"/>
      <c r="Z15" s="400"/>
      <c r="AA15" s="400"/>
      <c r="AB15" s="400"/>
      <c r="AC15" s="400"/>
      <c r="AD15" s="400"/>
      <c r="AE15" s="400"/>
      <c r="AF15" s="400"/>
      <c r="AG15" s="400"/>
      <c r="AH15" s="400"/>
      <c r="AI15" s="400"/>
      <c r="AJ15" s="400"/>
      <c r="AK15" s="182" t="s">
        <v>256</v>
      </c>
      <c r="AL15" s="182"/>
      <c r="AM15" s="182"/>
      <c r="AN15" s="182"/>
      <c r="AO15" s="182"/>
      <c r="AP15" s="182"/>
      <c r="AQ15" s="182"/>
      <c r="AR15" s="182"/>
      <c r="AS15" s="182"/>
      <c r="AT15" s="182"/>
      <c r="AU15" s="182"/>
      <c r="AV15" s="182"/>
      <c r="AW15" s="182"/>
      <c r="AX15" s="182"/>
      <c r="AY15" s="182"/>
      <c r="AZ15" s="182"/>
      <c r="BA15" s="182"/>
      <c r="BB15" s="182"/>
      <c r="BJ15" s="131"/>
    </row>
    <row r="16" spans="1:62" ht="12" customHeight="1" x14ac:dyDescent="0.2">
      <c r="A16" s="447"/>
      <c r="B16" s="447"/>
      <c r="C16" s="447"/>
      <c r="D16" s="447"/>
      <c r="E16" s="447"/>
      <c r="F16" s="447"/>
      <c r="G16" s="447"/>
      <c r="H16" s="447"/>
      <c r="I16" s="447"/>
      <c r="J16" s="447"/>
      <c r="K16" s="447"/>
      <c r="L16" s="447"/>
      <c r="M16" s="447"/>
      <c r="N16" s="447"/>
      <c r="O16" s="447"/>
      <c r="P16" s="447"/>
      <c r="Q16" s="447"/>
      <c r="R16" s="447"/>
      <c r="S16" s="400"/>
      <c r="T16" s="400"/>
      <c r="U16" s="400"/>
      <c r="V16" s="400"/>
      <c r="W16" s="400"/>
      <c r="X16" s="400"/>
      <c r="Y16" s="400"/>
      <c r="Z16" s="400"/>
      <c r="AA16" s="400"/>
      <c r="AB16" s="400"/>
      <c r="AC16" s="400"/>
      <c r="AD16" s="400"/>
      <c r="AE16" s="400"/>
      <c r="AF16" s="400"/>
      <c r="AG16" s="400"/>
      <c r="AH16" s="400"/>
      <c r="AI16" s="400"/>
      <c r="AJ16" s="400"/>
      <c r="AK16" s="182" t="s">
        <v>34</v>
      </c>
      <c r="AL16" s="182"/>
      <c r="AM16" s="182"/>
      <c r="AN16" s="182"/>
      <c r="AO16" s="182"/>
      <c r="AP16" s="182"/>
      <c r="AQ16" s="182"/>
      <c r="AR16" s="182"/>
      <c r="AS16" s="182"/>
      <c r="AT16" s="182"/>
      <c r="AU16" s="182"/>
      <c r="AV16" s="182"/>
      <c r="AW16" s="182"/>
      <c r="AX16" s="182"/>
      <c r="AY16" s="182"/>
      <c r="AZ16" s="182"/>
      <c r="BA16" s="182"/>
      <c r="BB16" s="182"/>
      <c r="BJ16" s="124"/>
    </row>
    <row r="17" spans="1:62" ht="12" customHeight="1" x14ac:dyDescent="0.2">
      <c r="A17" s="447"/>
      <c r="B17" s="447"/>
      <c r="C17" s="447"/>
      <c r="D17" s="447"/>
      <c r="E17" s="447"/>
      <c r="F17" s="447"/>
      <c r="G17" s="447"/>
      <c r="H17" s="447"/>
      <c r="I17" s="447"/>
      <c r="J17" s="447"/>
      <c r="K17" s="447"/>
      <c r="L17" s="447"/>
      <c r="M17" s="447"/>
      <c r="N17" s="447"/>
      <c r="O17" s="447"/>
      <c r="P17" s="447"/>
      <c r="Q17" s="447"/>
      <c r="R17" s="447"/>
      <c r="S17" s="400"/>
      <c r="T17" s="400"/>
      <c r="U17" s="400"/>
      <c r="V17" s="400"/>
      <c r="W17" s="400"/>
      <c r="X17" s="400"/>
      <c r="Y17" s="400"/>
      <c r="Z17" s="400"/>
      <c r="AA17" s="400"/>
      <c r="AB17" s="400"/>
      <c r="AC17" s="400"/>
      <c r="AD17" s="400"/>
      <c r="AE17" s="400"/>
      <c r="AF17" s="400"/>
      <c r="AG17" s="400"/>
      <c r="AH17" s="400"/>
      <c r="AI17" s="400"/>
      <c r="AJ17" s="400"/>
      <c r="AK17" s="182" t="s">
        <v>43</v>
      </c>
      <c r="AL17" s="182"/>
      <c r="AM17" s="182"/>
      <c r="AN17" s="182"/>
      <c r="AO17" s="182"/>
      <c r="AP17" s="182"/>
      <c r="AQ17" s="182"/>
      <c r="AR17" s="182"/>
      <c r="AS17" s="182"/>
      <c r="AT17" s="182"/>
      <c r="AU17" s="182"/>
      <c r="AV17" s="182"/>
      <c r="AW17" s="182"/>
      <c r="AX17" s="182"/>
      <c r="AY17" s="182"/>
      <c r="AZ17" s="182"/>
      <c r="BA17" s="182"/>
      <c r="BB17" s="182"/>
      <c r="BJ17" s="124"/>
    </row>
    <row r="18" spans="1:62" ht="12" customHeight="1" x14ac:dyDescent="0.2">
      <c r="A18" s="447"/>
      <c r="B18" s="447"/>
      <c r="C18" s="447"/>
      <c r="D18" s="447"/>
      <c r="E18" s="447"/>
      <c r="F18" s="447"/>
      <c r="G18" s="447"/>
      <c r="H18" s="447"/>
      <c r="I18" s="447"/>
      <c r="J18" s="447"/>
      <c r="K18" s="447"/>
      <c r="L18" s="447"/>
      <c r="M18" s="447"/>
      <c r="N18" s="447"/>
      <c r="O18" s="447"/>
      <c r="P18" s="447"/>
      <c r="Q18" s="447"/>
      <c r="R18" s="447"/>
      <c r="S18" s="400"/>
      <c r="T18" s="400"/>
      <c r="U18" s="400"/>
      <c r="V18" s="400"/>
      <c r="W18" s="400"/>
      <c r="X18" s="400"/>
      <c r="Y18" s="400"/>
      <c r="Z18" s="400"/>
      <c r="AA18" s="400"/>
      <c r="AB18" s="400"/>
      <c r="AC18" s="400"/>
      <c r="AD18" s="400"/>
      <c r="AE18" s="400"/>
      <c r="AF18" s="400"/>
      <c r="AG18" s="400"/>
      <c r="AH18" s="400"/>
      <c r="AI18" s="400"/>
      <c r="AJ18" s="400"/>
      <c r="AK18" s="156" t="s">
        <v>44</v>
      </c>
      <c r="AL18" s="156"/>
      <c r="AM18" s="156"/>
      <c r="AN18" s="156"/>
      <c r="AO18" s="156"/>
      <c r="AP18" s="156"/>
      <c r="AQ18" s="156"/>
      <c r="AR18" s="156"/>
      <c r="AS18" s="156"/>
      <c r="AT18" s="156"/>
      <c r="AU18" s="156"/>
      <c r="AV18" s="156"/>
      <c r="AW18" s="156"/>
      <c r="AX18" s="156"/>
      <c r="AY18" s="156"/>
      <c r="AZ18" s="156"/>
      <c r="BA18" s="156"/>
      <c r="BB18" s="156"/>
      <c r="BJ18" s="124"/>
    </row>
    <row r="19" spans="1:62" ht="12" customHeight="1" x14ac:dyDescent="0.2">
      <c r="A19" s="447"/>
      <c r="B19" s="447"/>
      <c r="C19" s="447"/>
      <c r="D19" s="447"/>
      <c r="E19" s="447"/>
      <c r="F19" s="447"/>
      <c r="G19" s="447"/>
      <c r="H19" s="447"/>
      <c r="I19" s="447"/>
      <c r="J19" s="447"/>
      <c r="K19" s="447"/>
      <c r="L19" s="447"/>
      <c r="M19" s="447"/>
      <c r="N19" s="447"/>
      <c r="O19" s="447"/>
      <c r="P19" s="447"/>
      <c r="Q19" s="447"/>
      <c r="R19" s="447"/>
      <c r="S19" s="400"/>
      <c r="T19" s="400"/>
      <c r="U19" s="400"/>
      <c r="V19" s="400"/>
      <c r="W19" s="400"/>
      <c r="X19" s="400"/>
      <c r="Y19" s="400"/>
      <c r="Z19" s="400"/>
      <c r="AA19" s="400"/>
      <c r="AB19" s="400"/>
      <c r="AC19" s="400"/>
      <c r="AD19" s="400"/>
      <c r="AE19" s="400"/>
      <c r="AF19" s="400"/>
      <c r="AG19" s="400"/>
      <c r="AH19" s="400"/>
      <c r="AI19" s="400"/>
      <c r="AJ19" s="400"/>
      <c r="AK19" s="182" t="s">
        <v>53</v>
      </c>
      <c r="AL19" s="182"/>
      <c r="AM19" s="182"/>
      <c r="AN19" s="182"/>
      <c r="AO19" s="182"/>
      <c r="AP19" s="182"/>
      <c r="AQ19" s="182"/>
      <c r="AR19" s="182"/>
      <c r="AS19" s="182"/>
      <c r="AT19" s="182"/>
      <c r="AU19" s="182"/>
      <c r="AV19" s="182"/>
      <c r="AW19" s="182"/>
      <c r="AX19" s="182"/>
      <c r="AY19" s="182"/>
      <c r="AZ19" s="182"/>
      <c r="BA19" s="182"/>
      <c r="BB19" s="182"/>
      <c r="BJ19" s="124"/>
    </row>
    <row r="20" spans="1:62" ht="12" customHeight="1" x14ac:dyDescent="0.2">
      <c r="A20" s="447"/>
      <c r="B20" s="447"/>
      <c r="C20" s="447"/>
      <c r="D20" s="447"/>
      <c r="E20" s="447"/>
      <c r="F20" s="447"/>
      <c r="G20" s="447"/>
      <c r="H20" s="447"/>
      <c r="I20" s="447"/>
      <c r="J20" s="447"/>
      <c r="K20" s="447"/>
      <c r="L20" s="447"/>
      <c r="M20" s="447"/>
      <c r="N20" s="447"/>
      <c r="O20" s="447"/>
      <c r="P20" s="447"/>
      <c r="Q20" s="447"/>
      <c r="R20" s="447"/>
      <c r="S20" s="400"/>
      <c r="T20" s="400"/>
      <c r="U20" s="400"/>
      <c r="V20" s="400"/>
      <c r="W20" s="400"/>
      <c r="X20" s="400"/>
      <c r="Y20" s="400"/>
      <c r="Z20" s="400"/>
      <c r="AA20" s="400"/>
      <c r="AB20" s="400"/>
      <c r="AC20" s="400"/>
      <c r="AD20" s="400"/>
      <c r="AE20" s="400"/>
      <c r="AF20" s="400"/>
      <c r="AG20" s="400"/>
      <c r="AH20" s="400"/>
      <c r="AI20" s="400"/>
      <c r="AJ20" s="400"/>
      <c r="AK20" s="182" t="s">
        <v>38</v>
      </c>
      <c r="AL20" s="182"/>
      <c r="AM20" s="182"/>
      <c r="AN20" s="182"/>
      <c r="AO20" s="182"/>
      <c r="AP20" s="182"/>
      <c r="AQ20" s="182"/>
      <c r="AR20" s="182"/>
      <c r="AS20" s="182"/>
      <c r="AT20" s="182"/>
      <c r="AU20" s="182"/>
      <c r="AV20" s="182"/>
      <c r="AW20" s="182"/>
      <c r="AX20" s="182"/>
      <c r="AY20" s="182"/>
      <c r="AZ20" s="182"/>
      <c r="BA20" s="182"/>
      <c r="BB20" s="182"/>
      <c r="BJ20" s="124"/>
    </row>
    <row r="21" spans="1:62" ht="12" customHeight="1" x14ac:dyDescent="0.2">
      <c r="A21" s="447"/>
      <c r="B21" s="447"/>
      <c r="C21" s="447"/>
      <c r="D21" s="447"/>
      <c r="E21" s="447"/>
      <c r="F21" s="447"/>
      <c r="G21" s="447"/>
      <c r="H21" s="447"/>
      <c r="I21" s="447"/>
      <c r="J21" s="447"/>
      <c r="K21" s="447"/>
      <c r="L21" s="447"/>
      <c r="M21" s="447"/>
      <c r="N21" s="447"/>
      <c r="O21" s="447"/>
      <c r="P21" s="447"/>
      <c r="Q21" s="447"/>
      <c r="R21" s="447"/>
      <c r="S21" s="400"/>
      <c r="T21" s="400"/>
      <c r="U21" s="400"/>
      <c r="V21" s="400"/>
      <c r="W21" s="400"/>
      <c r="X21" s="400"/>
      <c r="Y21" s="400"/>
      <c r="Z21" s="400"/>
      <c r="AA21" s="400"/>
      <c r="AB21" s="400"/>
      <c r="AC21" s="400"/>
      <c r="AD21" s="400"/>
      <c r="AE21" s="400"/>
      <c r="AF21" s="400"/>
      <c r="AG21" s="400"/>
      <c r="AH21" s="400"/>
      <c r="AI21" s="400"/>
      <c r="AJ21" s="400"/>
      <c r="AK21" s="156" t="s">
        <v>39</v>
      </c>
      <c r="AL21" s="156"/>
      <c r="AM21" s="156"/>
      <c r="AN21" s="156"/>
      <c r="AO21" s="156"/>
      <c r="AP21" s="156"/>
      <c r="AQ21" s="156"/>
      <c r="AR21" s="156"/>
      <c r="AS21" s="156"/>
      <c r="AT21" s="156"/>
      <c r="AU21" s="156"/>
      <c r="AV21" s="156"/>
      <c r="AW21" s="156"/>
      <c r="AX21" s="156"/>
      <c r="AY21" s="156"/>
      <c r="AZ21" s="156"/>
      <c r="BA21" s="156"/>
      <c r="BB21" s="156"/>
      <c r="BJ21" s="124"/>
    </row>
    <row r="22" spans="1:62" ht="12" customHeight="1" x14ac:dyDescent="0.2">
      <c r="A22" s="447"/>
      <c r="B22" s="447"/>
      <c r="C22" s="447"/>
      <c r="D22" s="447"/>
      <c r="E22" s="447"/>
      <c r="F22" s="447"/>
      <c r="G22" s="447"/>
      <c r="H22" s="447"/>
      <c r="I22" s="447"/>
      <c r="J22" s="447"/>
      <c r="K22" s="447"/>
      <c r="L22" s="447"/>
      <c r="M22" s="447"/>
      <c r="N22" s="447"/>
      <c r="O22" s="447"/>
      <c r="P22" s="447"/>
      <c r="Q22" s="447"/>
      <c r="R22" s="447"/>
      <c r="S22" s="400"/>
      <c r="T22" s="400"/>
      <c r="U22" s="400"/>
      <c r="V22" s="400"/>
      <c r="W22" s="400"/>
      <c r="X22" s="400"/>
      <c r="Y22" s="400"/>
      <c r="Z22" s="400"/>
      <c r="AA22" s="400"/>
      <c r="AB22" s="400"/>
      <c r="AC22" s="400"/>
      <c r="AD22" s="400"/>
      <c r="AE22" s="400"/>
      <c r="AF22" s="400"/>
      <c r="AG22" s="400"/>
      <c r="AH22" s="400"/>
      <c r="AI22" s="400"/>
      <c r="AJ22" s="400"/>
      <c r="AK22" s="156" t="s">
        <v>50</v>
      </c>
      <c r="AL22" s="156"/>
      <c r="AM22" s="156"/>
      <c r="AN22" s="156"/>
      <c r="AO22" s="156"/>
      <c r="AP22" s="156"/>
      <c r="AQ22" s="156"/>
      <c r="AR22" s="156"/>
      <c r="AS22" s="156"/>
      <c r="AT22" s="156"/>
      <c r="AU22" s="156"/>
      <c r="AV22" s="156"/>
      <c r="AW22" s="156"/>
      <c r="AX22" s="156"/>
      <c r="AY22" s="156"/>
      <c r="AZ22" s="156"/>
      <c r="BA22" s="156"/>
      <c r="BB22" s="156"/>
      <c r="BJ22" s="124"/>
    </row>
    <row r="23" spans="1:62" ht="12" customHeight="1" x14ac:dyDescent="0.2">
      <c r="A23" s="447"/>
      <c r="B23" s="447"/>
      <c r="C23" s="447"/>
      <c r="D23" s="447"/>
      <c r="E23" s="447"/>
      <c r="F23" s="447"/>
      <c r="G23" s="447"/>
      <c r="H23" s="447"/>
      <c r="I23" s="447"/>
      <c r="J23" s="447"/>
      <c r="K23" s="447"/>
      <c r="L23" s="447"/>
      <c r="M23" s="447"/>
      <c r="N23" s="447"/>
      <c r="O23" s="447"/>
      <c r="P23" s="447"/>
      <c r="Q23" s="447"/>
      <c r="R23" s="447"/>
      <c r="S23" s="400"/>
      <c r="T23" s="400"/>
      <c r="U23" s="400"/>
      <c r="V23" s="400"/>
      <c r="W23" s="400"/>
      <c r="X23" s="400"/>
      <c r="Y23" s="400"/>
      <c r="Z23" s="400"/>
      <c r="AA23" s="400"/>
      <c r="AB23" s="400"/>
      <c r="AC23" s="400"/>
      <c r="AD23" s="400"/>
      <c r="AE23" s="400"/>
      <c r="AF23" s="400"/>
      <c r="AG23" s="400"/>
      <c r="AH23" s="400"/>
      <c r="AI23" s="400"/>
      <c r="AJ23" s="400"/>
      <c r="AK23" s="182" t="s">
        <v>40</v>
      </c>
      <c r="AL23" s="182"/>
      <c r="AM23" s="182"/>
      <c r="AN23" s="182"/>
      <c r="AO23" s="182"/>
      <c r="AP23" s="182"/>
      <c r="AQ23" s="182"/>
      <c r="AR23" s="182"/>
      <c r="AS23" s="182"/>
      <c r="AT23" s="182"/>
      <c r="AU23" s="182"/>
      <c r="AV23" s="182"/>
      <c r="AW23" s="182"/>
      <c r="AX23" s="182"/>
      <c r="AY23" s="182"/>
      <c r="AZ23" s="182"/>
      <c r="BA23" s="182"/>
      <c r="BB23" s="182"/>
      <c r="BJ23" s="124"/>
    </row>
    <row r="24" spans="1:62" ht="12" customHeight="1" x14ac:dyDescent="0.2">
      <c r="A24" s="447"/>
      <c r="B24" s="447"/>
      <c r="C24" s="447"/>
      <c r="D24" s="447"/>
      <c r="E24" s="447"/>
      <c r="F24" s="447"/>
      <c r="G24" s="447"/>
      <c r="H24" s="447"/>
      <c r="I24" s="447"/>
      <c r="J24" s="447"/>
      <c r="K24" s="447"/>
      <c r="L24" s="447"/>
      <c r="M24" s="447"/>
      <c r="N24" s="447"/>
      <c r="O24" s="447"/>
      <c r="P24" s="447"/>
      <c r="Q24" s="447"/>
      <c r="R24" s="447"/>
      <c r="S24" s="400"/>
      <c r="T24" s="400"/>
      <c r="U24" s="400"/>
      <c r="V24" s="400"/>
      <c r="W24" s="400"/>
      <c r="X24" s="400"/>
      <c r="Y24" s="400"/>
      <c r="Z24" s="400"/>
      <c r="AA24" s="400"/>
      <c r="AB24" s="400"/>
      <c r="AC24" s="400"/>
      <c r="AD24" s="400"/>
      <c r="AE24" s="400"/>
      <c r="AF24" s="400"/>
      <c r="AG24" s="400"/>
      <c r="AH24" s="400"/>
      <c r="AI24" s="400"/>
      <c r="AJ24" s="400"/>
      <c r="AK24" s="182" t="s">
        <v>481</v>
      </c>
      <c r="AL24" s="182"/>
      <c r="AM24" s="182"/>
      <c r="AN24" s="182"/>
      <c r="AO24" s="182"/>
      <c r="AP24" s="182"/>
      <c r="AQ24" s="182"/>
      <c r="AR24" s="182"/>
      <c r="AS24" s="182"/>
      <c r="AT24" s="182"/>
      <c r="AU24" s="182"/>
      <c r="AV24" s="182"/>
      <c r="AW24" s="182"/>
      <c r="AX24" s="182"/>
      <c r="AY24" s="182"/>
      <c r="AZ24" s="182"/>
      <c r="BA24" s="182"/>
      <c r="BB24" s="182"/>
      <c r="BJ24" s="124"/>
    </row>
    <row r="25" spans="1:62" ht="12" customHeight="1" x14ac:dyDescent="0.2">
      <c r="A25" s="447"/>
      <c r="B25" s="447"/>
      <c r="C25" s="447"/>
      <c r="D25" s="447"/>
      <c r="E25" s="447"/>
      <c r="F25" s="447"/>
      <c r="G25" s="447"/>
      <c r="H25" s="447"/>
      <c r="I25" s="447"/>
      <c r="J25" s="447"/>
      <c r="K25" s="447"/>
      <c r="L25" s="447"/>
      <c r="M25" s="447"/>
      <c r="N25" s="447"/>
      <c r="O25" s="447"/>
      <c r="P25" s="447"/>
      <c r="Q25" s="447"/>
      <c r="R25" s="447"/>
      <c r="S25" s="400"/>
      <c r="T25" s="400"/>
      <c r="U25" s="400"/>
      <c r="V25" s="400"/>
      <c r="W25" s="400"/>
      <c r="X25" s="400"/>
      <c r="Y25" s="400"/>
      <c r="Z25" s="400"/>
      <c r="AA25" s="400"/>
      <c r="AB25" s="400"/>
      <c r="AC25" s="400"/>
      <c r="AD25" s="400"/>
      <c r="AE25" s="400"/>
      <c r="AF25" s="400"/>
      <c r="AG25" s="400"/>
      <c r="AH25" s="400"/>
      <c r="AI25" s="400"/>
      <c r="AJ25" s="400"/>
      <c r="AK25" s="182" t="s">
        <v>41</v>
      </c>
      <c r="AL25" s="182"/>
      <c r="AM25" s="182"/>
      <c r="AN25" s="182"/>
      <c r="AO25" s="182"/>
      <c r="AP25" s="182"/>
      <c r="AQ25" s="182"/>
      <c r="AR25" s="182"/>
      <c r="AS25" s="182"/>
      <c r="AT25" s="182"/>
      <c r="AU25" s="182"/>
      <c r="AV25" s="182"/>
      <c r="AW25" s="182"/>
      <c r="AX25" s="182"/>
      <c r="AY25" s="182"/>
      <c r="AZ25" s="182"/>
      <c r="BA25" s="182"/>
      <c r="BB25" s="182"/>
      <c r="BJ25" s="124"/>
    </row>
    <row r="26" spans="1:62" ht="12" customHeight="1" x14ac:dyDescent="0.2">
      <c r="A26" s="447"/>
      <c r="B26" s="447"/>
      <c r="C26" s="447"/>
      <c r="D26" s="447"/>
      <c r="E26" s="447"/>
      <c r="F26" s="447"/>
      <c r="G26" s="447"/>
      <c r="H26" s="447"/>
      <c r="I26" s="447"/>
      <c r="J26" s="447"/>
      <c r="K26" s="447"/>
      <c r="L26" s="447"/>
      <c r="M26" s="447"/>
      <c r="N26" s="447"/>
      <c r="O26" s="447"/>
      <c r="P26" s="447"/>
      <c r="Q26" s="447"/>
      <c r="R26" s="447"/>
      <c r="S26" s="400"/>
      <c r="T26" s="400"/>
      <c r="U26" s="400"/>
      <c r="V26" s="400"/>
      <c r="W26" s="400"/>
      <c r="X26" s="400"/>
      <c r="Y26" s="400"/>
      <c r="Z26" s="400"/>
      <c r="AA26" s="400"/>
      <c r="AB26" s="400"/>
      <c r="AC26" s="400"/>
      <c r="AD26" s="400"/>
      <c r="AE26" s="400"/>
      <c r="AF26" s="400"/>
      <c r="AG26" s="400"/>
      <c r="AH26" s="400"/>
      <c r="AI26" s="400"/>
      <c r="AJ26" s="400"/>
      <c r="AK26" s="156" t="s">
        <v>45</v>
      </c>
      <c r="AL26" s="156"/>
      <c r="AM26" s="156"/>
      <c r="AN26" s="156"/>
      <c r="AO26" s="156"/>
      <c r="AP26" s="156"/>
      <c r="AQ26" s="156"/>
      <c r="AR26" s="156"/>
      <c r="AS26" s="156"/>
      <c r="AT26" s="156"/>
      <c r="AU26" s="156"/>
      <c r="AV26" s="156"/>
      <c r="AW26" s="156"/>
      <c r="AX26" s="156"/>
      <c r="AY26" s="156"/>
      <c r="AZ26" s="156"/>
      <c r="BA26" s="156"/>
      <c r="BB26" s="156"/>
      <c r="BJ26" s="124"/>
    </row>
    <row r="27" spans="1:62" ht="12" customHeight="1" x14ac:dyDescent="0.2">
      <c r="A27" s="447"/>
      <c r="B27" s="447"/>
      <c r="C27" s="447"/>
      <c r="D27" s="447"/>
      <c r="E27" s="447"/>
      <c r="F27" s="447"/>
      <c r="G27" s="447"/>
      <c r="H27" s="447"/>
      <c r="I27" s="447"/>
      <c r="J27" s="447"/>
      <c r="K27" s="447"/>
      <c r="L27" s="447"/>
      <c r="M27" s="447"/>
      <c r="N27" s="447"/>
      <c r="O27" s="447"/>
      <c r="P27" s="447"/>
      <c r="Q27" s="447"/>
      <c r="R27" s="447"/>
      <c r="S27" s="400"/>
      <c r="T27" s="400"/>
      <c r="U27" s="400"/>
      <c r="V27" s="400"/>
      <c r="W27" s="400"/>
      <c r="X27" s="400"/>
      <c r="Y27" s="400"/>
      <c r="Z27" s="400"/>
      <c r="AA27" s="400"/>
      <c r="AB27" s="400"/>
      <c r="AC27" s="400"/>
      <c r="AD27" s="400"/>
      <c r="AE27" s="400"/>
      <c r="AF27" s="400"/>
      <c r="AG27" s="400"/>
      <c r="AH27" s="400"/>
      <c r="AI27" s="400"/>
      <c r="AJ27" s="400"/>
      <c r="AK27" s="182" t="s">
        <v>46</v>
      </c>
      <c r="AL27" s="182"/>
      <c r="AM27" s="182"/>
      <c r="AN27" s="182"/>
      <c r="AO27" s="182"/>
      <c r="AP27" s="182"/>
      <c r="AQ27" s="182"/>
      <c r="AR27" s="182"/>
      <c r="AS27" s="182"/>
      <c r="AT27" s="182"/>
      <c r="AU27" s="182"/>
      <c r="AV27" s="182"/>
      <c r="AW27" s="182"/>
      <c r="AX27" s="182"/>
      <c r="AY27" s="182"/>
      <c r="AZ27" s="182"/>
      <c r="BA27" s="182"/>
      <c r="BB27" s="182"/>
      <c r="BJ27" s="124"/>
    </row>
    <row r="28" spans="1:62" ht="12" customHeight="1" x14ac:dyDescent="0.2">
      <c r="A28" s="447"/>
      <c r="B28" s="447"/>
      <c r="C28" s="447"/>
      <c r="D28" s="447"/>
      <c r="E28" s="447"/>
      <c r="F28" s="447"/>
      <c r="G28" s="447"/>
      <c r="H28" s="447"/>
      <c r="I28" s="447"/>
      <c r="J28" s="447"/>
      <c r="K28" s="447"/>
      <c r="L28" s="447"/>
      <c r="M28" s="447"/>
      <c r="N28" s="447"/>
      <c r="O28" s="447"/>
      <c r="P28" s="447"/>
      <c r="Q28" s="447"/>
      <c r="R28" s="447"/>
      <c r="S28" s="400"/>
      <c r="T28" s="400"/>
      <c r="U28" s="400"/>
      <c r="V28" s="400"/>
      <c r="W28" s="400"/>
      <c r="X28" s="400"/>
      <c r="Y28" s="400"/>
      <c r="Z28" s="400"/>
      <c r="AA28" s="400"/>
      <c r="AB28" s="400"/>
      <c r="AC28" s="400"/>
      <c r="AD28" s="400"/>
      <c r="AE28" s="400"/>
      <c r="AF28" s="400"/>
      <c r="AG28" s="400"/>
      <c r="AH28" s="400"/>
      <c r="AI28" s="400"/>
      <c r="AJ28" s="400"/>
      <c r="AK28" s="182" t="s">
        <v>47</v>
      </c>
      <c r="AL28" s="182"/>
      <c r="AM28" s="182"/>
      <c r="AN28" s="182"/>
      <c r="AO28" s="182"/>
      <c r="AP28" s="182"/>
      <c r="AQ28" s="182"/>
      <c r="AR28" s="182"/>
      <c r="AS28" s="182"/>
      <c r="AT28" s="182"/>
      <c r="AU28" s="182"/>
      <c r="AV28" s="182"/>
      <c r="AW28" s="182"/>
      <c r="AX28" s="182"/>
      <c r="AY28" s="182"/>
      <c r="AZ28" s="182"/>
      <c r="BA28" s="182"/>
      <c r="BB28" s="182"/>
      <c r="BJ28" s="124"/>
    </row>
    <row r="29" spans="1:62" ht="12" customHeight="1" x14ac:dyDescent="0.2">
      <c r="A29" s="447"/>
      <c r="B29" s="447"/>
      <c r="C29" s="447"/>
      <c r="D29" s="447"/>
      <c r="E29" s="447"/>
      <c r="F29" s="447"/>
      <c r="G29" s="447"/>
      <c r="H29" s="447"/>
      <c r="I29" s="447"/>
      <c r="J29" s="447"/>
      <c r="K29" s="447"/>
      <c r="L29" s="447"/>
      <c r="M29" s="447"/>
      <c r="N29" s="447"/>
      <c r="O29" s="447"/>
      <c r="P29" s="447"/>
      <c r="Q29" s="447"/>
      <c r="R29" s="447"/>
      <c r="S29" s="400"/>
      <c r="T29" s="400"/>
      <c r="U29" s="400"/>
      <c r="V29" s="400"/>
      <c r="W29" s="400"/>
      <c r="X29" s="400"/>
      <c r="Y29" s="400"/>
      <c r="Z29" s="400"/>
      <c r="AA29" s="400"/>
      <c r="AB29" s="400"/>
      <c r="AC29" s="400"/>
      <c r="AD29" s="400"/>
      <c r="AE29" s="400"/>
      <c r="AF29" s="400"/>
      <c r="AG29" s="400"/>
      <c r="AH29" s="400"/>
      <c r="AI29" s="400"/>
      <c r="AJ29" s="400"/>
      <c r="AK29" s="182" t="s">
        <v>48</v>
      </c>
      <c r="AL29" s="182"/>
      <c r="AM29" s="182"/>
      <c r="AN29" s="182"/>
      <c r="AO29" s="182"/>
      <c r="AP29" s="182"/>
      <c r="AQ29" s="182"/>
      <c r="AR29" s="182"/>
      <c r="AS29" s="182"/>
      <c r="AT29" s="182"/>
      <c r="AU29" s="182"/>
      <c r="AV29" s="182"/>
      <c r="AW29" s="182"/>
      <c r="AX29" s="182"/>
      <c r="AY29" s="182"/>
      <c r="AZ29" s="182"/>
      <c r="BA29" s="182"/>
      <c r="BB29" s="182"/>
      <c r="BJ29" s="124"/>
    </row>
    <row r="30" spans="1:62" ht="12" customHeight="1" x14ac:dyDescent="0.2">
      <c r="A30" s="447"/>
      <c r="B30" s="447"/>
      <c r="C30" s="447"/>
      <c r="D30" s="447"/>
      <c r="E30" s="447"/>
      <c r="F30" s="447"/>
      <c r="G30" s="447"/>
      <c r="H30" s="447"/>
      <c r="I30" s="447"/>
      <c r="J30" s="447"/>
      <c r="K30" s="447"/>
      <c r="L30" s="447"/>
      <c r="M30" s="447"/>
      <c r="N30" s="447"/>
      <c r="O30" s="447"/>
      <c r="P30" s="447"/>
      <c r="Q30" s="447"/>
      <c r="R30" s="447"/>
      <c r="S30" s="400"/>
      <c r="T30" s="400"/>
      <c r="U30" s="400"/>
      <c r="V30" s="400"/>
      <c r="W30" s="400"/>
      <c r="X30" s="400"/>
      <c r="Y30" s="400"/>
      <c r="Z30" s="400"/>
      <c r="AA30" s="400"/>
      <c r="AB30" s="400"/>
      <c r="AC30" s="400"/>
      <c r="AD30" s="400"/>
      <c r="AE30" s="400"/>
      <c r="AF30" s="400"/>
      <c r="AG30" s="400"/>
      <c r="AH30" s="400"/>
      <c r="AI30" s="400"/>
      <c r="AJ30" s="400"/>
      <c r="AK30" s="182" t="s">
        <v>49</v>
      </c>
      <c r="AL30" s="182"/>
      <c r="AM30" s="182"/>
      <c r="AN30" s="182"/>
      <c r="AO30" s="182"/>
      <c r="AP30" s="182"/>
      <c r="AQ30" s="182"/>
      <c r="AR30" s="182"/>
      <c r="AS30" s="182"/>
      <c r="AT30" s="182"/>
      <c r="AU30" s="182"/>
      <c r="AV30" s="182"/>
      <c r="AW30" s="182"/>
      <c r="AX30" s="182"/>
      <c r="AY30" s="182"/>
      <c r="AZ30" s="182"/>
      <c r="BA30" s="182"/>
      <c r="BB30" s="182"/>
      <c r="BJ30" s="124"/>
    </row>
    <row r="31" spans="1:62" ht="12" customHeight="1" x14ac:dyDescent="0.2">
      <c r="A31" s="447"/>
      <c r="B31" s="447"/>
      <c r="C31" s="447"/>
      <c r="D31" s="447"/>
      <c r="E31" s="447"/>
      <c r="F31" s="447"/>
      <c r="G31" s="447"/>
      <c r="H31" s="447"/>
      <c r="I31" s="447"/>
      <c r="J31" s="447"/>
      <c r="K31" s="447"/>
      <c r="L31" s="447"/>
      <c r="M31" s="447"/>
      <c r="N31" s="447"/>
      <c r="O31" s="447"/>
      <c r="P31" s="447"/>
      <c r="Q31" s="447"/>
      <c r="R31" s="447"/>
      <c r="S31" s="400"/>
      <c r="T31" s="400"/>
      <c r="U31" s="400"/>
      <c r="V31" s="400"/>
      <c r="W31" s="400"/>
      <c r="X31" s="400"/>
      <c r="Y31" s="400"/>
      <c r="Z31" s="400"/>
      <c r="AA31" s="400"/>
      <c r="AB31" s="400"/>
      <c r="AC31" s="400"/>
      <c r="AD31" s="400"/>
      <c r="AE31" s="400"/>
      <c r="AF31" s="400"/>
      <c r="AG31" s="400"/>
      <c r="AH31" s="400"/>
      <c r="AI31" s="400"/>
      <c r="AJ31" s="400"/>
      <c r="AK31" s="182" t="s">
        <v>42</v>
      </c>
      <c r="AL31" s="182"/>
      <c r="AM31" s="182"/>
      <c r="AN31" s="182"/>
      <c r="AO31" s="182"/>
      <c r="AP31" s="182"/>
      <c r="AQ31" s="182"/>
      <c r="AR31" s="182"/>
      <c r="AS31" s="182"/>
      <c r="AT31" s="182"/>
      <c r="AU31" s="182"/>
      <c r="AV31" s="182"/>
      <c r="AW31" s="182"/>
      <c r="AX31" s="182"/>
      <c r="AY31" s="182"/>
      <c r="AZ31" s="182"/>
      <c r="BA31" s="182"/>
      <c r="BB31" s="182"/>
      <c r="BJ31" s="124"/>
    </row>
    <row r="32" spans="1:62" ht="12" customHeight="1" x14ac:dyDescent="0.2">
      <c r="A32" s="447"/>
      <c r="B32" s="447"/>
      <c r="C32" s="447"/>
      <c r="D32" s="447"/>
      <c r="E32" s="447"/>
      <c r="F32" s="447"/>
      <c r="G32" s="447"/>
      <c r="H32" s="447"/>
      <c r="I32" s="447"/>
      <c r="J32" s="447"/>
      <c r="K32" s="447"/>
      <c r="L32" s="447"/>
      <c r="M32" s="447"/>
      <c r="N32" s="447"/>
      <c r="O32" s="447"/>
      <c r="P32" s="447"/>
      <c r="Q32" s="447"/>
      <c r="R32" s="447"/>
      <c r="S32" s="400"/>
      <c r="T32" s="400"/>
      <c r="U32" s="400"/>
      <c r="V32" s="400"/>
      <c r="W32" s="400"/>
      <c r="X32" s="400"/>
      <c r="Y32" s="400"/>
      <c r="Z32" s="400"/>
      <c r="AA32" s="400"/>
      <c r="AB32" s="400"/>
      <c r="AC32" s="400"/>
      <c r="AD32" s="400"/>
      <c r="AE32" s="400"/>
      <c r="AF32" s="400"/>
      <c r="AG32" s="400"/>
      <c r="AH32" s="400"/>
      <c r="AI32" s="400"/>
      <c r="AJ32" s="400"/>
      <c r="AK32" s="182" t="s">
        <v>54</v>
      </c>
      <c r="AL32" s="182"/>
      <c r="AM32" s="182"/>
      <c r="AN32" s="182"/>
      <c r="AO32" s="182"/>
      <c r="AP32" s="182"/>
      <c r="AQ32" s="182"/>
      <c r="AR32" s="182"/>
      <c r="AS32" s="182"/>
      <c r="AT32" s="182"/>
      <c r="AU32" s="182"/>
      <c r="AV32" s="182"/>
      <c r="AW32" s="182"/>
      <c r="AX32" s="182"/>
      <c r="AY32" s="182"/>
      <c r="AZ32" s="182"/>
      <c r="BA32" s="182"/>
      <c r="BB32" s="182"/>
      <c r="BJ32" s="131"/>
    </row>
    <row r="33" spans="1:62" ht="12" customHeight="1" x14ac:dyDescent="0.2">
      <c r="A33" s="447"/>
      <c r="B33" s="447"/>
      <c r="C33" s="447"/>
      <c r="D33" s="447"/>
      <c r="E33" s="447"/>
      <c r="F33" s="447"/>
      <c r="G33" s="447"/>
      <c r="H33" s="447"/>
      <c r="I33" s="447"/>
      <c r="J33" s="447"/>
      <c r="K33" s="447"/>
      <c r="L33" s="447"/>
      <c r="M33" s="447"/>
      <c r="N33" s="447"/>
      <c r="O33" s="447"/>
      <c r="P33" s="447"/>
      <c r="Q33" s="447"/>
      <c r="R33" s="447"/>
      <c r="S33" s="400"/>
      <c r="T33" s="400"/>
      <c r="U33" s="400"/>
      <c r="V33" s="400"/>
      <c r="W33" s="400"/>
      <c r="X33" s="400"/>
      <c r="Y33" s="400"/>
      <c r="Z33" s="400"/>
      <c r="AA33" s="400"/>
      <c r="AB33" s="400"/>
      <c r="AC33" s="400"/>
      <c r="AD33" s="400"/>
      <c r="AE33" s="400"/>
      <c r="AF33" s="400"/>
      <c r="AG33" s="400"/>
      <c r="AH33" s="400"/>
      <c r="AI33" s="400"/>
      <c r="AJ33" s="400"/>
      <c r="AK33" s="182" t="s">
        <v>257</v>
      </c>
      <c r="AL33" s="182"/>
      <c r="AM33" s="182"/>
      <c r="AN33" s="182"/>
      <c r="AO33" s="182"/>
      <c r="AP33" s="182"/>
      <c r="AQ33" s="182"/>
      <c r="AR33" s="182"/>
      <c r="AS33" s="182"/>
      <c r="AT33" s="182"/>
      <c r="AU33" s="182"/>
      <c r="AV33" s="182"/>
      <c r="AW33" s="182"/>
      <c r="AX33" s="182"/>
      <c r="AY33" s="182"/>
      <c r="AZ33" s="182"/>
      <c r="BA33" s="182"/>
      <c r="BB33" s="182"/>
      <c r="BJ33" s="131"/>
    </row>
    <row r="34" spans="1:62" ht="12" customHeight="1" x14ac:dyDescent="0.2">
      <c r="A34" s="447"/>
      <c r="B34" s="447"/>
      <c r="C34" s="447"/>
      <c r="D34" s="447"/>
      <c r="E34" s="447"/>
      <c r="F34" s="447"/>
      <c r="G34" s="447"/>
      <c r="H34" s="447"/>
      <c r="I34" s="447"/>
      <c r="J34" s="447"/>
      <c r="K34" s="447"/>
      <c r="L34" s="447"/>
      <c r="M34" s="447"/>
      <c r="N34" s="447"/>
      <c r="O34" s="447"/>
      <c r="P34" s="447"/>
      <c r="Q34" s="447"/>
      <c r="R34" s="447"/>
      <c r="S34" s="400"/>
      <c r="T34" s="400"/>
      <c r="U34" s="400"/>
      <c r="V34" s="400"/>
      <c r="W34" s="400"/>
      <c r="X34" s="400"/>
      <c r="Y34" s="400"/>
      <c r="Z34" s="400"/>
      <c r="AA34" s="400"/>
      <c r="AB34" s="400"/>
      <c r="AC34" s="400"/>
      <c r="AD34" s="400"/>
      <c r="AE34" s="400"/>
      <c r="AF34" s="400"/>
      <c r="AG34" s="400"/>
      <c r="AH34" s="400"/>
      <c r="AI34" s="400"/>
      <c r="AJ34" s="400"/>
      <c r="AK34" s="182" t="s">
        <v>238</v>
      </c>
      <c r="AL34" s="182"/>
      <c r="AM34" s="182"/>
      <c r="AN34" s="182"/>
      <c r="AO34" s="182"/>
      <c r="AP34" s="182"/>
      <c r="AQ34" s="182"/>
      <c r="AR34" s="182"/>
      <c r="AS34" s="182"/>
      <c r="AT34" s="182"/>
      <c r="AU34" s="182"/>
      <c r="AV34" s="182"/>
      <c r="AW34" s="182"/>
      <c r="AX34" s="182"/>
      <c r="AY34" s="182"/>
      <c r="AZ34" s="182"/>
      <c r="BA34" s="182"/>
      <c r="BB34" s="182"/>
      <c r="BJ34" s="131"/>
    </row>
    <row r="35" spans="1:62" ht="12" customHeight="1" x14ac:dyDescent="0.2">
      <c r="A35" s="447"/>
      <c r="B35" s="447"/>
      <c r="C35" s="447"/>
      <c r="D35" s="447"/>
      <c r="E35" s="447"/>
      <c r="F35" s="447"/>
      <c r="G35" s="447"/>
      <c r="H35" s="447"/>
      <c r="I35" s="447"/>
      <c r="J35" s="447"/>
      <c r="K35" s="447"/>
      <c r="L35" s="447"/>
      <c r="M35" s="447"/>
      <c r="N35" s="447"/>
      <c r="O35" s="447"/>
      <c r="P35" s="447"/>
      <c r="Q35" s="447"/>
      <c r="R35" s="447"/>
      <c r="S35" s="400"/>
      <c r="T35" s="400"/>
      <c r="U35" s="400"/>
      <c r="V35" s="400"/>
      <c r="W35" s="400"/>
      <c r="X35" s="400"/>
      <c r="Y35" s="400"/>
      <c r="Z35" s="400"/>
      <c r="AA35" s="400"/>
      <c r="AB35" s="400"/>
      <c r="AC35" s="400"/>
      <c r="AD35" s="400"/>
      <c r="AE35" s="400"/>
      <c r="AF35" s="400"/>
      <c r="AG35" s="400"/>
      <c r="AH35" s="400"/>
      <c r="AI35" s="400"/>
      <c r="AJ35" s="400"/>
      <c r="AK35" s="156"/>
      <c r="AL35" s="156"/>
      <c r="AM35" s="156"/>
      <c r="AN35" s="156"/>
      <c r="AO35" s="156"/>
      <c r="AP35" s="156"/>
      <c r="AQ35" s="156"/>
      <c r="AR35" s="156"/>
      <c r="AS35" s="156"/>
      <c r="AT35" s="156"/>
      <c r="AU35" s="156"/>
      <c r="AV35" s="156"/>
      <c r="AW35" s="156"/>
      <c r="AX35" s="156"/>
      <c r="AY35" s="156"/>
      <c r="AZ35" s="156"/>
      <c r="BA35" s="156"/>
      <c r="BB35" s="156"/>
    </row>
    <row r="36" spans="1:62" ht="12" customHeight="1" x14ac:dyDescent="0.2">
      <c r="A36" s="447"/>
      <c r="B36" s="447"/>
      <c r="C36" s="447"/>
      <c r="D36" s="447"/>
      <c r="E36" s="447"/>
      <c r="F36" s="447"/>
      <c r="G36" s="447"/>
      <c r="H36" s="447"/>
      <c r="I36" s="447"/>
      <c r="J36" s="447"/>
      <c r="K36" s="447"/>
      <c r="L36" s="447"/>
      <c r="M36" s="447"/>
      <c r="N36" s="447"/>
      <c r="O36" s="447"/>
      <c r="P36" s="447"/>
      <c r="Q36" s="447"/>
      <c r="R36" s="447"/>
      <c r="S36" s="400"/>
      <c r="T36" s="400"/>
      <c r="U36" s="400"/>
      <c r="V36" s="400"/>
      <c r="W36" s="400"/>
      <c r="X36" s="400"/>
      <c r="Y36" s="400"/>
      <c r="Z36" s="400"/>
      <c r="AA36" s="400"/>
      <c r="AB36" s="400"/>
      <c r="AC36" s="400"/>
      <c r="AD36" s="400"/>
      <c r="AE36" s="400"/>
      <c r="AF36" s="400"/>
      <c r="AG36" s="400"/>
      <c r="AH36" s="400"/>
      <c r="AI36" s="400"/>
      <c r="AJ36" s="400"/>
      <c r="AK36" s="156"/>
      <c r="AL36" s="156"/>
      <c r="AM36" s="156"/>
      <c r="AN36" s="156"/>
      <c r="AO36" s="156"/>
      <c r="AP36" s="156"/>
      <c r="AQ36" s="156"/>
      <c r="AR36" s="156"/>
      <c r="AS36" s="156"/>
      <c r="AT36" s="156"/>
      <c r="AU36" s="156"/>
      <c r="AV36" s="156"/>
      <c r="AW36" s="156"/>
      <c r="AX36" s="156"/>
      <c r="AY36" s="156"/>
      <c r="AZ36" s="156"/>
      <c r="BA36" s="156"/>
      <c r="BB36" s="156"/>
    </row>
    <row r="37" spans="1:62" ht="12" customHeight="1" x14ac:dyDescent="0.2">
      <c r="A37" s="447"/>
      <c r="B37" s="447"/>
      <c r="C37" s="447"/>
      <c r="D37" s="447"/>
      <c r="E37" s="447"/>
      <c r="F37" s="447"/>
      <c r="G37" s="447"/>
      <c r="H37" s="447"/>
      <c r="I37" s="447"/>
      <c r="J37" s="447"/>
      <c r="K37" s="447"/>
      <c r="L37" s="447"/>
      <c r="M37" s="447"/>
      <c r="N37" s="447"/>
      <c r="O37" s="447"/>
      <c r="P37" s="447"/>
      <c r="Q37" s="447"/>
      <c r="R37" s="447"/>
      <c r="S37" s="400"/>
      <c r="T37" s="400"/>
      <c r="U37" s="400"/>
      <c r="V37" s="400"/>
      <c r="W37" s="400"/>
      <c r="X37" s="400"/>
      <c r="Y37" s="400"/>
      <c r="Z37" s="400"/>
      <c r="AA37" s="400"/>
      <c r="AB37" s="400"/>
      <c r="AC37" s="400"/>
      <c r="AD37" s="400"/>
      <c r="AE37" s="400"/>
      <c r="AF37" s="400"/>
      <c r="AG37" s="400"/>
      <c r="AH37" s="400"/>
      <c r="AI37" s="400"/>
      <c r="AJ37" s="400"/>
      <c r="AK37" s="156"/>
      <c r="AL37" s="156"/>
      <c r="AM37" s="156"/>
      <c r="AN37" s="156"/>
      <c r="AO37" s="156"/>
      <c r="AP37" s="156"/>
      <c r="AQ37" s="156"/>
      <c r="AR37" s="156"/>
      <c r="AS37" s="156"/>
      <c r="AT37" s="156"/>
      <c r="AU37" s="156"/>
      <c r="AV37" s="156"/>
      <c r="AW37" s="156"/>
      <c r="AX37" s="156"/>
      <c r="AY37" s="156"/>
      <c r="AZ37" s="156"/>
      <c r="BA37" s="156"/>
      <c r="BB37" s="156"/>
    </row>
    <row r="38" spans="1:62" ht="12" customHeight="1" x14ac:dyDescent="0.2">
      <c r="A38" s="447"/>
      <c r="B38" s="447"/>
      <c r="C38" s="447"/>
      <c r="D38" s="447"/>
      <c r="E38" s="447"/>
      <c r="F38" s="447"/>
      <c r="G38" s="447"/>
      <c r="H38" s="447"/>
      <c r="I38" s="447"/>
      <c r="J38" s="447"/>
      <c r="K38" s="447"/>
      <c r="L38" s="447"/>
      <c r="M38" s="447"/>
      <c r="N38" s="447"/>
      <c r="O38" s="447"/>
      <c r="P38" s="447"/>
      <c r="Q38" s="447"/>
      <c r="R38" s="447"/>
      <c r="S38" s="400"/>
      <c r="T38" s="400"/>
      <c r="U38" s="400"/>
      <c r="V38" s="400"/>
      <c r="W38" s="400"/>
      <c r="X38" s="400"/>
      <c r="Y38" s="400"/>
      <c r="Z38" s="400"/>
      <c r="AA38" s="400"/>
      <c r="AB38" s="400"/>
      <c r="AC38" s="400"/>
      <c r="AD38" s="400"/>
      <c r="AE38" s="400"/>
      <c r="AF38" s="400"/>
      <c r="AG38" s="400"/>
      <c r="AH38" s="400"/>
      <c r="AI38" s="400"/>
      <c r="AJ38" s="400"/>
      <c r="AK38" s="156"/>
      <c r="AL38" s="156"/>
      <c r="AM38" s="156"/>
      <c r="AN38" s="156"/>
      <c r="AO38" s="156"/>
      <c r="AP38" s="156"/>
      <c r="AQ38" s="156"/>
      <c r="AR38" s="156"/>
      <c r="AS38" s="156"/>
      <c r="AT38" s="156"/>
      <c r="AU38" s="156"/>
      <c r="AV38" s="156"/>
      <c r="AW38" s="156"/>
      <c r="AX38" s="156"/>
      <c r="AY38" s="156"/>
      <c r="AZ38" s="156"/>
      <c r="BA38" s="156"/>
      <c r="BB38" s="156"/>
    </row>
    <row r="39" spans="1:62" ht="12" customHeight="1" x14ac:dyDescent="0.2">
      <c r="A39" s="447"/>
      <c r="B39" s="447"/>
      <c r="C39" s="447"/>
      <c r="D39" s="447"/>
      <c r="E39" s="447"/>
      <c r="F39" s="447"/>
      <c r="G39" s="447"/>
      <c r="H39" s="447"/>
      <c r="I39" s="447"/>
      <c r="J39" s="447"/>
      <c r="K39" s="447"/>
      <c r="L39" s="447"/>
      <c r="M39" s="447"/>
      <c r="N39" s="447"/>
      <c r="O39" s="447"/>
      <c r="P39" s="447"/>
      <c r="Q39" s="447"/>
      <c r="R39" s="447"/>
      <c r="S39" s="400"/>
      <c r="T39" s="400"/>
      <c r="U39" s="400"/>
      <c r="V39" s="400"/>
      <c r="W39" s="400"/>
      <c r="X39" s="400"/>
      <c r="Y39" s="400"/>
      <c r="Z39" s="400"/>
      <c r="AA39" s="400"/>
      <c r="AB39" s="400"/>
      <c r="AC39" s="400"/>
      <c r="AD39" s="400"/>
      <c r="AE39" s="400"/>
      <c r="AF39" s="400"/>
      <c r="AG39" s="400"/>
      <c r="AH39" s="400"/>
      <c r="AI39" s="400"/>
      <c r="AJ39" s="400"/>
      <c r="AK39" s="156"/>
      <c r="AL39" s="156"/>
      <c r="AM39" s="156"/>
      <c r="AN39" s="156"/>
      <c r="AO39" s="156"/>
      <c r="AP39" s="156"/>
      <c r="AQ39" s="156"/>
      <c r="AR39" s="156"/>
      <c r="AS39" s="156"/>
      <c r="AT39" s="156"/>
      <c r="AU39" s="156"/>
      <c r="AV39" s="156"/>
      <c r="AW39" s="156"/>
      <c r="AX39" s="156"/>
      <c r="AY39" s="156"/>
      <c r="AZ39" s="156"/>
      <c r="BA39" s="156"/>
      <c r="BB39" s="156"/>
    </row>
    <row r="40" spans="1:62" ht="12" customHeight="1" x14ac:dyDescent="0.2">
      <c r="A40" s="447"/>
      <c r="B40" s="447"/>
      <c r="C40" s="447"/>
      <c r="D40" s="447"/>
      <c r="E40" s="447"/>
      <c r="F40" s="447"/>
      <c r="G40" s="447"/>
      <c r="H40" s="447"/>
      <c r="I40" s="447"/>
      <c r="J40" s="447"/>
      <c r="K40" s="447"/>
      <c r="L40" s="447"/>
      <c r="M40" s="447"/>
      <c r="N40" s="447"/>
      <c r="O40" s="447"/>
      <c r="P40" s="447"/>
      <c r="Q40" s="447"/>
      <c r="R40" s="447"/>
      <c r="S40" s="400"/>
      <c r="T40" s="400"/>
      <c r="U40" s="400"/>
      <c r="V40" s="400"/>
      <c r="W40" s="400"/>
      <c r="X40" s="400"/>
      <c r="Y40" s="400"/>
      <c r="Z40" s="400"/>
      <c r="AA40" s="400"/>
      <c r="AB40" s="400"/>
      <c r="AC40" s="400"/>
      <c r="AD40" s="400"/>
      <c r="AE40" s="400"/>
      <c r="AF40" s="400"/>
      <c r="AG40" s="400"/>
      <c r="AH40" s="400"/>
      <c r="AI40" s="400"/>
      <c r="AJ40" s="400"/>
      <c r="AK40" s="156"/>
      <c r="AL40" s="156"/>
      <c r="AM40" s="156"/>
      <c r="AN40" s="156"/>
      <c r="AO40" s="156"/>
      <c r="AP40" s="156"/>
      <c r="AQ40" s="156"/>
      <c r="AR40" s="156"/>
      <c r="AS40" s="156"/>
      <c r="AT40" s="156"/>
      <c r="AU40" s="156"/>
      <c r="AV40" s="156"/>
      <c r="AW40" s="156"/>
      <c r="AX40" s="156"/>
      <c r="AY40" s="156"/>
      <c r="AZ40" s="156"/>
      <c r="BA40" s="156"/>
      <c r="BB40" s="156"/>
    </row>
    <row r="41" spans="1:62" ht="12" customHeight="1" x14ac:dyDescent="0.2">
      <c r="A41" s="447"/>
      <c r="B41" s="447"/>
      <c r="C41" s="447"/>
      <c r="D41" s="447"/>
      <c r="E41" s="447"/>
      <c r="F41" s="447"/>
      <c r="G41" s="447"/>
      <c r="H41" s="447"/>
      <c r="I41" s="447"/>
      <c r="J41" s="447"/>
      <c r="K41" s="447"/>
      <c r="L41" s="447"/>
      <c r="M41" s="447"/>
      <c r="N41" s="447"/>
      <c r="O41" s="447"/>
      <c r="P41" s="447"/>
      <c r="Q41" s="447"/>
      <c r="R41" s="447"/>
      <c r="S41" s="400"/>
      <c r="T41" s="400"/>
      <c r="U41" s="400"/>
      <c r="V41" s="400"/>
      <c r="W41" s="400"/>
      <c r="X41" s="400"/>
      <c r="Y41" s="400"/>
      <c r="Z41" s="400"/>
      <c r="AA41" s="400"/>
      <c r="AB41" s="400"/>
      <c r="AC41" s="400"/>
      <c r="AD41" s="400"/>
      <c r="AE41" s="400"/>
      <c r="AF41" s="400"/>
      <c r="AG41" s="400"/>
      <c r="AH41" s="400"/>
      <c r="AI41" s="400"/>
      <c r="AJ41" s="400"/>
      <c r="AK41" s="156"/>
      <c r="AL41" s="156"/>
      <c r="AM41" s="156"/>
      <c r="AN41" s="156"/>
      <c r="AO41" s="156"/>
      <c r="AP41" s="156"/>
      <c r="AQ41" s="156"/>
      <c r="AR41" s="156"/>
      <c r="AS41" s="156"/>
      <c r="AT41" s="156"/>
      <c r="AU41" s="156"/>
      <c r="AV41" s="156"/>
      <c r="AW41" s="156"/>
      <c r="AX41" s="156"/>
      <c r="AY41" s="156"/>
      <c r="AZ41" s="156"/>
      <c r="BA41" s="156"/>
      <c r="BB41" s="156"/>
    </row>
    <row r="42" spans="1:62" ht="12" customHeight="1" x14ac:dyDescent="0.2">
      <c r="A42" s="447"/>
      <c r="B42" s="447"/>
      <c r="C42" s="447"/>
      <c r="D42" s="447"/>
      <c r="E42" s="447"/>
      <c r="F42" s="447"/>
      <c r="G42" s="447"/>
      <c r="H42" s="447"/>
      <c r="I42" s="447"/>
      <c r="J42" s="447"/>
      <c r="K42" s="447"/>
      <c r="L42" s="447"/>
      <c r="M42" s="447"/>
      <c r="N42" s="447"/>
      <c r="O42" s="447"/>
      <c r="P42" s="447"/>
      <c r="Q42" s="447"/>
      <c r="R42" s="447"/>
      <c r="S42" s="400"/>
      <c r="T42" s="400"/>
      <c r="U42" s="400"/>
      <c r="V42" s="400"/>
      <c r="W42" s="400"/>
      <c r="X42" s="400"/>
      <c r="Y42" s="400"/>
      <c r="Z42" s="400"/>
      <c r="AA42" s="400"/>
      <c r="AB42" s="400"/>
      <c r="AC42" s="400"/>
      <c r="AD42" s="400"/>
      <c r="AE42" s="400"/>
      <c r="AF42" s="400"/>
      <c r="AG42" s="400"/>
      <c r="AH42" s="400"/>
      <c r="AI42" s="400"/>
      <c r="AJ42" s="400"/>
      <c r="AK42" s="156"/>
      <c r="AL42" s="156"/>
      <c r="AM42" s="156"/>
      <c r="AN42" s="156"/>
      <c r="AO42" s="156"/>
      <c r="AP42" s="156"/>
      <c r="AQ42" s="156"/>
      <c r="AR42" s="156"/>
      <c r="AS42" s="156"/>
      <c r="AT42" s="156"/>
      <c r="AU42" s="156"/>
      <c r="AV42" s="156"/>
      <c r="AW42" s="156"/>
      <c r="AX42" s="156"/>
      <c r="AY42" s="156"/>
      <c r="AZ42" s="156"/>
      <c r="BA42" s="156"/>
      <c r="BB42" s="156"/>
    </row>
    <row r="43" spans="1:62" ht="12" customHeight="1" x14ac:dyDescent="0.2">
      <c r="A43" s="447"/>
      <c r="B43" s="447"/>
      <c r="C43" s="447"/>
      <c r="D43" s="447"/>
      <c r="E43" s="447"/>
      <c r="F43" s="447"/>
      <c r="G43" s="447"/>
      <c r="H43" s="447"/>
      <c r="I43" s="447"/>
      <c r="J43" s="447"/>
      <c r="K43" s="447"/>
      <c r="L43" s="447"/>
      <c r="M43" s="447"/>
      <c r="N43" s="447"/>
      <c r="O43" s="447"/>
      <c r="P43" s="447"/>
      <c r="Q43" s="447"/>
      <c r="R43" s="447"/>
      <c r="S43" s="400"/>
      <c r="T43" s="400"/>
      <c r="U43" s="400"/>
      <c r="V43" s="400"/>
      <c r="W43" s="400"/>
      <c r="X43" s="400"/>
      <c r="Y43" s="400"/>
      <c r="Z43" s="400"/>
      <c r="AA43" s="400"/>
      <c r="AB43" s="400"/>
      <c r="AC43" s="400"/>
      <c r="AD43" s="400"/>
      <c r="AE43" s="400"/>
      <c r="AF43" s="400"/>
      <c r="AG43" s="400"/>
      <c r="AH43" s="400"/>
      <c r="AI43" s="400"/>
      <c r="AJ43" s="400"/>
      <c r="AK43" s="156"/>
      <c r="AL43" s="156"/>
      <c r="AM43" s="156"/>
      <c r="AN43" s="156"/>
      <c r="AO43" s="156"/>
      <c r="AP43" s="156"/>
      <c r="AQ43" s="156"/>
      <c r="AR43" s="156"/>
      <c r="AS43" s="156"/>
      <c r="AT43" s="156"/>
      <c r="AU43" s="156"/>
      <c r="AV43" s="156"/>
      <c r="AW43" s="156"/>
      <c r="AX43" s="156"/>
      <c r="AY43" s="156"/>
      <c r="AZ43" s="156"/>
      <c r="BA43" s="156"/>
      <c r="BB43" s="156"/>
    </row>
    <row r="44" spans="1:62" ht="12" customHeight="1" x14ac:dyDescent="0.2">
      <c r="A44" s="447"/>
      <c r="B44" s="447"/>
      <c r="C44" s="447"/>
      <c r="D44" s="447"/>
      <c r="E44" s="447"/>
      <c r="F44" s="447"/>
      <c r="G44" s="447"/>
      <c r="H44" s="447"/>
      <c r="I44" s="447"/>
      <c r="J44" s="447"/>
      <c r="K44" s="447"/>
      <c r="L44" s="447"/>
      <c r="M44" s="447"/>
      <c r="N44" s="447"/>
      <c r="O44" s="447"/>
      <c r="P44" s="447"/>
      <c r="Q44" s="447"/>
      <c r="R44" s="447"/>
      <c r="S44" s="400"/>
      <c r="T44" s="400"/>
      <c r="U44" s="400"/>
      <c r="V44" s="400"/>
      <c r="W44" s="400"/>
      <c r="X44" s="400"/>
      <c r="Y44" s="400"/>
      <c r="Z44" s="400"/>
      <c r="AA44" s="400"/>
      <c r="AB44" s="400"/>
      <c r="AC44" s="400"/>
      <c r="AD44" s="400"/>
      <c r="AE44" s="400"/>
      <c r="AF44" s="400"/>
      <c r="AG44" s="400"/>
      <c r="AH44" s="400"/>
      <c r="AI44" s="400"/>
      <c r="AJ44" s="400"/>
      <c r="AK44" s="156"/>
      <c r="AL44" s="156"/>
      <c r="AM44" s="156"/>
      <c r="AN44" s="156"/>
      <c r="AO44" s="156"/>
      <c r="AP44" s="156"/>
      <c r="AQ44" s="156"/>
      <c r="AR44" s="156"/>
      <c r="AS44" s="156"/>
      <c r="AT44" s="156"/>
      <c r="AU44" s="156"/>
      <c r="AV44" s="156"/>
      <c r="AW44" s="156"/>
      <c r="AX44" s="156"/>
      <c r="AY44" s="156"/>
      <c r="AZ44" s="156"/>
      <c r="BA44" s="156"/>
      <c r="BB44" s="156"/>
    </row>
    <row r="45" spans="1:62" ht="12" customHeight="1" x14ac:dyDescent="0.2">
      <c r="A45" s="447"/>
      <c r="B45" s="447"/>
      <c r="C45" s="447"/>
      <c r="D45" s="447"/>
      <c r="E45" s="447"/>
      <c r="F45" s="447"/>
      <c r="G45" s="447"/>
      <c r="H45" s="447"/>
      <c r="I45" s="447"/>
      <c r="J45" s="447"/>
      <c r="K45" s="447"/>
      <c r="L45" s="447"/>
      <c r="M45" s="447"/>
      <c r="N45" s="447"/>
      <c r="O45" s="447"/>
      <c r="P45" s="447"/>
      <c r="Q45" s="447"/>
      <c r="R45" s="447"/>
      <c r="S45" s="400"/>
      <c r="T45" s="400"/>
      <c r="U45" s="400"/>
      <c r="V45" s="400"/>
      <c r="W45" s="400"/>
      <c r="X45" s="400"/>
      <c r="Y45" s="400"/>
      <c r="Z45" s="400"/>
      <c r="AA45" s="400"/>
      <c r="AB45" s="400"/>
      <c r="AC45" s="400"/>
      <c r="AD45" s="400"/>
      <c r="AE45" s="400"/>
      <c r="AF45" s="400"/>
      <c r="AG45" s="400"/>
      <c r="AH45" s="400"/>
      <c r="AI45" s="400"/>
      <c r="AJ45" s="400"/>
      <c r="AK45" s="156"/>
      <c r="AL45" s="156"/>
      <c r="AM45" s="156"/>
      <c r="AN45" s="156"/>
      <c r="AO45" s="156"/>
      <c r="AP45" s="156"/>
      <c r="AQ45" s="156"/>
      <c r="AR45" s="156"/>
      <c r="AS45" s="156"/>
      <c r="AT45" s="156"/>
      <c r="AU45" s="156"/>
      <c r="AV45" s="156"/>
      <c r="AW45" s="156"/>
      <c r="AX45" s="156"/>
      <c r="AY45" s="156"/>
      <c r="AZ45" s="156"/>
      <c r="BA45" s="156"/>
      <c r="BB45" s="156"/>
    </row>
    <row r="46" spans="1:62" ht="12" customHeight="1" x14ac:dyDescent="0.2">
      <c r="A46" s="447"/>
      <c r="B46" s="447"/>
      <c r="C46" s="447"/>
      <c r="D46" s="447"/>
      <c r="E46" s="447"/>
      <c r="F46" s="447"/>
      <c r="G46" s="447"/>
      <c r="H46" s="447"/>
      <c r="I46" s="447"/>
      <c r="J46" s="447"/>
      <c r="K46" s="447"/>
      <c r="L46" s="447"/>
      <c r="M46" s="447"/>
      <c r="N46" s="447"/>
      <c r="O46" s="447"/>
      <c r="P46" s="447"/>
      <c r="Q46" s="447"/>
      <c r="R46" s="447"/>
      <c r="S46" s="400"/>
      <c r="T46" s="400"/>
      <c r="U46" s="400"/>
      <c r="V46" s="400"/>
      <c r="W46" s="400"/>
      <c r="X46" s="400"/>
      <c r="Y46" s="400"/>
      <c r="Z46" s="400"/>
      <c r="AA46" s="400"/>
      <c r="AB46" s="400"/>
      <c r="AC46" s="400"/>
      <c r="AD46" s="400"/>
      <c r="AE46" s="400"/>
      <c r="AF46" s="400"/>
      <c r="AG46" s="400"/>
      <c r="AH46" s="400"/>
      <c r="AI46" s="400"/>
      <c r="AJ46" s="400"/>
      <c r="AK46" s="156"/>
      <c r="AL46" s="156"/>
      <c r="AM46" s="156"/>
      <c r="AN46" s="156"/>
      <c r="AO46" s="156"/>
      <c r="AP46" s="156"/>
      <c r="AQ46" s="156"/>
      <c r="AR46" s="156"/>
      <c r="AS46" s="156"/>
      <c r="AT46" s="156"/>
      <c r="AU46" s="156"/>
      <c r="AV46" s="156"/>
      <c r="AW46" s="156"/>
      <c r="AX46" s="156"/>
      <c r="AY46" s="156"/>
      <c r="AZ46" s="156"/>
      <c r="BA46" s="156"/>
      <c r="BB46" s="156"/>
    </row>
    <row r="47" spans="1:62" ht="12" customHeight="1" x14ac:dyDescent="0.2">
      <c r="A47" s="447"/>
      <c r="B47" s="447"/>
      <c r="C47" s="447"/>
      <c r="D47" s="447"/>
      <c r="E47" s="447"/>
      <c r="F47" s="447"/>
      <c r="G47" s="447"/>
      <c r="H47" s="447"/>
      <c r="I47" s="447"/>
      <c r="J47" s="447"/>
      <c r="K47" s="447"/>
      <c r="L47" s="447"/>
      <c r="M47" s="447"/>
      <c r="N47" s="447"/>
      <c r="O47" s="447"/>
      <c r="P47" s="447"/>
      <c r="Q47" s="447"/>
      <c r="R47" s="447"/>
      <c r="S47" s="400"/>
      <c r="T47" s="400"/>
      <c r="U47" s="400"/>
      <c r="V47" s="400"/>
      <c r="W47" s="400"/>
      <c r="X47" s="400"/>
      <c r="Y47" s="400"/>
      <c r="Z47" s="400"/>
      <c r="AA47" s="400"/>
      <c r="AB47" s="400"/>
      <c r="AC47" s="400"/>
      <c r="AD47" s="400"/>
      <c r="AE47" s="400"/>
      <c r="AF47" s="400"/>
      <c r="AG47" s="400"/>
      <c r="AH47" s="400"/>
      <c r="AI47" s="400"/>
      <c r="AJ47" s="400"/>
      <c r="AK47" s="156"/>
      <c r="AL47" s="156"/>
      <c r="AM47" s="156"/>
      <c r="AN47" s="156"/>
      <c r="AO47" s="156"/>
      <c r="AP47" s="156"/>
      <c r="AQ47" s="156"/>
      <c r="AR47" s="156"/>
      <c r="AS47" s="156"/>
      <c r="AT47" s="156"/>
      <c r="AU47" s="156"/>
      <c r="AV47" s="156"/>
      <c r="AW47" s="156"/>
      <c r="AX47" s="156"/>
      <c r="AY47" s="156"/>
      <c r="AZ47" s="156"/>
      <c r="BA47" s="156"/>
      <c r="BB47" s="156"/>
    </row>
    <row r="48" spans="1:62" ht="12" customHeight="1" x14ac:dyDescent="0.2">
      <c r="A48" s="447"/>
      <c r="B48" s="447"/>
      <c r="C48" s="447"/>
      <c r="D48" s="447"/>
      <c r="E48" s="447"/>
      <c r="F48" s="447"/>
      <c r="G48" s="447"/>
      <c r="H48" s="447"/>
      <c r="I48" s="447"/>
      <c r="J48" s="447"/>
      <c r="K48" s="447"/>
      <c r="L48" s="447"/>
      <c r="M48" s="447"/>
      <c r="N48" s="447"/>
      <c r="O48" s="447"/>
      <c r="P48" s="447"/>
      <c r="Q48" s="447"/>
      <c r="R48" s="447"/>
      <c r="S48" s="400"/>
      <c r="T48" s="400"/>
      <c r="U48" s="400"/>
      <c r="V48" s="400"/>
      <c r="W48" s="400"/>
      <c r="X48" s="400"/>
      <c r="Y48" s="400"/>
      <c r="Z48" s="400"/>
      <c r="AA48" s="400"/>
      <c r="AB48" s="400"/>
      <c r="AC48" s="400"/>
      <c r="AD48" s="400"/>
      <c r="AE48" s="400"/>
      <c r="AF48" s="400"/>
      <c r="AG48" s="400"/>
      <c r="AH48" s="400"/>
      <c r="AI48" s="400"/>
      <c r="AJ48" s="400"/>
      <c r="AK48" s="156"/>
      <c r="AL48" s="156"/>
      <c r="AM48" s="156"/>
      <c r="AN48" s="156"/>
      <c r="AO48" s="156"/>
      <c r="AP48" s="156"/>
      <c r="AQ48" s="156"/>
      <c r="AR48" s="156"/>
      <c r="AS48" s="156"/>
      <c r="AT48" s="156"/>
      <c r="AU48" s="156"/>
      <c r="AV48" s="156"/>
      <c r="AW48" s="156"/>
      <c r="AX48" s="156"/>
      <c r="AY48" s="156"/>
      <c r="AZ48" s="156"/>
      <c r="BA48" s="156"/>
      <c r="BB48" s="156"/>
    </row>
    <row r="49" spans="1:54" ht="12" customHeight="1" x14ac:dyDescent="0.2">
      <c r="A49" s="447"/>
      <c r="B49" s="447"/>
      <c r="C49" s="447"/>
      <c r="D49" s="447"/>
      <c r="E49" s="447"/>
      <c r="F49" s="447"/>
      <c r="G49" s="447"/>
      <c r="H49" s="447"/>
      <c r="I49" s="447"/>
      <c r="J49" s="447"/>
      <c r="K49" s="447"/>
      <c r="L49" s="447"/>
      <c r="M49" s="447"/>
      <c r="N49" s="447"/>
      <c r="O49" s="447"/>
      <c r="P49" s="447"/>
      <c r="Q49" s="447"/>
      <c r="R49" s="447"/>
      <c r="S49" s="400"/>
      <c r="T49" s="400"/>
      <c r="U49" s="400"/>
      <c r="V49" s="400"/>
      <c r="W49" s="400"/>
      <c r="X49" s="400"/>
      <c r="Y49" s="400"/>
      <c r="Z49" s="400"/>
      <c r="AA49" s="400"/>
      <c r="AB49" s="400"/>
      <c r="AC49" s="400"/>
      <c r="AD49" s="400"/>
      <c r="AE49" s="400"/>
      <c r="AF49" s="400"/>
      <c r="AG49" s="400"/>
      <c r="AH49" s="400"/>
      <c r="AI49" s="400"/>
      <c r="AJ49" s="400"/>
      <c r="AK49" s="156"/>
      <c r="AL49" s="156"/>
      <c r="AM49" s="156"/>
      <c r="AN49" s="156"/>
      <c r="AO49" s="156"/>
      <c r="AP49" s="156"/>
      <c r="AQ49" s="156"/>
      <c r="AR49" s="156"/>
      <c r="AS49" s="156"/>
      <c r="AT49" s="156"/>
      <c r="AU49" s="156"/>
      <c r="AV49" s="156"/>
      <c r="AW49" s="156"/>
      <c r="AX49" s="156"/>
      <c r="AY49" s="156"/>
      <c r="AZ49" s="156"/>
      <c r="BA49" s="156"/>
      <c r="BB49" s="156"/>
    </row>
    <row r="50" spans="1:54" ht="12" customHeight="1" thickBot="1" x14ac:dyDescent="0.25">
      <c r="A50" s="450"/>
      <c r="B50" s="450"/>
      <c r="C50" s="450"/>
      <c r="D50" s="450"/>
      <c r="E50" s="450"/>
      <c r="F50" s="450"/>
      <c r="G50" s="450"/>
      <c r="H50" s="450"/>
      <c r="I50" s="450"/>
      <c r="J50" s="450"/>
      <c r="K50" s="450"/>
      <c r="L50" s="450"/>
      <c r="M50" s="450"/>
      <c r="N50" s="450"/>
      <c r="O50" s="450"/>
      <c r="P50" s="450"/>
      <c r="Q50" s="450"/>
      <c r="R50" s="450"/>
      <c r="S50" s="451"/>
      <c r="T50" s="451"/>
      <c r="U50" s="451"/>
      <c r="V50" s="451"/>
      <c r="W50" s="451"/>
      <c r="X50" s="451"/>
      <c r="Y50" s="451"/>
      <c r="Z50" s="451"/>
      <c r="AA50" s="451"/>
      <c r="AB50" s="451"/>
      <c r="AC50" s="451"/>
      <c r="AD50" s="451"/>
      <c r="AE50" s="451"/>
      <c r="AF50" s="451"/>
      <c r="AG50" s="451"/>
      <c r="AH50" s="451"/>
      <c r="AI50" s="451"/>
      <c r="AJ50" s="451"/>
      <c r="AK50" s="448"/>
      <c r="AL50" s="448"/>
      <c r="AM50" s="448"/>
      <c r="AN50" s="448"/>
      <c r="AO50" s="448"/>
      <c r="AP50" s="448"/>
      <c r="AQ50" s="448"/>
      <c r="AR50" s="448"/>
      <c r="AS50" s="448"/>
      <c r="AT50" s="448"/>
      <c r="AU50" s="448"/>
      <c r="AV50" s="448"/>
      <c r="AW50" s="448"/>
      <c r="AX50" s="448"/>
      <c r="AY50" s="448"/>
      <c r="AZ50" s="448"/>
      <c r="BA50" s="448"/>
      <c r="BB50" s="448"/>
    </row>
    <row r="51" spans="1:54" ht="12" customHeight="1" x14ac:dyDescent="0.2">
      <c r="A51" s="336" t="s">
        <v>35</v>
      </c>
      <c r="B51" s="336"/>
      <c r="C51" s="336"/>
      <c r="D51" s="336"/>
      <c r="E51" s="336"/>
      <c r="F51" s="336"/>
      <c r="G51" s="336"/>
      <c r="H51" s="336"/>
      <c r="I51" s="336"/>
      <c r="J51" s="336"/>
      <c r="K51" s="336"/>
      <c r="L51" s="336"/>
      <c r="M51" s="336"/>
      <c r="N51" s="336"/>
      <c r="O51" s="336"/>
      <c r="P51" s="336"/>
      <c r="Q51" s="336"/>
      <c r="R51" s="336"/>
      <c r="S51" s="336"/>
      <c r="T51" s="336"/>
      <c r="U51" s="336"/>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336"/>
      <c r="BB51" s="336"/>
    </row>
    <row r="52" spans="1:54" ht="12" customHeight="1" x14ac:dyDescent="0.2">
      <c r="A52" s="219"/>
      <c r="B52" s="219"/>
      <c r="C52" s="219"/>
      <c r="D52" s="219"/>
      <c r="E52" s="219"/>
      <c r="F52" s="219"/>
      <c r="G52" s="219"/>
      <c r="H52" s="219"/>
      <c r="I52" s="219"/>
      <c r="J52" s="219"/>
      <c r="K52" s="219"/>
      <c r="L52" s="219"/>
      <c r="M52" s="219"/>
      <c r="N52" s="219"/>
      <c r="O52" s="219"/>
      <c r="P52" s="219"/>
      <c r="Q52" s="219"/>
      <c r="R52" s="219"/>
      <c r="S52" s="219"/>
      <c r="T52" s="219"/>
      <c r="U52" s="219"/>
      <c r="V52" s="219"/>
      <c r="W52" s="219"/>
      <c r="X52" s="219"/>
      <c r="Y52" s="219"/>
      <c r="Z52" s="219"/>
      <c r="AA52" s="219"/>
      <c r="AB52" s="219"/>
      <c r="AC52" s="219"/>
      <c r="AD52" s="219"/>
      <c r="AE52" s="219"/>
      <c r="AF52" s="219"/>
      <c r="AG52" s="219"/>
      <c r="AH52" s="219"/>
      <c r="AI52" s="219"/>
      <c r="AJ52" s="219"/>
      <c r="AK52" s="219"/>
      <c r="AL52" s="219"/>
      <c r="AM52" s="219"/>
      <c r="AN52" s="219"/>
      <c r="AO52" s="219"/>
      <c r="AP52" s="219"/>
      <c r="AQ52" s="219"/>
      <c r="AR52" s="219"/>
      <c r="AS52" s="219"/>
      <c r="AT52" s="219"/>
      <c r="AU52" s="219"/>
      <c r="AV52" s="219"/>
      <c r="AW52" s="219"/>
      <c r="AX52" s="219"/>
      <c r="AY52" s="219"/>
      <c r="AZ52" s="219"/>
      <c r="BA52" s="219"/>
      <c r="BB52" s="219"/>
    </row>
    <row r="53" spans="1:54" ht="12" customHeight="1" x14ac:dyDescent="0.2">
      <c r="A53" s="219"/>
      <c r="B53" s="219"/>
      <c r="C53" s="219"/>
      <c r="D53" s="219"/>
      <c r="E53" s="219"/>
      <c r="F53" s="219"/>
      <c r="G53" s="219"/>
      <c r="H53" s="219"/>
      <c r="I53" s="219"/>
      <c r="J53" s="219"/>
      <c r="K53" s="219"/>
      <c r="L53" s="219"/>
      <c r="M53" s="219"/>
      <c r="N53" s="219"/>
      <c r="O53" s="219"/>
      <c r="P53" s="219"/>
      <c r="Q53" s="219"/>
      <c r="R53" s="219"/>
      <c r="S53" s="219"/>
      <c r="T53" s="219"/>
      <c r="U53" s="219"/>
      <c r="V53" s="219"/>
      <c r="W53" s="219"/>
      <c r="X53" s="219"/>
      <c r="Y53" s="219"/>
      <c r="Z53" s="219"/>
      <c r="AA53" s="219"/>
      <c r="AB53" s="219"/>
      <c r="AC53" s="219"/>
      <c r="AD53" s="219"/>
      <c r="AE53" s="219"/>
      <c r="AF53" s="219"/>
      <c r="AG53" s="219"/>
      <c r="AH53" s="219"/>
      <c r="AI53" s="219"/>
      <c r="AJ53" s="219"/>
      <c r="AK53" s="219"/>
      <c r="AL53" s="219"/>
      <c r="AM53" s="219"/>
      <c r="AN53" s="219"/>
      <c r="AO53" s="219"/>
      <c r="AP53" s="219"/>
      <c r="AQ53" s="219"/>
      <c r="AR53" s="219"/>
      <c r="AS53" s="219"/>
      <c r="AT53" s="219"/>
      <c r="AU53" s="219"/>
      <c r="AV53" s="219"/>
      <c r="AW53" s="219"/>
      <c r="AX53" s="219"/>
      <c r="AY53" s="219"/>
      <c r="AZ53" s="219"/>
      <c r="BA53" s="219"/>
      <c r="BB53" s="219"/>
    </row>
    <row r="54" spans="1:54" ht="12" customHeight="1" x14ac:dyDescent="0.2">
      <c r="A54" s="219"/>
      <c r="B54" s="219"/>
      <c r="C54" s="219"/>
      <c r="D54" s="219"/>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219"/>
      <c r="AL54" s="219"/>
      <c r="AM54" s="219"/>
      <c r="AN54" s="219"/>
      <c r="AO54" s="219"/>
      <c r="AP54" s="219"/>
      <c r="AQ54" s="219"/>
      <c r="AR54" s="219"/>
      <c r="AS54" s="219"/>
      <c r="AT54" s="219"/>
      <c r="AU54" s="219"/>
      <c r="AV54" s="219"/>
      <c r="AW54" s="219"/>
      <c r="AX54" s="219"/>
      <c r="AY54" s="219"/>
      <c r="AZ54" s="219"/>
      <c r="BA54" s="219"/>
      <c r="BB54" s="219"/>
    </row>
    <row r="55" spans="1:54" ht="12" customHeight="1" x14ac:dyDescent="0.2">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row>
    <row r="56" spans="1:54" ht="12" customHeight="1" x14ac:dyDescent="0.2">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19"/>
      <c r="AI56" s="219"/>
      <c r="AJ56" s="219"/>
      <c r="AK56" s="219"/>
      <c r="AL56" s="219"/>
      <c r="AM56" s="219"/>
      <c r="AN56" s="219"/>
      <c r="AO56" s="219"/>
      <c r="AP56" s="219"/>
      <c r="AQ56" s="219"/>
      <c r="AR56" s="219"/>
      <c r="AS56" s="219"/>
      <c r="AT56" s="219"/>
      <c r="AU56" s="219"/>
      <c r="AV56" s="219"/>
      <c r="AW56" s="219"/>
      <c r="AX56" s="219"/>
      <c r="AY56" s="219"/>
      <c r="AZ56" s="219"/>
      <c r="BA56" s="219"/>
      <c r="BB56" s="219"/>
    </row>
    <row r="57" spans="1:54" ht="12" customHeight="1" x14ac:dyDescent="0.2">
      <c r="A57" s="196"/>
      <c r="B57" s="196"/>
      <c r="C57" s="196"/>
      <c r="D57" s="196"/>
      <c r="E57" s="215" t="str">
        <f>IF('Data Entry'!N29="","",'Data Entry'!N29)&amp;IF(OR('Data Entry'!N29="",'Data Entry'!N30=""),""," / Licence No")&amp; IF('Data Entry'!N30="","",'Data Entry'!N30)</f>
        <v>MEHMET EROĞLU</v>
      </c>
      <c r="F57" s="215"/>
      <c r="G57" s="215"/>
      <c r="H57" s="215"/>
      <c r="I57" s="215"/>
      <c r="J57" s="215"/>
      <c r="K57" s="215"/>
      <c r="L57" s="215"/>
      <c r="M57" s="215"/>
      <c r="N57" s="215"/>
      <c r="O57" s="215"/>
      <c r="P57" s="215"/>
      <c r="Q57" s="215"/>
      <c r="R57" s="215"/>
      <c r="S57" s="215"/>
      <c r="T57" s="215"/>
      <c r="U57" s="215"/>
      <c r="V57" s="215"/>
      <c r="W57" s="215"/>
      <c r="X57" s="215"/>
      <c r="Y57" s="215"/>
      <c r="Z57" s="215"/>
      <c r="AA57" s="215"/>
      <c r="AB57" s="215"/>
      <c r="AC57" s="215"/>
      <c r="AD57" s="215"/>
      <c r="AE57" s="215"/>
      <c r="AF57" s="215"/>
      <c r="AG57" s="449"/>
      <c r="AH57" s="449"/>
      <c r="AI57" s="449"/>
      <c r="AJ57" s="449"/>
      <c r="AK57" s="215" t="str">
        <f>IF('Data Entry'!N18="","",'Data Entry'!N18)</f>
        <v/>
      </c>
      <c r="AL57" s="215"/>
      <c r="AM57" s="215"/>
      <c r="AN57" s="215"/>
      <c r="AO57" s="215"/>
      <c r="AP57" s="215"/>
      <c r="AQ57" s="215"/>
      <c r="AR57" s="215"/>
      <c r="AS57" s="449"/>
      <c r="AT57" s="215" t="str">
        <f>IF('Data Entry'!N9="","",'Data Entry'!N9)</f>
        <v/>
      </c>
      <c r="AU57" s="215"/>
      <c r="AV57" s="215"/>
      <c r="AW57" s="215"/>
      <c r="AX57" s="215"/>
      <c r="AY57" s="215"/>
      <c r="AZ57" s="215"/>
      <c r="BA57" s="215"/>
      <c r="BB57" s="196"/>
    </row>
    <row r="58" spans="1:54" ht="12" customHeight="1" x14ac:dyDescent="0.2">
      <c r="A58" s="196"/>
      <c r="B58" s="196"/>
      <c r="C58" s="196"/>
      <c r="D58" s="196"/>
      <c r="E58" s="215"/>
      <c r="F58" s="215"/>
      <c r="G58" s="215"/>
      <c r="H58" s="215"/>
      <c r="I58" s="215"/>
      <c r="J58" s="215"/>
      <c r="K58" s="215"/>
      <c r="L58" s="215"/>
      <c r="M58" s="215"/>
      <c r="N58" s="215"/>
      <c r="O58" s="215"/>
      <c r="P58" s="215"/>
      <c r="Q58" s="215"/>
      <c r="R58" s="215"/>
      <c r="S58" s="215"/>
      <c r="T58" s="215"/>
      <c r="U58" s="215"/>
      <c r="V58" s="215"/>
      <c r="W58" s="215"/>
      <c r="X58" s="215"/>
      <c r="Y58" s="215"/>
      <c r="Z58" s="215"/>
      <c r="AA58" s="215"/>
      <c r="AB58" s="215"/>
      <c r="AC58" s="215"/>
      <c r="AD58" s="215"/>
      <c r="AE58" s="215"/>
      <c r="AF58" s="215"/>
      <c r="AG58" s="449"/>
      <c r="AH58" s="449"/>
      <c r="AI58" s="449"/>
      <c r="AJ58" s="449"/>
      <c r="AK58" s="215"/>
      <c r="AL58" s="215"/>
      <c r="AM58" s="215"/>
      <c r="AN58" s="215"/>
      <c r="AO58" s="215"/>
      <c r="AP58" s="215"/>
      <c r="AQ58" s="215"/>
      <c r="AR58" s="215"/>
      <c r="AS58" s="449"/>
      <c r="AT58" s="215"/>
      <c r="AU58" s="215"/>
      <c r="AV58" s="215"/>
      <c r="AW58" s="215"/>
      <c r="AX58" s="215"/>
      <c r="AY58" s="215"/>
      <c r="AZ58" s="215"/>
      <c r="BA58" s="215"/>
      <c r="BB58" s="196"/>
    </row>
    <row r="59" spans="1:54" ht="12" customHeight="1" x14ac:dyDescent="0.2">
      <c r="A59" s="196"/>
      <c r="B59" s="196"/>
      <c r="C59" s="196"/>
      <c r="D59" s="196"/>
      <c r="E59" s="215"/>
      <c r="F59" s="215"/>
      <c r="G59" s="215"/>
      <c r="H59" s="215"/>
      <c r="I59" s="215"/>
      <c r="J59" s="215"/>
      <c r="K59" s="215"/>
      <c r="L59" s="215"/>
      <c r="M59" s="215"/>
      <c r="N59" s="215"/>
      <c r="O59" s="215"/>
      <c r="P59" s="215"/>
      <c r="Q59" s="215"/>
      <c r="R59" s="215"/>
      <c r="S59" s="215"/>
      <c r="T59" s="215"/>
      <c r="U59" s="215"/>
      <c r="V59" s="215"/>
      <c r="W59" s="215"/>
      <c r="X59" s="215"/>
      <c r="Y59" s="215"/>
      <c r="Z59" s="215"/>
      <c r="AA59" s="215"/>
      <c r="AB59" s="215"/>
      <c r="AC59" s="215"/>
      <c r="AD59" s="215"/>
      <c r="AE59" s="215"/>
      <c r="AF59" s="215"/>
      <c r="AG59" s="449"/>
      <c r="AH59" s="449"/>
      <c r="AI59" s="449"/>
      <c r="AJ59" s="449"/>
      <c r="AK59" s="215"/>
      <c r="AL59" s="215"/>
      <c r="AM59" s="215"/>
      <c r="AN59" s="215"/>
      <c r="AO59" s="215"/>
      <c r="AP59" s="215"/>
      <c r="AQ59" s="215"/>
      <c r="AR59" s="215"/>
      <c r="AS59" s="449"/>
      <c r="AT59" s="215"/>
      <c r="AU59" s="215"/>
      <c r="AV59" s="215"/>
      <c r="AW59" s="215"/>
      <c r="AX59" s="215"/>
      <c r="AY59" s="215"/>
      <c r="AZ59" s="215"/>
      <c r="BA59" s="215"/>
      <c r="BB59" s="196"/>
    </row>
    <row r="60" spans="1:54" ht="12" customHeight="1" x14ac:dyDescent="0.2">
      <c r="A60" s="196"/>
      <c r="B60" s="196"/>
      <c r="C60" s="196"/>
      <c r="D60" s="196"/>
      <c r="E60" s="211" t="s">
        <v>184</v>
      </c>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449"/>
      <c r="AH60" s="449"/>
      <c r="AI60" s="449"/>
      <c r="AJ60" s="449"/>
      <c r="AK60" s="211" t="s">
        <v>51</v>
      </c>
      <c r="AL60" s="211"/>
      <c r="AM60" s="211"/>
      <c r="AN60" s="211"/>
      <c r="AO60" s="211"/>
      <c r="AP60" s="211"/>
      <c r="AQ60" s="211"/>
      <c r="AR60" s="211"/>
      <c r="AS60" s="449"/>
      <c r="AT60" s="211" t="s">
        <v>17</v>
      </c>
      <c r="AU60" s="211"/>
      <c r="AV60" s="211"/>
      <c r="AW60" s="211"/>
      <c r="AX60" s="211"/>
      <c r="AY60" s="211"/>
      <c r="AZ60" s="211"/>
      <c r="BA60" s="211"/>
      <c r="BB60" s="196"/>
    </row>
    <row r="61" spans="1:54" ht="12" customHeight="1" x14ac:dyDescent="0.2">
      <c r="A61" s="148" t="s">
        <v>273</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9" t="str">
        <f>'Data Entry'!AK9</f>
        <v>LTS-CUS-F-01 rev 2.0</v>
      </c>
      <c r="AP61" s="149"/>
      <c r="AQ61" s="149"/>
      <c r="AR61" s="149"/>
      <c r="AS61" s="149"/>
      <c r="AT61" s="149"/>
      <c r="AU61" s="149"/>
      <c r="AV61" s="149"/>
      <c r="AW61" s="149"/>
      <c r="AX61" s="149"/>
      <c r="AY61" s="149"/>
      <c r="AZ61" s="149"/>
      <c r="BA61" s="149"/>
      <c r="BB61" s="149"/>
    </row>
  </sheetData>
  <sheetProtection selectLockedCells="1" sort="0"/>
  <sortState xmlns:xlrd2="http://schemas.microsoft.com/office/spreadsheetml/2017/richdata2" ref="A12:BB34">
    <sortCondition ref="A11"/>
    <sortCondition ref="S11"/>
  </sortState>
  <mergeCells count="159">
    <mergeCell ref="A61:AN61"/>
    <mergeCell ref="AO61:BB61"/>
    <mergeCell ref="A49:R49"/>
    <mergeCell ref="S49:AJ49"/>
    <mergeCell ref="AK49:BB49"/>
    <mergeCell ref="A50:R50"/>
    <mergeCell ref="S50:AJ50"/>
    <mergeCell ref="AK50:BB50"/>
    <mergeCell ref="A51:BB51"/>
    <mergeCell ref="A52:BB52"/>
    <mergeCell ref="A53:BB53"/>
    <mergeCell ref="A55:BB55"/>
    <mergeCell ref="A56:BB56"/>
    <mergeCell ref="A57:D60"/>
    <mergeCell ref="E57:AF59"/>
    <mergeCell ref="AG57:AJ60"/>
    <mergeCell ref="AK57:AR59"/>
    <mergeCell ref="AS57:AS60"/>
    <mergeCell ref="AT57:BA59"/>
    <mergeCell ref="BB57:BB60"/>
    <mergeCell ref="E60:AF60"/>
    <mergeCell ref="AK60:AR60"/>
    <mergeCell ref="AT60:BA60"/>
    <mergeCell ref="A54:BB54"/>
    <mergeCell ref="A42:R42"/>
    <mergeCell ref="S42:AJ42"/>
    <mergeCell ref="AK42:BB42"/>
    <mergeCell ref="A43:R43"/>
    <mergeCell ref="S43:AJ43"/>
    <mergeCell ref="AK43:BB43"/>
    <mergeCell ref="A44:R44"/>
    <mergeCell ref="S44:AJ44"/>
    <mergeCell ref="AK44:BB44"/>
    <mergeCell ref="A45:R45"/>
    <mergeCell ref="S45:AJ45"/>
    <mergeCell ref="AK45:BB45"/>
    <mergeCell ref="A46:R46"/>
    <mergeCell ref="S46:AJ46"/>
    <mergeCell ref="AK46:BB46"/>
    <mergeCell ref="A47:R47"/>
    <mergeCell ref="S47:AJ47"/>
    <mergeCell ref="AK47:BB47"/>
    <mergeCell ref="A48:R48"/>
    <mergeCell ref="S48:AJ48"/>
    <mergeCell ref="AK48:BB48"/>
    <mergeCell ref="S27:AJ27"/>
    <mergeCell ref="AK27:BB27"/>
    <mergeCell ref="A28:R28"/>
    <mergeCell ref="S28:AJ28"/>
    <mergeCell ref="AK28:BB28"/>
    <mergeCell ref="A29:R29"/>
    <mergeCell ref="S29:AJ29"/>
    <mergeCell ref="AK29:BB29"/>
    <mergeCell ref="A30:R30"/>
    <mergeCell ref="S30:AJ30"/>
    <mergeCell ref="AK30:BB30"/>
    <mergeCell ref="A27:R27"/>
    <mergeCell ref="A31:R31"/>
    <mergeCell ref="A34:R34"/>
    <mergeCell ref="S34:AJ34"/>
    <mergeCell ref="AK34:BB34"/>
    <mergeCell ref="A35:R35"/>
    <mergeCell ref="S35:AJ35"/>
    <mergeCell ref="AK35:BB35"/>
    <mergeCell ref="A36:R36"/>
    <mergeCell ref="S36:AJ36"/>
    <mergeCell ref="AK23:BB23"/>
    <mergeCell ref="A24:R24"/>
    <mergeCell ref="S24:AJ24"/>
    <mergeCell ref="AK24:BB24"/>
    <mergeCell ref="A25:R25"/>
    <mergeCell ref="S25:AJ25"/>
    <mergeCell ref="AK25:BB25"/>
    <mergeCell ref="A26:R26"/>
    <mergeCell ref="S26:AJ26"/>
    <mergeCell ref="AK26:BB26"/>
    <mergeCell ref="A23:R23"/>
    <mergeCell ref="A15:R15"/>
    <mergeCell ref="S15:AJ15"/>
    <mergeCell ref="AK15:BB15"/>
    <mergeCell ref="A16:R16"/>
    <mergeCell ref="S16:AJ16"/>
    <mergeCell ref="AK16:BB16"/>
    <mergeCell ref="A17:R17"/>
    <mergeCell ref="S17:AJ17"/>
    <mergeCell ref="AK17:BB17"/>
    <mergeCell ref="A12:R12"/>
    <mergeCell ref="S12:AJ12"/>
    <mergeCell ref="AK12:BB12"/>
    <mergeCell ref="A13:R13"/>
    <mergeCell ref="S13:AJ13"/>
    <mergeCell ref="AK13:BB13"/>
    <mergeCell ref="A14:R14"/>
    <mergeCell ref="S14:AJ14"/>
    <mergeCell ref="AK14:BB14"/>
    <mergeCell ref="A7:L7"/>
    <mergeCell ref="M7:N7"/>
    <mergeCell ref="O7:AQ7"/>
    <mergeCell ref="AR7:AS7"/>
    <mergeCell ref="AU7:BB7"/>
    <mergeCell ref="A8:BB8"/>
    <mergeCell ref="A9:BB9"/>
    <mergeCell ref="A10:BB10"/>
    <mergeCell ref="A11:R11"/>
    <mergeCell ref="S11:AJ11"/>
    <mergeCell ref="AK11:BB11"/>
    <mergeCell ref="A1:AQ3"/>
    <mergeCell ref="AR1:AS1"/>
    <mergeCell ref="AU1:BB1"/>
    <mergeCell ref="AR2:AS2"/>
    <mergeCell ref="AU2:BB2"/>
    <mergeCell ref="AR3:BB3"/>
    <mergeCell ref="A4:BB4"/>
    <mergeCell ref="A5:BB5"/>
    <mergeCell ref="A6:L6"/>
    <mergeCell ref="M6:N6"/>
    <mergeCell ref="O6:AQ6"/>
    <mergeCell ref="AR6:AS6"/>
    <mergeCell ref="AU6:BB6"/>
    <mergeCell ref="A18:R18"/>
    <mergeCell ref="S18:AJ18"/>
    <mergeCell ref="AK18:BB18"/>
    <mergeCell ref="A19:R19"/>
    <mergeCell ref="S19:AJ19"/>
    <mergeCell ref="A33:R33"/>
    <mergeCell ref="S31:AJ31"/>
    <mergeCell ref="AK31:BB31"/>
    <mergeCell ref="A32:R32"/>
    <mergeCell ref="S32:AJ32"/>
    <mergeCell ref="AK32:BB32"/>
    <mergeCell ref="S33:AJ33"/>
    <mergeCell ref="AK33:BB33"/>
    <mergeCell ref="AK19:BB19"/>
    <mergeCell ref="A20:R20"/>
    <mergeCell ref="S20:AJ20"/>
    <mergeCell ref="AK20:BB20"/>
    <mergeCell ref="A21:R21"/>
    <mergeCell ref="S21:AJ21"/>
    <mergeCell ref="AK21:BB21"/>
    <mergeCell ref="A22:R22"/>
    <mergeCell ref="S22:AJ22"/>
    <mergeCell ref="AK22:BB22"/>
    <mergeCell ref="S23:AJ23"/>
    <mergeCell ref="A40:R40"/>
    <mergeCell ref="S40:AJ40"/>
    <mergeCell ref="AK40:BB40"/>
    <mergeCell ref="A41:R41"/>
    <mergeCell ref="S41:AJ41"/>
    <mergeCell ref="AK36:BB36"/>
    <mergeCell ref="A37:R37"/>
    <mergeCell ref="S37:AJ37"/>
    <mergeCell ref="AK37:BB37"/>
    <mergeCell ref="A38:R38"/>
    <mergeCell ref="S38:AJ38"/>
    <mergeCell ref="AK38:BB38"/>
    <mergeCell ref="A39:R39"/>
    <mergeCell ref="S39:AJ39"/>
    <mergeCell ref="AK39:BB39"/>
    <mergeCell ref="AK41:BB41"/>
  </mergeCells>
  <phoneticPr fontId="2" type="noConversion"/>
  <conditionalFormatting sqref="A52:BB52 A12:AJ34">
    <cfRule type="containsBlanks" dxfId="54" priority="2">
      <formula>LEN(TRIM(A12))=0</formula>
    </cfRule>
  </conditionalFormatting>
  <conditionalFormatting sqref="AU1:BB2 O6:AQ7 AU6:BB7 E57:AF59 AK57:AR59 AT57:BA59">
    <cfRule type="containsBlanks" dxfId="53" priority="1">
      <formula>LEN(TRIM(E1))=0</formula>
    </cfRule>
  </conditionalFormatting>
  <dataValidations count="3">
    <dataValidation allowBlank="1" showInputMessage="1" showErrorMessage="1" prompt="Enter time the event occured (format HH:MM)" sqref="S12:AJ34" xr:uid="{092DBEA3-4405-439F-B3E0-4BA116110650}"/>
    <dataValidation allowBlank="1" showInputMessage="1" showErrorMessage="1" prompt="Please enter any relevant information here e.g. reason for delays" sqref="A52:BB52" xr:uid="{09CC94A6-2891-4FB6-9B20-E74E48DCAB14}"/>
    <dataValidation type="date" operator="greaterThan" allowBlank="1" showInputMessage="1" showErrorMessage="1" prompt="Enter the date that the event occured (format dd/mm/yyyy)_x000a_" sqref="A12:R34" xr:uid="{EE3D2239-8C62-4841-8B83-6B50C6E8781D}">
      <formula1>40179</formula1>
    </dataValidation>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Button222_Click">
                <anchor moveWithCells="1" sizeWithCells="1">
                  <from>
                    <xdr:col>54</xdr:col>
                    <xdr:colOff>457200</xdr:colOff>
                    <xdr:row>2</xdr:row>
                    <xdr:rowOff>57150</xdr:rowOff>
                  </from>
                  <to>
                    <xdr:col>59</xdr:col>
                    <xdr:colOff>361950</xdr:colOff>
                    <xdr:row>6</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2568D-C720-4530-A905-2293ED5352EA}">
  <sheetPr codeName="Sheet4">
    <tabColor rgb="FFFFFF00"/>
    <pageSetUpPr fitToPage="1"/>
  </sheetPr>
  <dimension ref="A1:CH42"/>
  <sheetViews>
    <sheetView workbookViewId="0">
      <selection activeCell="CH17" sqref="CH17:CI18"/>
    </sheetView>
  </sheetViews>
  <sheetFormatPr defaultColWidth="9.140625" defaultRowHeight="11.45" customHeight="1" x14ac:dyDescent="0.2"/>
  <cols>
    <col min="1" max="85" width="1.7109375" style="134" customWidth="1"/>
    <col min="86" max="86" width="9.140625" style="134" customWidth="1"/>
    <col min="87" max="16384" width="9.140625" style="134"/>
  </cols>
  <sheetData>
    <row r="1" spans="1:86" s="133" customFormat="1" ht="11.45" customHeight="1" x14ac:dyDescent="0.2">
      <c r="A1" s="504"/>
      <c r="B1" s="504"/>
      <c r="C1" s="504"/>
      <c r="D1" s="504"/>
      <c r="E1" s="504"/>
      <c r="F1" s="504"/>
      <c r="G1" s="504"/>
      <c r="H1" s="504"/>
      <c r="I1" s="504"/>
      <c r="J1" s="504"/>
      <c r="K1" s="504"/>
      <c r="L1" s="504"/>
      <c r="M1" s="504"/>
      <c r="N1" s="504"/>
      <c r="O1" s="504"/>
      <c r="P1" s="504"/>
      <c r="Q1" s="504"/>
      <c r="R1" s="504"/>
      <c r="S1" s="504"/>
      <c r="T1" s="504"/>
      <c r="U1" s="504"/>
      <c r="V1" s="504"/>
      <c r="W1" s="504"/>
      <c r="X1" s="504"/>
      <c r="Y1" s="504"/>
      <c r="Z1" s="504"/>
      <c r="AA1" s="504"/>
      <c r="AB1" s="504"/>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38" t="s">
        <v>280</v>
      </c>
      <c r="BM1" s="538"/>
      <c r="BN1" s="538"/>
      <c r="BO1" s="538"/>
      <c r="BP1" s="538"/>
      <c r="BQ1" s="132" t="s">
        <v>0</v>
      </c>
      <c r="BR1" s="538" t="str">
        <f>IF('Data Entry'!N28="","",'Data Entry'!N28)</f>
        <v/>
      </c>
      <c r="BS1" s="538"/>
      <c r="BT1" s="538"/>
      <c r="BU1" s="538"/>
      <c r="BV1" s="538"/>
      <c r="BW1" s="538"/>
      <c r="BX1" s="538"/>
      <c r="BY1" s="538"/>
      <c r="BZ1" s="538"/>
      <c r="CA1" s="538"/>
      <c r="CB1" s="538"/>
      <c r="CC1" s="538"/>
      <c r="CD1" s="538"/>
      <c r="CE1" s="538"/>
      <c r="CF1" s="538"/>
      <c r="CG1" s="538"/>
    </row>
    <row r="2" spans="1:86" s="133" customFormat="1" ht="11.45" customHeight="1" x14ac:dyDescent="0.2">
      <c r="A2" s="540" t="s">
        <v>540</v>
      </c>
      <c r="B2" s="540"/>
      <c r="C2" s="540"/>
      <c r="D2" s="540"/>
      <c r="E2" s="540"/>
      <c r="F2" s="540"/>
      <c r="G2" s="540"/>
      <c r="H2" s="540"/>
      <c r="I2" s="540"/>
      <c r="J2" s="540"/>
      <c r="K2" s="540"/>
      <c r="L2" s="540"/>
      <c r="M2" s="540"/>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0"/>
      <c r="AM2" s="540"/>
      <c r="AN2" s="540"/>
      <c r="AO2" s="540"/>
      <c r="AP2" s="540"/>
      <c r="AQ2" s="540"/>
      <c r="AR2" s="540"/>
      <c r="AS2" s="540"/>
      <c r="AT2" s="540"/>
      <c r="AU2" s="540"/>
      <c r="AV2" s="540"/>
      <c r="AW2" s="540"/>
      <c r="AX2" s="540"/>
      <c r="AY2" s="540"/>
      <c r="AZ2" s="540"/>
      <c r="BA2" s="540"/>
      <c r="BB2" s="540"/>
      <c r="BC2" s="540"/>
      <c r="BD2" s="540"/>
      <c r="BE2" s="540"/>
      <c r="BF2" s="540"/>
      <c r="BG2" s="540"/>
      <c r="BH2" s="540"/>
      <c r="BI2" s="540"/>
      <c r="BJ2" s="540"/>
      <c r="BK2" s="540"/>
      <c r="BL2" s="538" t="s">
        <v>281</v>
      </c>
      <c r="BM2" s="538"/>
      <c r="BN2" s="538"/>
      <c r="BO2" s="538"/>
      <c r="BP2" s="538"/>
      <c r="BQ2" s="132" t="s">
        <v>0</v>
      </c>
      <c r="BR2" s="538" t="str">
        <f>IF('Data Entry'!N39="","",'Data Entry'!N39)</f>
        <v>SC17124</v>
      </c>
      <c r="BS2" s="538"/>
      <c r="BT2" s="538"/>
      <c r="BU2" s="538"/>
      <c r="BV2" s="538"/>
      <c r="BW2" s="538"/>
      <c r="BX2" s="538"/>
      <c r="BY2" s="538"/>
      <c r="BZ2" s="538"/>
      <c r="CA2" s="538"/>
      <c r="CB2" s="538"/>
      <c r="CC2" s="538"/>
      <c r="CD2" s="538"/>
      <c r="CE2" s="538"/>
      <c r="CF2" s="538"/>
      <c r="CG2" s="538"/>
    </row>
    <row r="3" spans="1:86" s="133" customFormat="1" ht="11.45" customHeight="1" x14ac:dyDescent="0.2">
      <c r="A3" s="504"/>
      <c r="B3" s="504"/>
      <c r="C3" s="504"/>
      <c r="D3" s="504"/>
      <c r="E3" s="504"/>
      <c r="F3" s="504"/>
      <c r="G3" s="504"/>
      <c r="H3" s="504"/>
      <c r="I3" s="504"/>
      <c r="J3" s="504"/>
      <c r="K3" s="504"/>
      <c r="L3" s="504"/>
      <c r="M3" s="504"/>
      <c r="N3" s="504"/>
      <c r="O3" s="504"/>
      <c r="P3" s="504"/>
      <c r="Q3" s="504"/>
      <c r="R3" s="504"/>
      <c r="S3" s="504"/>
      <c r="T3" s="504"/>
      <c r="U3" s="504"/>
      <c r="V3" s="504"/>
      <c r="W3" s="504"/>
      <c r="X3" s="504"/>
      <c r="Y3" s="504"/>
      <c r="Z3" s="504"/>
      <c r="AA3" s="504"/>
      <c r="AB3" s="504"/>
      <c r="AC3" s="504"/>
      <c r="AD3" s="504"/>
      <c r="AE3" s="504"/>
      <c r="AF3" s="504"/>
      <c r="AG3" s="504"/>
      <c r="AH3" s="504"/>
      <c r="AI3" s="504"/>
      <c r="AJ3" s="504"/>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t="str">
        <f>'Bunker Certificate 1'!Y4</f>
        <v/>
      </c>
      <c r="BS3" s="504"/>
      <c r="BT3" s="504"/>
      <c r="BU3" s="504"/>
      <c r="BV3" s="504"/>
      <c r="BW3" s="504"/>
      <c r="BX3" s="504"/>
      <c r="BY3" s="504"/>
      <c r="BZ3" s="504"/>
      <c r="CA3" s="504"/>
      <c r="CB3" s="504"/>
      <c r="CC3" s="504"/>
      <c r="CD3" s="504"/>
      <c r="CE3" s="504"/>
      <c r="CF3" s="504"/>
      <c r="CG3" s="504"/>
    </row>
    <row r="4" spans="1:86" s="133" customFormat="1" ht="11.45" customHeight="1" x14ac:dyDescent="0.2">
      <c r="A4" s="538" t="s">
        <v>419</v>
      </c>
      <c r="B4" s="538"/>
      <c r="C4" s="538"/>
      <c r="D4" s="538"/>
      <c r="E4" s="538"/>
      <c r="F4" s="538"/>
      <c r="G4" s="538"/>
      <c r="H4" s="132" t="s">
        <v>0</v>
      </c>
      <c r="I4" s="538" t="str">
        <f>IF('Data Entry'!N6="","",'Data Entry'!N6)</f>
        <v/>
      </c>
      <c r="J4" s="538"/>
      <c r="K4" s="538"/>
      <c r="L4" s="538"/>
      <c r="M4" s="538"/>
      <c r="N4" s="538"/>
      <c r="O4" s="538"/>
      <c r="P4" s="538"/>
      <c r="Q4" s="538"/>
      <c r="R4" s="538"/>
      <c r="S4" s="538"/>
      <c r="T4" s="538"/>
      <c r="U4" s="538"/>
      <c r="V4" s="538"/>
      <c r="W4" s="538"/>
      <c r="X4" s="538"/>
      <c r="Y4" s="538"/>
      <c r="Z4" s="538"/>
      <c r="AA4" s="538"/>
      <c r="AB4" s="538"/>
      <c r="AC4" s="538"/>
      <c r="AD4" s="538"/>
      <c r="AE4" s="538"/>
      <c r="AF4" s="538"/>
      <c r="AG4" s="538"/>
      <c r="AH4" s="538"/>
      <c r="AI4" s="504"/>
      <c r="AJ4" s="504"/>
      <c r="AK4" s="504"/>
      <c r="AL4" s="504"/>
      <c r="AM4" s="538" t="s">
        <v>2</v>
      </c>
      <c r="AN4" s="538"/>
      <c r="AO4" s="538"/>
      <c r="AP4" s="132" t="s">
        <v>0</v>
      </c>
      <c r="AQ4" s="539" t="str">
        <f>IF('Data Entry'!N15="","",'Data Entry'!N15)</f>
        <v/>
      </c>
      <c r="AR4" s="539"/>
      <c r="AS4" s="539"/>
      <c r="AT4" s="539"/>
      <c r="AU4" s="539"/>
      <c r="AV4" s="539"/>
      <c r="AW4" s="539"/>
      <c r="AX4" s="539"/>
      <c r="AY4" s="539"/>
      <c r="AZ4" s="539"/>
      <c r="BA4" s="539"/>
      <c r="BB4" s="539"/>
      <c r="BC4" s="539"/>
      <c r="BD4" s="539"/>
      <c r="BE4" s="539"/>
      <c r="BF4" s="539"/>
      <c r="BG4" s="539"/>
      <c r="BH4" s="539"/>
      <c r="BI4" s="504"/>
      <c r="BJ4" s="504"/>
      <c r="BK4" s="538" t="s">
        <v>25</v>
      </c>
      <c r="BL4" s="538"/>
      <c r="BM4" s="538"/>
      <c r="BN4" s="132" t="s">
        <v>0</v>
      </c>
      <c r="BO4" s="538" t="str">
        <f>IF('Data Entry'!N19="","",'Data Entry'!N19)</f>
        <v/>
      </c>
      <c r="BP4" s="538"/>
      <c r="BQ4" s="538"/>
      <c r="BR4" s="538"/>
      <c r="BS4" s="538"/>
      <c r="BT4" s="538"/>
      <c r="BU4" s="538"/>
      <c r="BV4" s="538"/>
      <c r="BW4" s="538"/>
      <c r="BX4" s="538"/>
      <c r="BY4" s="538"/>
      <c r="BZ4" s="538"/>
      <c r="CA4" s="538"/>
      <c r="CB4" s="538"/>
      <c r="CC4" s="538"/>
      <c r="CD4" s="538"/>
      <c r="CE4" s="538"/>
      <c r="CF4" s="504"/>
      <c r="CG4" s="504"/>
    </row>
    <row r="5" spans="1:86" s="133" customFormat="1" ht="11.45" customHeight="1" x14ac:dyDescent="0.2">
      <c r="A5" s="538" t="s">
        <v>420</v>
      </c>
      <c r="B5" s="538"/>
      <c r="C5" s="538"/>
      <c r="D5" s="538"/>
      <c r="E5" s="538"/>
      <c r="F5" s="538"/>
      <c r="G5" s="538"/>
      <c r="H5" s="132" t="s">
        <v>0</v>
      </c>
      <c r="I5" s="538" t="str">
        <f>IF('Data Entry'!N17="","",'Data Entry'!N17)</f>
        <v/>
      </c>
      <c r="J5" s="538"/>
      <c r="K5" s="538"/>
      <c r="L5" s="538"/>
      <c r="M5" s="538"/>
      <c r="N5" s="538"/>
      <c r="O5" s="538"/>
      <c r="P5" s="538"/>
      <c r="Q5" s="538"/>
      <c r="R5" s="538"/>
      <c r="S5" s="538"/>
      <c r="T5" s="538"/>
      <c r="U5" s="538"/>
      <c r="V5" s="538"/>
      <c r="W5" s="538"/>
      <c r="X5" s="538"/>
      <c r="Y5" s="538"/>
      <c r="Z5" s="538"/>
      <c r="AA5" s="538"/>
      <c r="AB5" s="538"/>
      <c r="AC5" s="538"/>
      <c r="AD5" s="538"/>
      <c r="AE5" s="538"/>
      <c r="AF5" s="538"/>
      <c r="AG5" s="538"/>
      <c r="AH5" s="538"/>
      <c r="AI5" s="504"/>
      <c r="AJ5" s="504"/>
      <c r="AK5" s="504"/>
      <c r="AL5" s="504"/>
      <c r="AM5" s="538" t="s">
        <v>124</v>
      </c>
      <c r="AN5" s="538"/>
      <c r="AO5" s="538"/>
      <c r="AP5" s="538"/>
      <c r="AQ5" s="538"/>
      <c r="AR5" s="538"/>
      <c r="AS5" s="538"/>
      <c r="AT5" s="132" t="s">
        <v>0</v>
      </c>
      <c r="AU5" s="538" t="str">
        <f>IF('Data Entry'!N26="","",'Data Entry'!N26)&amp;IF(OR('Data Entry'!N26="",'Data Entry'!N27=""),"","/")&amp; IF('Data Entry'!N27="","",'Data Entry'!N27)</f>
        <v>ANCHORAGE AREA/İSTANBUL</v>
      </c>
      <c r="AV5" s="538"/>
      <c r="AW5" s="538"/>
      <c r="AX5" s="538"/>
      <c r="AY5" s="538"/>
      <c r="AZ5" s="538"/>
      <c r="BA5" s="538"/>
      <c r="BB5" s="538"/>
      <c r="BC5" s="538"/>
      <c r="BD5" s="538"/>
      <c r="BE5" s="538"/>
      <c r="BF5" s="538"/>
      <c r="BG5" s="538"/>
      <c r="BH5" s="538"/>
      <c r="BI5" s="538"/>
      <c r="BJ5" s="538"/>
      <c r="BK5" s="538"/>
      <c r="BL5" s="538"/>
      <c r="BM5" s="538"/>
      <c r="BN5" s="538"/>
      <c r="BO5" s="538"/>
      <c r="BP5" s="538"/>
      <c r="BQ5" s="538"/>
      <c r="BR5" s="538"/>
      <c r="BS5" s="538"/>
      <c r="BT5" s="538"/>
      <c r="BU5" s="538"/>
      <c r="BV5" s="538"/>
      <c r="BW5" s="538"/>
      <c r="BX5" s="538"/>
      <c r="BY5" s="538"/>
      <c r="BZ5" s="538"/>
      <c r="CA5" s="538"/>
      <c r="CB5" s="538"/>
      <c r="CC5" s="538"/>
      <c r="CD5" s="538"/>
      <c r="CE5" s="538"/>
      <c r="CF5" s="504"/>
      <c r="CG5" s="504"/>
    </row>
    <row r="6" spans="1:86" ht="11.45" customHeight="1" x14ac:dyDescent="0.2">
      <c r="A6" s="528"/>
      <c r="B6" s="528"/>
      <c r="C6" s="528"/>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c r="AF6" s="528"/>
      <c r="AG6" s="528"/>
      <c r="AH6" s="528"/>
      <c r="AI6" s="528"/>
      <c r="AJ6" s="528"/>
      <c r="AK6" s="528"/>
      <c r="AL6" s="528"/>
      <c r="AM6" s="528"/>
      <c r="AN6" s="528"/>
      <c r="AO6" s="528"/>
      <c r="AP6" s="528"/>
      <c r="AQ6" s="528"/>
      <c r="AR6" s="528"/>
      <c r="AS6" s="528"/>
      <c r="AT6" s="528"/>
      <c r="AU6" s="528"/>
      <c r="AV6" s="528"/>
      <c r="AW6" s="528"/>
      <c r="AX6" s="528"/>
      <c r="AY6" s="528"/>
      <c r="AZ6" s="528"/>
      <c r="BA6" s="528"/>
      <c r="BB6" s="528"/>
      <c r="BC6" s="528"/>
      <c r="BD6" s="528"/>
      <c r="BE6" s="528"/>
      <c r="BF6" s="528"/>
      <c r="BG6" s="528"/>
      <c r="BH6" s="528"/>
      <c r="BI6" s="528"/>
      <c r="BJ6" s="528"/>
      <c r="BK6" s="528"/>
      <c r="BL6" s="528"/>
      <c r="BM6" s="528"/>
      <c r="BN6" s="528"/>
      <c r="BO6" s="528"/>
      <c r="BP6" s="528"/>
      <c r="BQ6" s="528"/>
      <c r="BR6" s="528"/>
      <c r="BS6" s="528"/>
      <c r="BT6" s="528"/>
      <c r="BU6" s="528"/>
      <c r="BV6" s="528"/>
      <c r="BW6" s="528"/>
      <c r="BX6" s="528"/>
      <c r="BY6" s="528"/>
      <c r="BZ6" s="528"/>
      <c r="CA6" s="528"/>
      <c r="CB6" s="528"/>
      <c r="CC6" s="528"/>
      <c r="CD6" s="528"/>
      <c r="CE6" s="528"/>
      <c r="CF6" s="528"/>
      <c r="CG6" s="528"/>
    </row>
    <row r="7" spans="1:86" ht="11.45" customHeight="1" thickBot="1" x14ac:dyDescent="0.25">
      <c r="A7" s="511"/>
      <c r="B7" s="511"/>
      <c r="C7" s="511"/>
      <c r="D7" s="511"/>
      <c r="E7" s="511"/>
      <c r="F7" s="511"/>
      <c r="G7" s="511"/>
      <c r="H7" s="511"/>
      <c r="I7" s="511"/>
      <c r="J7" s="511"/>
      <c r="K7" s="511"/>
      <c r="L7" s="511"/>
      <c r="M7" s="511"/>
      <c r="N7" s="511"/>
      <c r="O7" s="511"/>
      <c r="P7" s="511"/>
      <c r="Q7" s="511"/>
      <c r="R7" s="511"/>
      <c r="S7" s="511"/>
      <c r="T7" s="511"/>
      <c r="U7" s="511"/>
      <c r="V7" s="511"/>
      <c r="W7" s="511"/>
      <c r="X7" s="511"/>
      <c r="Y7" s="511"/>
      <c r="Z7" s="511"/>
      <c r="AA7" s="511"/>
      <c r="AB7" s="511"/>
      <c r="AC7" s="511"/>
      <c r="AD7" s="511"/>
      <c r="AE7" s="511"/>
      <c r="AF7" s="511"/>
      <c r="AG7" s="511"/>
      <c r="AH7" s="511"/>
      <c r="AI7" s="511"/>
      <c r="AJ7" s="511"/>
      <c r="AK7" s="511"/>
      <c r="AL7" s="511"/>
      <c r="AM7" s="511"/>
      <c r="AN7" s="511"/>
      <c r="AO7" s="511"/>
      <c r="AP7" s="511"/>
      <c r="AQ7" s="511"/>
      <c r="AR7" s="511"/>
      <c r="AS7" s="511"/>
      <c r="AT7" s="511"/>
      <c r="AU7" s="511"/>
      <c r="AV7" s="511"/>
      <c r="AW7" s="511"/>
      <c r="AX7" s="511"/>
      <c r="AY7" s="511"/>
      <c r="AZ7" s="511"/>
      <c r="BA7" s="511"/>
      <c r="BB7" s="511"/>
      <c r="BC7" s="511"/>
      <c r="BD7" s="511"/>
      <c r="BE7" s="511"/>
      <c r="BF7" s="511"/>
      <c r="BG7" s="511"/>
      <c r="BH7" s="511"/>
      <c r="BI7" s="511"/>
      <c r="BJ7" s="511"/>
      <c r="BK7" s="511"/>
      <c r="BL7" s="511"/>
      <c r="BM7" s="511"/>
      <c r="BN7" s="511"/>
      <c r="BO7" s="511"/>
      <c r="BP7" s="511"/>
      <c r="BQ7" s="511"/>
      <c r="BR7" s="511"/>
      <c r="BS7" s="511"/>
      <c r="BT7" s="511"/>
      <c r="BU7" s="511"/>
      <c r="BV7" s="511"/>
      <c r="BW7" s="511"/>
      <c r="BX7" s="511"/>
      <c r="BY7" s="511"/>
      <c r="BZ7" s="511"/>
      <c r="CA7" s="511"/>
      <c r="CB7" s="511"/>
      <c r="CC7" s="511"/>
      <c r="CD7" s="511"/>
      <c r="CE7" s="511"/>
      <c r="CF7" s="511"/>
      <c r="CG7" s="511"/>
    </row>
    <row r="8" spans="1:86" ht="11.45" customHeight="1" x14ac:dyDescent="0.2">
      <c r="A8" s="537" t="s">
        <v>487</v>
      </c>
      <c r="B8" s="537"/>
      <c r="C8" s="537"/>
      <c r="D8" s="537"/>
      <c r="E8" s="537"/>
      <c r="F8" s="537"/>
      <c r="G8" s="537"/>
      <c r="H8" s="537"/>
      <c r="I8" s="537"/>
      <c r="J8" s="537"/>
      <c r="K8" s="537"/>
      <c r="L8" s="537"/>
      <c r="M8" s="537"/>
      <c r="N8" s="537"/>
      <c r="O8" s="537"/>
      <c r="P8" s="537"/>
      <c r="Q8" s="537"/>
      <c r="R8" s="537"/>
      <c r="S8" s="537"/>
      <c r="T8" s="537"/>
      <c r="U8" s="537"/>
      <c r="V8" s="537"/>
      <c r="W8" s="537"/>
      <c r="X8" s="537"/>
      <c r="Y8" s="537"/>
      <c r="Z8" s="537"/>
      <c r="AA8" s="537"/>
      <c r="AB8" s="537"/>
      <c r="AC8" s="537"/>
      <c r="AD8" s="537"/>
      <c r="AE8" s="537"/>
      <c r="AF8" s="537"/>
      <c r="AG8" s="537"/>
      <c r="AH8" s="537"/>
      <c r="AI8" s="537"/>
      <c r="AJ8" s="537"/>
      <c r="AK8" s="537"/>
      <c r="AL8" s="537"/>
      <c r="AM8" s="537"/>
      <c r="AN8" s="537"/>
      <c r="AO8" s="537"/>
      <c r="AP8" s="537"/>
      <c r="AQ8" s="537"/>
      <c r="AR8" s="537"/>
      <c r="AS8" s="537"/>
      <c r="AT8" s="537"/>
      <c r="AU8" s="537"/>
      <c r="AV8" s="537"/>
      <c r="AW8" s="537"/>
      <c r="AX8" s="537"/>
      <c r="AY8" s="537"/>
      <c r="AZ8" s="537"/>
      <c r="BA8" s="537"/>
      <c r="BB8" s="537"/>
      <c r="BC8" s="537"/>
      <c r="BD8" s="537"/>
      <c r="BE8" s="537"/>
      <c r="BF8" s="537"/>
      <c r="BG8" s="537"/>
      <c r="BH8" s="537"/>
      <c r="BI8" s="537"/>
      <c r="BJ8" s="537"/>
      <c r="BK8" s="537"/>
      <c r="BL8" s="537"/>
      <c r="BM8" s="537"/>
      <c r="BN8" s="537"/>
      <c r="BO8" s="537"/>
      <c r="BP8" s="537"/>
      <c r="BQ8" s="537"/>
      <c r="BR8" s="537"/>
      <c r="BS8" s="537"/>
      <c r="BT8" s="537"/>
      <c r="BU8" s="537"/>
      <c r="BV8" s="537"/>
      <c r="BW8" s="537"/>
      <c r="BX8" s="537"/>
      <c r="BY8" s="537"/>
      <c r="BZ8" s="537"/>
      <c r="CA8" s="537"/>
      <c r="CB8" s="537"/>
      <c r="CC8" s="537"/>
      <c r="CD8" s="537"/>
      <c r="CE8" s="537"/>
      <c r="CF8" s="537"/>
      <c r="CG8" s="537"/>
    </row>
    <row r="9" spans="1:86" ht="11.45" customHeight="1" x14ac:dyDescent="0.2">
      <c r="A9" s="528"/>
      <c r="B9" s="528"/>
      <c r="C9" s="528"/>
      <c r="D9" s="528"/>
      <c r="E9" s="528"/>
      <c r="F9" s="528"/>
      <c r="G9" s="528"/>
      <c r="H9" s="528"/>
      <c r="I9" s="528"/>
      <c r="J9" s="528"/>
      <c r="K9" s="528"/>
      <c r="L9" s="528"/>
      <c r="M9" s="528"/>
      <c r="N9" s="528"/>
      <c r="O9" s="528"/>
      <c r="P9" s="528"/>
      <c r="Q9" s="528"/>
      <c r="R9" s="528"/>
      <c r="S9" s="528"/>
      <c r="T9" s="528"/>
      <c r="U9" s="528"/>
      <c r="V9" s="528"/>
      <c r="W9" s="528"/>
      <c r="X9" s="528"/>
      <c r="Y9" s="528"/>
      <c r="Z9" s="528"/>
      <c r="AA9" s="528"/>
      <c r="AB9" s="528"/>
      <c r="AC9" s="528"/>
      <c r="AD9" s="528"/>
      <c r="AE9" s="528"/>
      <c r="AF9" s="528"/>
      <c r="AG9" s="528"/>
      <c r="AH9" s="528"/>
      <c r="AI9" s="528"/>
      <c r="AJ9" s="528"/>
      <c r="AK9" s="528"/>
      <c r="AL9" s="528"/>
      <c r="AM9" s="528"/>
      <c r="AN9" s="528"/>
      <c r="AO9" s="528"/>
      <c r="AP9" s="528"/>
      <c r="AQ9" s="528"/>
      <c r="AR9" s="528"/>
      <c r="AS9" s="528"/>
      <c r="AT9" s="528"/>
      <c r="AU9" s="528"/>
      <c r="AV9" s="528"/>
      <c r="AW9" s="528"/>
      <c r="AX9" s="528"/>
      <c r="AY9" s="528"/>
      <c r="AZ9" s="528"/>
      <c r="BA9" s="528"/>
      <c r="BB9" s="528"/>
      <c r="BC9" s="528"/>
      <c r="BD9" s="528"/>
      <c r="BE9" s="528"/>
      <c r="BF9" s="528"/>
      <c r="BG9" s="528"/>
      <c r="BH9" s="528"/>
      <c r="BI9" s="528"/>
      <c r="BJ9" s="528"/>
      <c r="BK9" s="528"/>
      <c r="BL9" s="528"/>
      <c r="BM9" s="528"/>
      <c r="BN9" s="528"/>
      <c r="BO9" s="528"/>
      <c r="BP9" s="528"/>
      <c r="BQ9" s="528"/>
      <c r="BR9" s="528"/>
      <c r="BS9" s="528"/>
      <c r="BT9" s="528"/>
      <c r="BU9" s="528"/>
      <c r="BV9" s="528"/>
      <c r="BW9" s="528"/>
      <c r="BX9" s="528"/>
      <c r="BY9" s="528"/>
      <c r="BZ9" s="528"/>
      <c r="CA9" s="528"/>
      <c r="CB9" s="528"/>
      <c r="CC9" s="528"/>
      <c r="CD9" s="528"/>
      <c r="CE9" s="528"/>
      <c r="CF9" s="528"/>
      <c r="CG9" s="528"/>
    </row>
    <row r="10" spans="1:86" ht="11.45" customHeight="1" x14ac:dyDescent="0.2">
      <c r="A10" s="528"/>
      <c r="B10" s="528"/>
      <c r="C10" s="528"/>
      <c r="D10" s="528"/>
      <c r="E10" s="528"/>
      <c r="F10" s="528"/>
      <c r="G10" s="528"/>
      <c r="H10" s="528"/>
      <c r="I10" s="528"/>
      <c r="J10" s="528"/>
      <c r="K10" s="528"/>
      <c r="L10" s="528"/>
      <c r="M10" s="528"/>
      <c r="N10" s="528"/>
      <c r="O10" s="528"/>
      <c r="P10" s="528"/>
      <c r="Q10" s="528"/>
      <c r="R10" s="528"/>
      <c r="S10" s="528"/>
      <c r="T10" s="528"/>
      <c r="U10" s="528"/>
      <c r="V10" s="528"/>
      <c r="W10" s="528"/>
      <c r="X10" s="528"/>
      <c r="Y10" s="528"/>
      <c r="Z10" s="528"/>
      <c r="AA10" s="528"/>
      <c r="AB10" s="528"/>
      <c r="AC10" s="528"/>
      <c r="AD10" s="528"/>
      <c r="AE10" s="528"/>
      <c r="AF10" s="528"/>
      <c r="AG10" s="528"/>
      <c r="AH10" s="528"/>
      <c r="AI10" s="528"/>
      <c r="AJ10" s="528"/>
      <c r="AK10" s="528"/>
      <c r="AL10" s="528"/>
      <c r="AM10" s="528"/>
      <c r="AN10" s="528"/>
      <c r="AO10" s="528"/>
      <c r="AP10" s="528"/>
      <c r="AQ10" s="528"/>
      <c r="AR10" s="528"/>
      <c r="AS10" s="528"/>
      <c r="AT10" s="528"/>
      <c r="AU10" s="528"/>
      <c r="AV10" s="528"/>
      <c r="AW10" s="528"/>
      <c r="AX10" s="528"/>
      <c r="AY10" s="528"/>
      <c r="AZ10" s="528"/>
      <c r="BA10" s="528"/>
      <c r="BB10" s="528"/>
      <c r="BC10" s="528"/>
      <c r="BD10" s="528"/>
      <c r="BE10" s="528"/>
      <c r="BF10" s="528"/>
      <c r="BG10" s="528"/>
      <c r="BH10" s="528"/>
      <c r="BI10" s="528"/>
      <c r="BJ10" s="528"/>
      <c r="BK10" s="528"/>
      <c r="BL10" s="528"/>
      <c r="BM10" s="528"/>
      <c r="BN10" s="528"/>
      <c r="BO10" s="528"/>
      <c r="BP10" s="528"/>
      <c r="BQ10" s="528"/>
      <c r="BR10" s="528"/>
      <c r="BS10" s="528"/>
      <c r="BT10" s="528"/>
      <c r="BU10" s="528"/>
      <c r="BV10" s="528"/>
      <c r="BW10" s="528"/>
      <c r="BX10" s="528"/>
      <c r="BY10" s="528"/>
      <c r="BZ10" s="528"/>
      <c r="CA10" s="528"/>
      <c r="CB10" s="528"/>
      <c r="CC10" s="528"/>
      <c r="CD10" s="528"/>
      <c r="CE10" s="528"/>
      <c r="CF10" s="528"/>
      <c r="CG10" s="528"/>
    </row>
    <row r="11" spans="1:86" s="136" customFormat="1" ht="11.45" customHeight="1" x14ac:dyDescent="0.2">
      <c r="A11" s="529"/>
      <c r="B11" s="529"/>
      <c r="C11" s="529"/>
      <c r="D11" s="529"/>
      <c r="E11" s="529"/>
      <c r="F11" s="529"/>
      <c r="G11" s="529"/>
      <c r="H11" s="529"/>
      <c r="I11" s="529"/>
      <c r="J11" s="514" t="s">
        <v>181</v>
      </c>
      <c r="K11" s="514"/>
      <c r="L11" s="514"/>
      <c r="M11" s="514"/>
      <c r="N11" s="514"/>
      <c r="O11" s="514"/>
      <c r="P11" s="514"/>
      <c r="Q11" s="514"/>
      <c r="R11" s="514"/>
      <c r="S11" s="514"/>
      <c r="T11" s="514" t="s">
        <v>266</v>
      </c>
      <c r="U11" s="514"/>
      <c r="V11" s="514"/>
      <c r="W11" s="514"/>
      <c r="X11" s="514"/>
      <c r="Y11" s="514"/>
      <c r="Z11" s="514"/>
      <c r="AA11" s="514"/>
      <c r="AB11" s="514"/>
      <c r="AC11" s="514"/>
      <c r="AD11" s="514" t="s">
        <v>183</v>
      </c>
      <c r="AE11" s="514"/>
      <c r="AF11" s="514"/>
      <c r="AG11" s="514"/>
      <c r="AH11" s="514"/>
      <c r="AI11" s="514"/>
      <c r="AJ11" s="514"/>
      <c r="AK11" s="514"/>
      <c r="AL11" s="514"/>
      <c r="AM11" s="514"/>
      <c r="AN11" s="514" t="s">
        <v>182</v>
      </c>
      <c r="AO11" s="514"/>
      <c r="AP11" s="514"/>
      <c r="AQ11" s="514"/>
      <c r="AR11" s="514"/>
      <c r="AS11" s="514"/>
      <c r="AT11" s="514"/>
      <c r="AU11" s="514"/>
      <c r="AV11" s="514"/>
      <c r="AW11" s="514"/>
      <c r="AX11" s="514" t="s">
        <v>488</v>
      </c>
      <c r="AY11" s="514"/>
      <c r="AZ11" s="514"/>
      <c r="BA11" s="514"/>
      <c r="BB11" s="514"/>
      <c r="BC11" s="514"/>
      <c r="BD11" s="514"/>
      <c r="BE11" s="514"/>
      <c r="BF11" s="514"/>
      <c r="BG11" s="514"/>
      <c r="BH11" s="514"/>
      <c r="BI11" s="514"/>
      <c r="BJ11" s="514"/>
      <c r="BK11" s="514"/>
      <c r="BL11" s="514"/>
      <c r="BM11" s="514"/>
      <c r="BN11" s="514"/>
      <c r="BO11" s="514"/>
      <c r="BP11" s="514"/>
      <c r="BQ11" s="514"/>
      <c r="BR11" s="514"/>
      <c r="BS11" s="514"/>
      <c r="BT11" s="514"/>
      <c r="BU11" s="514"/>
      <c r="BV11" s="514"/>
      <c r="BW11" s="514"/>
      <c r="BX11" s="514"/>
      <c r="BY11" s="514" t="s">
        <v>489</v>
      </c>
      <c r="BZ11" s="514"/>
      <c r="CA11" s="514"/>
      <c r="CB11" s="514"/>
      <c r="CC11" s="514"/>
      <c r="CD11" s="514"/>
      <c r="CE11" s="514"/>
      <c r="CF11" s="514"/>
      <c r="CG11" s="514"/>
      <c r="CH11" s="135"/>
    </row>
    <row r="12" spans="1:86" s="136" customFormat="1" ht="11.45" customHeight="1" x14ac:dyDescent="0.2">
      <c r="A12" s="529"/>
      <c r="B12" s="529"/>
      <c r="C12" s="529"/>
      <c r="D12" s="529"/>
      <c r="E12" s="529"/>
      <c r="F12" s="529"/>
      <c r="G12" s="529"/>
      <c r="H12" s="529"/>
      <c r="I12" s="529"/>
      <c r="J12" s="514"/>
      <c r="K12" s="514"/>
      <c r="L12" s="514"/>
      <c r="M12" s="514"/>
      <c r="N12" s="514"/>
      <c r="O12" s="514"/>
      <c r="P12" s="514"/>
      <c r="Q12" s="514"/>
      <c r="R12" s="514"/>
      <c r="S12" s="514"/>
      <c r="T12" s="514"/>
      <c r="U12" s="514"/>
      <c r="V12" s="514"/>
      <c r="W12" s="514"/>
      <c r="X12" s="514"/>
      <c r="Y12" s="514"/>
      <c r="Z12" s="514"/>
      <c r="AA12" s="514"/>
      <c r="AB12" s="514"/>
      <c r="AC12" s="514"/>
      <c r="AD12" s="514"/>
      <c r="AE12" s="514"/>
      <c r="AF12" s="514"/>
      <c r="AG12" s="514"/>
      <c r="AH12" s="514"/>
      <c r="AI12" s="514"/>
      <c r="AJ12" s="514"/>
      <c r="AK12" s="514"/>
      <c r="AL12" s="514"/>
      <c r="AM12" s="514"/>
      <c r="AN12" s="514"/>
      <c r="AO12" s="514"/>
      <c r="AP12" s="514"/>
      <c r="AQ12" s="514"/>
      <c r="AR12" s="514"/>
      <c r="AS12" s="514"/>
      <c r="AT12" s="514"/>
      <c r="AU12" s="514"/>
      <c r="AV12" s="514"/>
      <c r="AW12" s="514"/>
      <c r="AX12" s="514" t="s">
        <v>490</v>
      </c>
      <c r="AY12" s="514"/>
      <c r="AZ12" s="514"/>
      <c r="BA12" s="514"/>
      <c r="BB12" s="514"/>
      <c r="BC12" s="514"/>
      <c r="BD12" s="514"/>
      <c r="BE12" s="514"/>
      <c r="BF12" s="514"/>
      <c r="BG12" s="514" t="s">
        <v>491</v>
      </c>
      <c r="BH12" s="514"/>
      <c r="BI12" s="514"/>
      <c r="BJ12" s="514"/>
      <c r="BK12" s="514"/>
      <c r="BL12" s="514"/>
      <c r="BM12" s="514"/>
      <c r="BN12" s="514"/>
      <c r="BO12" s="514"/>
      <c r="BP12" s="514" t="s">
        <v>492</v>
      </c>
      <c r="BQ12" s="514"/>
      <c r="BR12" s="514"/>
      <c r="BS12" s="514"/>
      <c r="BT12" s="514"/>
      <c r="BU12" s="514"/>
      <c r="BV12" s="514"/>
      <c r="BW12" s="514"/>
      <c r="BX12" s="514"/>
      <c r="BY12" s="514"/>
      <c r="BZ12" s="514"/>
      <c r="CA12" s="514"/>
      <c r="CB12" s="514"/>
      <c r="CC12" s="514"/>
      <c r="CD12" s="514"/>
      <c r="CE12" s="514"/>
      <c r="CF12" s="514"/>
      <c r="CG12" s="514"/>
      <c r="CH12" s="135"/>
    </row>
    <row r="13" spans="1:86" s="136" customFormat="1" ht="11.45" customHeight="1" x14ac:dyDescent="0.2">
      <c r="A13" s="514" t="s">
        <v>1</v>
      </c>
      <c r="B13" s="514"/>
      <c r="C13" s="514"/>
      <c r="D13" s="514"/>
      <c r="E13" s="514"/>
      <c r="F13" s="514"/>
      <c r="G13" s="514"/>
      <c r="H13" s="514"/>
      <c r="I13" s="514"/>
      <c r="J13" s="514" t="s">
        <v>526</v>
      </c>
      <c r="K13" s="514"/>
      <c r="L13" s="514"/>
      <c r="M13" s="514"/>
      <c r="N13" s="514"/>
      <c r="O13" s="514"/>
      <c r="P13" s="514"/>
      <c r="Q13" s="514"/>
      <c r="R13" s="514"/>
      <c r="S13" s="514"/>
      <c r="T13" s="514" t="s">
        <v>523</v>
      </c>
      <c r="U13" s="514"/>
      <c r="V13" s="514"/>
      <c r="W13" s="514"/>
      <c r="X13" s="514"/>
      <c r="Y13" s="514"/>
      <c r="Z13" s="514"/>
      <c r="AA13" s="514"/>
      <c r="AB13" s="514"/>
      <c r="AC13" s="514"/>
      <c r="AD13" s="514" t="s">
        <v>532</v>
      </c>
      <c r="AE13" s="514"/>
      <c r="AF13" s="514"/>
      <c r="AG13" s="514"/>
      <c r="AH13" s="514"/>
      <c r="AI13" s="514"/>
      <c r="AJ13" s="514"/>
      <c r="AK13" s="514"/>
      <c r="AL13" s="514"/>
      <c r="AM13" s="514"/>
      <c r="AN13" s="514" t="s">
        <v>519</v>
      </c>
      <c r="AO13" s="514"/>
      <c r="AP13" s="514"/>
      <c r="AQ13" s="514"/>
      <c r="AR13" s="514"/>
      <c r="AS13" s="514"/>
      <c r="AT13" s="514"/>
      <c r="AU13" s="514"/>
      <c r="AV13" s="514"/>
      <c r="AW13" s="514"/>
      <c r="AX13" s="514"/>
      <c r="AY13" s="514"/>
      <c r="AZ13" s="514"/>
      <c r="BA13" s="514"/>
      <c r="BB13" s="514"/>
      <c r="BC13" s="514"/>
      <c r="BD13" s="514"/>
      <c r="BE13" s="514"/>
      <c r="BF13" s="514"/>
      <c r="BG13" s="514"/>
      <c r="BH13" s="514"/>
      <c r="BI13" s="514"/>
      <c r="BJ13" s="514"/>
      <c r="BK13" s="514"/>
      <c r="BL13" s="514"/>
      <c r="BM13" s="514"/>
      <c r="BN13" s="514"/>
      <c r="BO13" s="514"/>
      <c r="BP13" s="514"/>
      <c r="BQ13" s="514"/>
      <c r="BR13" s="514"/>
      <c r="BS13" s="514"/>
      <c r="BT13" s="514"/>
      <c r="BU13" s="514"/>
      <c r="BV13" s="514"/>
      <c r="BW13" s="514"/>
      <c r="BX13" s="514"/>
      <c r="BY13" s="514"/>
      <c r="BZ13" s="514"/>
      <c r="CA13" s="514"/>
      <c r="CB13" s="514"/>
      <c r="CC13" s="514"/>
      <c r="CD13" s="514"/>
      <c r="CE13" s="514"/>
      <c r="CF13" s="514"/>
      <c r="CG13" s="514"/>
    </row>
    <row r="14" spans="1:86" s="136" customFormat="1" ht="11.45" customHeight="1" x14ac:dyDescent="0.2">
      <c r="A14" s="514"/>
      <c r="B14" s="514"/>
      <c r="C14" s="514"/>
      <c r="D14" s="514"/>
      <c r="E14" s="514"/>
      <c r="F14" s="514"/>
      <c r="G14" s="514"/>
      <c r="H14" s="514"/>
      <c r="I14" s="514"/>
      <c r="J14" s="514"/>
      <c r="K14" s="514"/>
      <c r="L14" s="514"/>
      <c r="M14" s="514"/>
      <c r="N14" s="514"/>
      <c r="O14" s="514"/>
      <c r="P14" s="514"/>
      <c r="Q14" s="514"/>
      <c r="R14" s="514"/>
      <c r="S14" s="514"/>
      <c r="T14" s="514"/>
      <c r="U14" s="514"/>
      <c r="V14" s="514"/>
      <c r="W14" s="514"/>
      <c r="X14" s="514"/>
      <c r="Y14" s="514"/>
      <c r="Z14" s="514"/>
      <c r="AA14" s="514"/>
      <c r="AB14" s="514"/>
      <c r="AC14" s="514"/>
      <c r="AD14" s="514"/>
      <c r="AE14" s="514"/>
      <c r="AF14" s="514"/>
      <c r="AG14" s="514"/>
      <c r="AH14" s="514"/>
      <c r="AI14" s="514"/>
      <c r="AJ14" s="514"/>
      <c r="AK14" s="514"/>
      <c r="AL14" s="514"/>
      <c r="AM14" s="514"/>
      <c r="AN14" s="514"/>
      <c r="AO14" s="514"/>
      <c r="AP14" s="514"/>
      <c r="AQ14" s="514"/>
      <c r="AR14" s="514"/>
      <c r="AS14" s="514"/>
      <c r="AT14" s="514"/>
      <c r="AU14" s="514"/>
      <c r="AV14" s="514"/>
      <c r="AW14" s="514"/>
      <c r="AX14" s="514"/>
      <c r="AY14" s="514"/>
      <c r="AZ14" s="514"/>
      <c r="BA14" s="514"/>
      <c r="BB14" s="514"/>
      <c r="BC14" s="514"/>
      <c r="BD14" s="514"/>
      <c r="BE14" s="514"/>
      <c r="BF14" s="514"/>
      <c r="BG14" s="514"/>
      <c r="BH14" s="514"/>
      <c r="BI14" s="514"/>
      <c r="BJ14" s="514"/>
      <c r="BK14" s="514"/>
      <c r="BL14" s="514"/>
      <c r="BM14" s="514"/>
      <c r="BN14" s="514"/>
      <c r="BO14" s="514"/>
      <c r="BP14" s="514"/>
      <c r="BQ14" s="514"/>
      <c r="BR14" s="514"/>
      <c r="BS14" s="514"/>
      <c r="BT14" s="514"/>
      <c r="BU14" s="514"/>
      <c r="BV14" s="514"/>
      <c r="BW14" s="514"/>
      <c r="BX14" s="514"/>
      <c r="BY14" s="514"/>
      <c r="BZ14" s="514"/>
      <c r="CA14" s="514"/>
      <c r="CB14" s="514"/>
      <c r="CC14" s="514"/>
      <c r="CD14" s="514"/>
      <c r="CE14" s="514"/>
      <c r="CF14" s="514"/>
      <c r="CG14" s="514"/>
    </row>
    <row r="15" spans="1:86" s="136" customFormat="1" ht="11.45" customHeight="1" x14ac:dyDescent="0.2">
      <c r="A15" s="514" t="s">
        <v>493</v>
      </c>
      <c r="B15" s="514"/>
      <c r="C15" s="514"/>
      <c r="D15" s="514"/>
      <c r="E15" s="514"/>
      <c r="F15" s="514"/>
      <c r="G15" s="514"/>
      <c r="H15" s="514"/>
      <c r="I15" s="514"/>
      <c r="J15" s="514" t="s">
        <v>527</v>
      </c>
      <c r="K15" s="514"/>
      <c r="L15" s="514"/>
      <c r="M15" s="514"/>
      <c r="N15" s="514"/>
      <c r="O15" s="514"/>
      <c r="P15" s="514"/>
      <c r="Q15" s="514"/>
      <c r="R15" s="514"/>
      <c r="S15" s="514"/>
      <c r="T15" s="514" t="s">
        <v>523</v>
      </c>
      <c r="U15" s="514"/>
      <c r="V15" s="514"/>
      <c r="W15" s="514"/>
      <c r="X15" s="514"/>
      <c r="Y15" s="514"/>
      <c r="Z15" s="514"/>
      <c r="AA15" s="514"/>
      <c r="AB15" s="514"/>
      <c r="AC15" s="514"/>
      <c r="AD15" s="531" t="s">
        <v>532</v>
      </c>
      <c r="AE15" s="532"/>
      <c r="AF15" s="532"/>
      <c r="AG15" s="532"/>
      <c r="AH15" s="532"/>
      <c r="AI15" s="532"/>
      <c r="AJ15" s="532"/>
      <c r="AK15" s="532"/>
      <c r="AL15" s="532"/>
      <c r="AM15" s="533"/>
      <c r="AN15" s="514" t="s">
        <v>520</v>
      </c>
      <c r="AO15" s="514"/>
      <c r="AP15" s="514"/>
      <c r="AQ15" s="514"/>
      <c r="AR15" s="514"/>
      <c r="AS15" s="514"/>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4"/>
      <c r="BX15" s="514"/>
      <c r="BY15" s="514"/>
      <c r="BZ15" s="514"/>
      <c r="CA15" s="514"/>
      <c r="CB15" s="514"/>
      <c r="CC15" s="514"/>
      <c r="CD15" s="514"/>
      <c r="CE15" s="514"/>
      <c r="CF15" s="514"/>
      <c r="CG15" s="514"/>
    </row>
    <row r="16" spans="1:86" s="136" customFormat="1" ht="11.45" customHeight="1" x14ac:dyDescent="0.2">
      <c r="A16" s="514"/>
      <c r="B16" s="514"/>
      <c r="C16" s="514"/>
      <c r="D16" s="514"/>
      <c r="E16" s="514"/>
      <c r="F16" s="514"/>
      <c r="G16" s="514"/>
      <c r="H16" s="514"/>
      <c r="I16" s="514"/>
      <c r="J16" s="514"/>
      <c r="K16" s="514"/>
      <c r="L16" s="514"/>
      <c r="M16" s="514"/>
      <c r="N16" s="514"/>
      <c r="O16" s="514"/>
      <c r="P16" s="514"/>
      <c r="Q16" s="514"/>
      <c r="R16" s="514"/>
      <c r="S16" s="514"/>
      <c r="T16" s="514"/>
      <c r="U16" s="514"/>
      <c r="V16" s="514"/>
      <c r="W16" s="514"/>
      <c r="X16" s="514"/>
      <c r="Y16" s="514"/>
      <c r="Z16" s="514"/>
      <c r="AA16" s="514"/>
      <c r="AB16" s="514"/>
      <c r="AC16" s="514"/>
      <c r="AD16" s="534"/>
      <c r="AE16" s="535"/>
      <c r="AF16" s="535"/>
      <c r="AG16" s="535"/>
      <c r="AH16" s="535"/>
      <c r="AI16" s="535"/>
      <c r="AJ16" s="535"/>
      <c r="AK16" s="535"/>
      <c r="AL16" s="535"/>
      <c r="AM16" s="536"/>
      <c r="AN16" s="514"/>
      <c r="AO16" s="514"/>
      <c r="AP16" s="514"/>
      <c r="AQ16" s="514"/>
      <c r="AR16" s="514"/>
      <c r="AS16" s="514"/>
      <c r="AT16" s="514"/>
      <c r="AU16" s="514"/>
      <c r="AV16" s="514"/>
      <c r="AW16" s="514"/>
      <c r="AX16" s="514"/>
      <c r="AY16" s="514"/>
      <c r="AZ16" s="514"/>
      <c r="BA16" s="514"/>
      <c r="BB16" s="514"/>
      <c r="BC16" s="514"/>
      <c r="BD16" s="514"/>
      <c r="BE16" s="514"/>
      <c r="BF16" s="514"/>
      <c r="BG16" s="514"/>
      <c r="BH16" s="514"/>
      <c r="BI16" s="514"/>
      <c r="BJ16" s="514"/>
      <c r="BK16" s="514"/>
      <c r="BL16" s="514"/>
      <c r="BM16" s="514"/>
      <c r="BN16" s="514"/>
      <c r="BO16" s="514"/>
      <c r="BP16" s="514"/>
      <c r="BQ16" s="514"/>
      <c r="BR16" s="514"/>
      <c r="BS16" s="514"/>
      <c r="BT16" s="514"/>
      <c r="BU16" s="514"/>
      <c r="BV16" s="514"/>
      <c r="BW16" s="514"/>
      <c r="BX16" s="514"/>
      <c r="BY16" s="514"/>
      <c r="BZ16" s="514"/>
      <c r="CA16" s="514"/>
      <c r="CB16" s="514"/>
      <c r="CC16" s="514"/>
      <c r="CD16" s="514"/>
      <c r="CE16" s="514"/>
      <c r="CF16" s="514"/>
      <c r="CG16" s="514"/>
    </row>
    <row r="17" spans="1:85" ht="11.45" customHeight="1" x14ac:dyDescent="0.2">
      <c r="A17" s="510"/>
      <c r="B17" s="510"/>
      <c r="C17" s="510"/>
      <c r="D17" s="510"/>
      <c r="E17" s="510"/>
      <c r="F17" s="510"/>
      <c r="G17" s="510"/>
      <c r="H17" s="510"/>
      <c r="I17" s="510"/>
      <c r="J17" s="510"/>
      <c r="K17" s="510"/>
      <c r="L17" s="510"/>
      <c r="M17" s="510"/>
      <c r="N17" s="510"/>
      <c r="O17" s="510"/>
      <c r="P17" s="510"/>
      <c r="Q17" s="510"/>
      <c r="R17" s="510"/>
      <c r="S17" s="510"/>
      <c r="T17" s="510"/>
      <c r="U17" s="510"/>
      <c r="V17" s="510"/>
      <c r="W17" s="510"/>
      <c r="X17" s="510"/>
      <c r="Y17" s="510"/>
      <c r="Z17" s="510"/>
      <c r="AA17" s="510"/>
      <c r="AB17" s="510"/>
      <c r="AC17" s="510"/>
      <c r="AD17" s="510"/>
      <c r="AE17" s="510"/>
      <c r="AF17" s="510"/>
      <c r="AG17" s="510"/>
      <c r="AH17" s="510"/>
      <c r="AI17" s="510"/>
      <c r="AJ17" s="510"/>
      <c r="AK17" s="510"/>
      <c r="AL17" s="510"/>
      <c r="AM17" s="510"/>
      <c r="AN17" s="510"/>
      <c r="AO17" s="510"/>
      <c r="AP17" s="510"/>
      <c r="AQ17" s="510"/>
      <c r="AR17" s="510"/>
      <c r="AS17" s="510"/>
      <c r="AT17" s="510"/>
      <c r="AU17" s="510"/>
      <c r="AV17" s="510"/>
      <c r="AW17" s="510"/>
      <c r="AX17" s="510"/>
      <c r="AY17" s="510"/>
      <c r="AZ17" s="510"/>
      <c r="BA17" s="510"/>
      <c r="BB17" s="510"/>
      <c r="BC17" s="510"/>
      <c r="BD17" s="510"/>
      <c r="BE17" s="510"/>
      <c r="BF17" s="510"/>
      <c r="BG17" s="510"/>
      <c r="BH17" s="510"/>
      <c r="BI17" s="510"/>
      <c r="BJ17" s="510"/>
      <c r="BK17" s="510"/>
      <c r="BL17" s="510"/>
      <c r="BM17" s="510"/>
      <c r="BN17" s="510"/>
      <c r="BO17" s="510"/>
      <c r="BP17" s="510"/>
      <c r="BQ17" s="510"/>
      <c r="BR17" s="510"/>
      <c r="BS17" s="510"/>
      <c r="BT17" s="510"/>
      <c r="BU17" s="510"/>
      <c r="BV17" s="510"/>
      <c r="BW17" s="510"/>
      <c r="BX17" s="510"/>
      <c r="BY17" s="510"/>
      <c r="BZ17" s="510"/>
      <c r="CA17" s="510"/>
      <c r="CB17" s="510"/>
      <c r="CC17" s="510"/>
      <c r="CD17" s="510"/>
      <c r="CE17" s="510"/>
      <c r="CF17" s="510"/>
      <c r="CG17" s="510"/>
    </row>
    <row r="18" spans="1:85" s="136" customFormat="1" ht="11.45" customHeight="1" thickBot="1" x14ac:dyDescent="0.25">
      <c r="A18" s="511"/>
      <c r="B18" s="511"/>
      <c r="C18" s="511"/>
      <c r="D18" s="511"/>
      <c r="E18" s="511"/>
      <c r="F18" s="511"/>
      <c r="G18" s="511"/>
      <c r="H18" s="511"/>
      <c r="I18" s="511"/>
      <c r="J18" s="511"/>
      <c r="K18" s="511"/>
      <c r="L18" s="511"/>
      <c r="M18" s="511"/>
      <c r="N18" s="511"/>
      <c r="O18" s="511"/>
      <c r="P18" s="511"/>
      <c r="Q18" s="511"/>
      <c r="R18" s="511"/>
      <c r="S18" s="511"/>
      <c r="T18" s="511"/>
      <c r="U18" s="511"/>
      <c r="V18" s="511"/>
      <c r="W18" s="511"/>
      <c r="X18" s="511"/>
      <c r="Y18" s="511"/>
      <c r="Z18" s="511"/>
      <c r="AA18" s="511"/>
      <c r="AB18" s="511"/>
      <c r="AC18" s="511"/>
      <c r="AD18" s="511"/>
      <c r="AE18" s="511"/>
      <c r="AF18" s="511"/>
      <c r="AG18" s="511"/>
      <c r="AH18" s="511"/>
      <c r="AI18" s="511"/>
      <c r="AJ18" s="511"/>
      <c r="AK18" s="511"/>
      <c r="AL18" s="511"/>
      <c r="AM18" s="511"/>
      <c r="AN18" s="511"/>
      <c r="AO18" s="511"/>
      <c r="AP18" s="511"/>
      <c r="AQ18" s="511"/>
      <c r="AR18" s="511"/>
      <c r="AS18" s="511"/>
      <c r="AT18" s="511"/>
      <c r="AU18" s="511"/>
      <c r="AV18" s="511"/>
      <c r="AW18" s="511"/>
      <c r="AX18" s="511"/>
      <c r="AY18" s="511"/>
      <c r="AZ18" s="511"/>
      <c r="BA18" s="511"/>
      <c r="BB18" s="511"/>
      <c r="BC18" s="511"/>
      <c r="BD18" s="511"/>
      <c r="BE18" s="511"/>
      <c r="BF18" s="511"/>
      <c r="BG18" s="511"/>
      <c r="BH18" s="511"/>
      <c r="BI18" s="511"/>
      <c r="BJ18" s="511"/>
      <c r="BK18" s="511"/>
      <c r="BL18" s="511"/>
      <c r="BM18" s="511"/>
      <c r="BN18" s="511"/>
      <c r="BO18" s="511"/>
      <c r="BP18" s="511"/>
      <c r="BQ18" s="511"/>
      <c r="BR18" s="511"/>
      <c r="BS18" s="511"/>
      <c r="BT18" s="511"/>
      <c r="BU18" s="511"/>
      <c r="BV18" s="511"/>
      <c r="BW18" s="511"/>
      <c r="BX18" s="511"/>
      <c r="BY18" s="511"/>
      <c r="BZ18" s="511"/>
      <c r="CA18" s="511"/>
      <c r="CB18" s="511"/>
      <c r="CC18" s="511"/>
      <c r="CD18" s="511"/>
      <c r="CE18" s="511"/>
      <c r="CF18" s="511"/>
      <c r="CG18" s="511"/>
    </row>
    <row r="19" spans="1:85" s="136" customFormat="1" ht="11.45" customHeight="1" x14ac:dyDescent="0.2">
      <c r="A19" s="527" t="s">
        <v>494</v>
      </c>
      <c r="B19" s="527"/>
      <c r="C19" s="527"/>
      <c r="D19" s="527"/>
      <c r="E19" s="527"/>
      <c r="F19" s="527"/>
      <c r="G19" s="527"/>
      <c r="H19" s="527"/>
      <c r="I19" s="527"/>
      <c r="J19" s="527"/>
      <c r="K19" s="527"/>
      <c r="L19" s="527"/>
      <c r="M19" s="527"/>
      <c r="N19" s="527"/>
      <c r="O19" s="527"/>
      <c r="P19" s="527"/>
      <c r="Q19" s="527"/>
      <c r="R19" s="527"/>
      <c r="S19" s="527"/>
      <c r="T19" s="527"/>
      <c r="U19" s="527"/>
      <c r="V19" s="527"/>
      <c r="W19" s="527"/>
      <c r="X19" s="527"/>
      <c r="Y19" s="527"/>
      <c r="Z19" s="527"/>
      <c r="AA19" s="527"/>
      <c r="AB19" s="527"/>
      <c r="AC19" s="527"/>
      <c r="AD19" s="527"/>
      <c r="AE19" s="527"/>
      <c r="AF19" s="527"/>
      <c r="AG19" s="527"/>
      <c r="AH19" s="527"/>
      <c r="AI19" s="527"/>
      <c r="AJ19" s="527"/>
      <c r="AK19" s="527"/>
      <c r="AL19" s="527"/>
      <c r="AM19" s="527"/>
      <c r="AN19" s="527"/>
      <c r="AO19" s="527"/>
      <c r="AP19" s="527"/>
      <c r="AQ19" s="527"/>
      <c r="AR19" s="527"/>
      <c r="AS19" s="527"/>
      <c r="AT19" s="527"/>
      <c r="AU19" s="527"/>
      <c r="AV19" s="527"/>
      <c r="AW19" s="527"/>
      <c r="AX19" s="527"/>
      <c r="AY19" s="527"/>
      <c r="AZ19" s="527"/>
      <c r="BA19" s="527"/>
      <c r="BB19" s="527"/>
      <c r="BC19" s="527"/>
      <c r="BD19" s="527"/>
      <c r="BE19" s="527"/>
      <c r="BF19" s="527"/>
      <c r="BG19" s="527"/>
      <c r="BH19" s="527"/>
      <c r="BI19" s="527"/>
      <c r="BJ19" s="527"/>
      <c r="BK19" s="527"/>
      <c r="BL19" s="527"/>
      <c r="BM19" s="527"/>
      <c r="BN19" s="527"/>
      <c r="BO19" s="527"/>
      <c r="BP19" s="527"/>
      <c r="BQ19" s="527"/>
      <c r="BR19" s="527"/>
      <c r="BS19" s="527"/>
      <c r="BT19" s="527"/>
      <c r="BU19" s="527"/>
      <c r="BV19" s="527"/>
      <c r="BW19" s="527"/>
      <c r="BX19" s="527"/>
      <c r="BY19" s="527"/>
      <c r="BZ19" s="527"/>
      <c r="CA19" s="527"/>
      <c r="CB19" s="527"/>
      <c r="CC19" s="527"/>
      <c r="CD19" s="527"/>
      <c r="CE19" s="527"/>
      <c r="CF19" s="527"/>
      <c r="CG19" s="527"/>
    </row>
    <row r="20" spans="1:85" ht="11.45" customHeight="1" x14ac:dyDescent="0.2">
      <c r="A20" s="528"/>
      <c r="B20" s="528"/>
      <c r="C20" s="528"/>
      <c r="D20" s="528"/>
      <c r="E20" s="528"/>
      <c r="F20" s="528"/>
      <c r="G20" s="528"/>
      <c r="H20" s="528"/>
      <c r="I20" s="528"/>
      <c r="J20" s="528"/>
      <c r="K20" s="528"/>
      <c r="L20" s="528"/>
      <c r="M20" s="528"/>
      <c r="N20" s="528"/>
      <c r="O20" s="528"/>
      <c r="P20" s="528"/>
      <c r="Q20" s="528"/>
      <c r="R20" s="528"/>
      <c r="S20" s="528"/>
      <c r="T20" s="528"/>
      <c r="U20" s="528"/>
      <c r="V20" s="528"/>
      <c r="W20" s="528"/>
      <c r="X20" s="528"/>
      <c r="Y20" s="528"/>
      <c r="Z20" s="528"/>
      <c r="AA20" s="528"/>
      <c r="AB20" s="528"/>
      <c r="AC20" s="528"/>
      <c r="AD20" s="528"/>
      <c r="AE20" s="528"/>
      <c r="AF20" s="528"/>
      <c r="AG20" s="528"/>
      <c r="AH20" s="528"/>
      <c r="AI20" s="528"/>
      <c r="AJ20" s="528"/>
      <c r="AK20" s="528"/>
      <c r="AL20" s="528"/>
      <c r="AM20" s="528"/>
      <c r="AN20" s="528"/>
      <c r="AO20" s="528"/>
      <c r="AP20" s="528"/>
      <c r="AQ20" s="528"/>
      <c r="AR20" s="528"/>
      <c r="AS20" s="528"/>
      <c r="AT20" s="528"/>
      <c r="AU20" s="528"/>
      <c r="AV20" s="528"/>
      <c r="AW20" s="528"/>
      <c r="AX20" s="528"/>
      <c r="AY20" s="528"/>
      <c r="AZ20" s="528"/>
      <c r="BA20" s="528"/>
      <c r="BB20" s="528"/>
      <c r="BC20" s="528"/>
      <c r="BD20" s="528"/>
      <c r="BE20" s="528"/>
      <c r="BF20" s="528"/>
      <c r="BG20" s="528"/>
      <c r="BH20" s="528"/>
      <c r="BI20" s="528"/>
      <c r="BJ20" s="528"/>
      <c r="BK20" s="528"/>
      <c r="BL20" s="528"/>
      <c r="BM20" s="528"/>
      <c r="BN20" s="528"/>
      <c r="BO20" s="528"/>
      <c r="BP20" s="528"/>
      <c r="BQ20" s="528"/>
      <c r="BR20" s="528"/>
      <c r="BS20" s="528"/>
      <c r="BT20" s="528"/>
      <c r="BU20" s="528"/>
      <c r="BV20" s="528"/>
      <c r="BW20" s="528"/>
      <c r="BX20" s="528"/>
      <c r="BY20" s="528"/>
      <c r="BZ20" s="528"/>
      <c r="CA20" s="528"/>
      <c r="CB20" s="528"/>
      <c r="CC20" s="528"/>
      <c r="CD20" s="528"/>
      <c r="CE20" s="528"/>
      <c r="CF20" s="528"/>
      <c r="CG20" s="528"/>
    </row>
    <row r="21" spans="1:85" s="136" customFormat="1" ht="11.45" customHeight="1" x14ac:dyDescent="0.2">
      <c r="A21" s="528"/>
      <c r="B21" s="528"/>
      <c r="C21" s="528"/>
      <c r="D21" s="528"/>
      <c r="E21" s="528"/>
      <c r="F21" s="528"/>
      <c r="G21" s="528"/>
      <c r="H21" s="528"/>
      <c r="I21" s="528"/>
      <c r="J21" s="528"/>
      <c r="K21" s="528"/>
      <c r="L21" s="528"/>
      <c r="M21" s="528"/>
      <c r="N21" s="528"/>
      <c r="O21" s="528"/>
      <c r="P21" s="528"/>
      <c r="Q21" s="528"/>
      <c r="R21" s="528"/>
      <c r="S21" s="528"/>
      <c r="T21" s="528"/>
      <c r="U21" s="528"/>
      <c r="V21" s="528"/>
      <c r="W21" s="528"/>
      <c r="X21" s="528"/>
      <c r="Y21" s="528"/>
      <c r="Z21" s="528"/>
      <c r="AA21" s="528"/>
      <c r="AB21" s="528"/>
      <c r="AC21" s="528"/>
      <c r="AD21" s="528"/>
      <c r="AE21" s="528"/>
      <c r="AF21" s="528"/>
      <c r="AG21" s="528"/>
      <c r="AH21" s="528"/>
      <c r="AI21" s="528"/>
      <c r="AJ21" s="528"/>
      <c r="AK21" s="528"/>
      <c r="AL21" s="528"/>
      <c r="AM21" s="528"/>
      <c r="AN21" s="528"/>
      <c r="AO21" s="528"/>
      <c r="AP21" s="528"/>
      <c r="AQ21" s="528"/>
      <c r="AR21" s="528"/>
      <c r="AS21" s="528"/>
      <c r="AT21" s="528"/>
      <c r="AU21" s="528"/>
      <c r="AV21" s="528"/>
      <c r="AW21" s="528"/>
      <c r="AX21" s="528"/>
      <c r="AY21" s="528"/>
      <c r="AZ21" s="528"/>
      <c r="BA21" s="528"/>
      <c r="BB21" s="528"/>
      <c r="BC21" s="528"/>
      <c r="BD21" s="528"/>
      <c r="BE21" s="528"/>
      <c r="BF21" s="528"/>
      <c r="BG21" s="528"/>
      <c r="BH21" s="528"/>
      <c r="BI21" s="528"/>
      <c r="BJ21" s="528"/>
      <c r="BK21" s="528"/>
      <c r="BL21" s="528"/>
      <c r="BM21" s="528"/>
      <c r="BN21" s="528"/>
      <c r="BO21" s="528"/>
      <c r="BP21" s="528"/>
      <c r="BQ21" s="528"/>
      <c r="BR21" s="528"/>
      <c r="BS21" s="528"/>
      <c r="BT21" s="528"/>
      <c r="BU21" s="528"/>
      <c r="BV21" s="528"/>
      <c r="BW21" s="528"/>
      <c r="BX21" s="528"/>
      <c r="BY21" s="528"/>
      <c r="BZ21" s="528"/>
      <c r="CA21" s="528"/>
      <c r="CB21" s="528"/>
      <c r="CC21" s="528"/>
      <c r="CD21" s="528"/>
      <c r="CE21" s="528"/>
      <c r="CF21" s="528"/>
      <c r="CG21" s="528"/>
    </row>
    <row r="22" spans="1:85" s="136" customFormat="1" ht="11.45" customHeight="1" x14ac:dyDescent="0.2">
      <c r="A22" s="529"/>
      <c r="B22" s="529"/>
      <c r="C22" s="529"/>
      <c r="D22" s="529"/>
      <c r="E22" s="529"/>
      <c r="F22" s="529"/>
      <c r="G22" s="529"/>
      <c r="H22" s="529"/>
      <c r="I22" s="529"/>
      <c r="J22" s="523" t="s">
        <v>495</v>
      </c>
      <c r="K22" s="523"/>
      <c r="L22" s="523"/>
      <c r="M22" s="523"/>
      <c r="N22" s="523"/>
      <c r="O22" s="523"/>
      <c r="P22" s="523"/>
      <c r="Q22" s="523"/>
      <c r="R22" s="523"/>
      <c r="S22" s="523"/>
      <c r="T22" s="523"/>
      <c r="U22" s="523" t="s">
        <v>496</v>
      </c>
      <c r="V22" s="523"/>
      <c r="W22" s="523"/>
      <c r="X22" s="523"/>
      <c r="Y22" s="523"/>
      <c r="Z22" s="523"/>
      <c r="AA22" s="523"/>
      <c r="AB22" s="523"/>
      <c r="AC22" s="523"/>
      <c r="AD22" s="523"/>
      <c r="AE22" s="523"/>
      <c r="AF22" s="523" t="s">
        <v>497</v>
      </c>
      <c r="AG22" s="523"/>
      <c r="AH22" s="523"/>
      <c r="AI22" s="523"/>
      <c r="AJ22" s="523"/>
      <c r="AK22" s="523"/>
      <c r="AL22" s="523"/>
      <c r="AM22" s="523"/>
      <c r="AN22" s="523"/>
      <c r="AO22" s="523"/>
      <c r="AP22" s="523"/>
      <c r="AQ22" s="523" t="s">
        <v>498</v>
      </c>
      <c r="AR22" s="523"/>
      <c r="AS22" s="523"/>
      <c r="AT22" s="523"/>
      <c r="AU22" s="523"/>
      <c r="AV22" s="523"/>
      <c r="AW22" s="523"/>
      <c r="AX22" s="523"/>
      <c r="AY22" s="523"/>
      <c r="AZ22" s="523"/>
      <c r="BA22" s="523"/>
      <c r="BB22" s="523" t="s">
        <v>499</v>
      </c>
      <c r="BC22" s="523"/>
      <c r="BD22" s="523"/>
      <c r="BE22" s="523"/>
      <c r="BF22" s="523"/>
      <c r="BG22" s="523"/>
      <c r="BH22" s="523"/>
      <c r="BI22" s="523"/>
      <c r="BJ22" s="523"/>
      <c r="BK22" s="523"/>
      <c r="BL22" s="523"/>
      <c r="BM22" s="523" t="s">
        <v>500</v>
      </c>
      <c r="BN22" s="523"/>
      <c r="BO22" s="523"/>
      <c r="BP22" s="523"/>
      <c r="BQ22" s="523"/>
      <c r="BR22" s="523"/>
      <c r="BS22" s="523"/>
      <c r="BT22" s="523"/>
      <c r="BU22" s="523"/>
      <c r="BV22" s="523"/>
      <c r="BW22" s="523"/>
      <c r="BX22" s="523" t="s">
        <v>282</v>
      </c>
      <c r="BY22" s="523"/>
      <c r="BZ22" s="523"/>
      <c r="CA22" s="523"/>
      <c r="CB22" s="523"/>
      <c r="CC22" s="523"/>
      <c r="CD22" s="523"/>
      <c r="CE22" s="523"/>
      <c r="CF22" s="523"/>
      <c r="CG22" s="523"/>
    </row>
    <row r="23" spans="1:85" ht="11.45" customHeight="1" x14ac:dyDescent="0.2">
      <c r="A23" s="529"/>
      <c r="B23" s="529"/>
      <c r="C23" s="529"/>
      <c r="D23" s="529"/>
      <c r="E23" s="529"/>
      <c r="F23" s="529"/>
      <c r="G23" s="529"/>
      <c r="H23" s="529"/>
      <c r="I23" s="529"/>
      <c r="J23" s="523"/>
      <c r="K23" s="523"/>
      <c r="L23" s="523"/>
      <c r="M23" s="523"/>
      <c r="N23" s="523"/>
      <c r="O23" s="523"/>
      <c r="P23" s="523"/>
      <c r="Q23" s="523"/>
      <c r="R23" s="523"/>
      <c r="S23" s="523"/>
      <c r="T23" s="523"/>
      <c r="U23" s="523"/>
      <c r="V23" s="523"/>
      <c r="W23" s="523"/>
      <c r="X23" s="523"/>
      <c r="Y23" s="523"/>
      <c r="Z23" s="523"/>
      <c r="AA23" s="523"/>
      <c r="AB23" s="523"/>
      <c r="AC23" s="523"/>
      <c r="AD23" s="523"/>
      <c r="AE23" s="523"/>
      <c r="AF23" s="523"/>
      <c r="AG23" s="523"/>
      <c r="AH23" s="523"/>
      <c r="AI23" s="523"/>
      <c r="AJ23" s="523"/>
      <c r="AK23" s="523"/>
      <c r="AL23" s="523"/>
      <c r="AM23" s="523"/>
      <c r="AN23" s="523"/>
      <c r="AO23" s="523"/>
      <c r="AP23" s="523"/>
      <c r="AQ23" s="523"/>
      <c r="AR23" s="523"/>
      <c r="AS23" s="523"/>
      <c r="AT23" s="523"/>
      <c r="AU23" s="523"/>
      <c r="AV23" s="523"/>
      <c r="AW23" s="523"/>
      <c r="AX23" s="523"/>
      <c r="AY23" s="523"/>
      <c r="AZ23" s="523"/>
      <c r="BA23" s="523"/>
      <c r="BB23" s="523"/>
      <c r="BC23" s="523"/>
      <c r="BD23" s="523"/>
      <c r="BE23" s="523"/>
      <c r="BF23" s="523"/>
      <c r="BG23" s="523"/>
      <c r="BH23" s="523"/>
      <c r="BI23" s="523"/>
      <c r="BJ23" s="523"/>
      <c r="BK23" s="523"/>
      <c r="BL23" s="523"/>
      <c r="BM23" s="523"/>
      <c r="BN23" s="523"/>
      <c r="BO23" s="523"/>
      <c r="BP23" s="523"/>
      <c r="BQ23" s="523"/>
      <c r="BR23" s="523"/>
      <c r="BS23" s="523"/>
      <c r="BT23" s="523"/>
      <c r="BU23" s="523"/>
      <c r="BV23" s="523"/>
      <c r="BW23" s="523"/>
      <c r="BX23" s="523"/>
      <c r="BY23" s="523"/>
      <c r="BZ23" s="523"/>
      <c r="CA23" s="523"/>
      <c r="CB23" s="523"/>
      <c r="CC23" s="523"/>
      <c r="CD23" s="523"/>
      <c r="CE23" s="523"/>
      <c r="CF23" s="523"/>
      <c r="CG23" s="523"/>
    </row>
    <row r="24" spans="1:85" ht="15" customHeight="1" x14ac:dyDescent="0.2">
      <c r="A24" s="514" t="s">
        <v>1</v>
      </c>
      <c r="B24" s="514"/>
      <c r="C24" s="514"/>
      <c r="D24" s="514"/>
      <c r="E24" s="514" t="s">
        <v>267</v>
      </c>
      <c r="F24" s="514"/>
      <c r="G24" s="514"/>
      <c r="H24" s="514"/>
      <c r="I24" s="514"/>
      <c r="J24" s="524"/>
      <c r="K24" s="525"/>
      <c r="L24" s="525"/>
      <c r="M24" s="525"/>
      <c r="N24" s="525"/>
      <c r="O24" s="525"/>
      <c r="P24" s="525"/>
      <c r="Q24" s="525"/>
      <c r="R24" s="525"/>
      <c r="S24" s="525"/>
      <c r="T24" s="525"/>
      <c r="U24" s="524"/>
      <c r="V24" s="525"/>
      <c r="W24" s="525"/>
      <c r="X24" s="525"/>
      <c r="Y24" s="525"/>
      <c r="Z24" s="525"/>
      <c r="AA24" s="525"/>
      <c r="AB24" s="525"/>
      <c r="AC24" s="525"/>
      <c r="AD24" s="525"/>
      <c r="AE24" s="526"/>
      <c r="AF24" s="524"/>
      <c r="AG24" s="525"/>
      <c r="AH24" s="525"/>
      <c r="AI24" s="525"/>
      <c r="AJ24" s="525"/>
      <c r="AK24" s="525"/>
      <c r="AL24" s="525"/>
      <c r="AM24" s="525"/>
      <c r="AN24" s="525"/>
      <c r="AO24" s="525"/>
      <c r="AP24" s="526"/>
      <c r="AQ24" s="524"/>
      <c r="AR24" s="525"/>
      <c r="AS24" s="525"/>
      <c r="AT24" s="525"/>
      <c r="AU24" s="525"/>
      <c r="AV24" s="525"/>
      <c r="AW24" s="525"/>
      <c r="AX24" s="525"/>
      <c r="AY24" s="525"/>
      <c r="AZ24" s="525"/>
      <c r="BA24" s="526"/>
      <c r="BB24" s="524"/>
      <c r="BC24" s="525"/>
      <c r="BD24" s="525"/>
      <c r="BE24" s="525"/>
      <c r="BF24" s="525"/>
      <c r="BG24" s="525"/>
      <c r="BH24" s="525"/>
      <c r="BI24" s="525"/>
      <c r="BJ24" s="525"/>
      <c r="BK24" s="525"/>
      <c r="BL24" s="526"/>
      <c r="BM24" s="524"/>
      <c r="BN24" s="525"/>
      <c r="BO24" s="525"/>
      <c r="BP24" s="525"/>
      <c r="BQ24" s="525"/>
      <c r="BR24" s="525"/>
      <c r="BS24" s="525"/>
      <c r="BT24" s="525"/>
      <c r="BU24" s="525"/>
      <c r="BV24" s="525"/>
      <c r="BW24" s="526"/>
      <c r="BX24" s="524"/>
      <c r="BY24" s="525"/>
      <c r="BZ24" s="525"/>
      <c r="CA24" s="525"/>
      <c r="CB24" s="525"/>
      <c r="CC24" s="525"/>
      <c r="CD24" s="525"/>
      <c r="CE24" s="525"/>
      <c r="CF24" s="525"/>
      <c r="CG24" s="526"/>
    </row>
    <row r="25" spans="1:85" ht="15" customHeight="1" x14ac:dyDescent="0.2">
      <c r="A25" s="514"/>
      <c r="B25" s="514"/>
      <c r="C25" s="514"/>
      <c r="D25" s="514"/>
      <c r="E25" s="514" t="s">
        <v>1</v>
      </c>
      <c r="F25" s="514"/>
      <c r="G25" s="514"/>
      <c r="H25" s="514"/>
      <c r="I25" s="514"/>
      <c r="J25" s="507"/>
      <c r="K25" s="508"/>
      <c r="L25" s="508"/>
      <c r="M25" s="508"/>
      <c r="N25" s="508"/>
      <c r="O25" s="508"/>
      <c r="P25" s="508"/>
      <c r="Q25" s="508"/>
      <c r="R25" s="508"/>
      <c r="S25" s="508"/>
      <c r="T25" s="509"/>
      <c r="U25" s="507"/>
      <c r="V25" s="508"/>
      <c r="W25" s="508"/>
      <c r="X25" s="508"/>
      <c r="Y25" s="508"/>
      <c r="Z25" s="508"/>
      <c r="AA25" s="508"/>
      <c r="AB25" s="508"/>
      <c r="AC25" s="508"/>
      <c r="AD25" s="508"/>
      <c r="AE25" s="509"/>
      <c r="AF25" s="507"/>
      <c r="AG25" s="508"/>
      <c r="AH25" s="508"/>
      <c r="AI25" s="508"/>
      <c r="AJ25" s="508"/>
      <c r="AK25" s="508"/>
      <c r="AL25" s="508"/>
      <c r="AM25" s="508"/>
      <c r="AN25" s="508"/>
      <c r="AO25" s="508"/>
      <c r="AP25" s="509"/>
      <c r="AQ25" s="507"/>
      <c r="AR25" s="508"/>
      <c r="AS25" s="508"/>
      <c r="AT25" s="508"/>
      <c r="AU25" s="508"/>
      <c r="AV25" s="508"/>
      <c r="AW25" s="508"/>
      <c r="AX25" s="508"/>
      <c r="AY25" s="508"/>
      <c r="AZ25" s="508"/>
      <c r="BA25" s="509"/>
      <c r="BB25" s="507"/>
      <c r="BC25" s="508"/>
      <c r="BD25" s="508"/>
      <c r="BE25" s="508"/>
      <c r="BF25" s="508"/>
      <c r="BG25" s="508"/>
      <c r="BH25" s="508"/>
      <c r="BI25" s="508"/>
      <c r="BJ25" s="508"/>
      <c r="BK25" s="508"/>
      <c r="BL25" s="509"/>
      <c r="BM25" s="507"/>
      <c r="BN25" s="508"/>
      <c r="BO25" s="508"/>
      <c r="BP25" s="508"/>
      <c r="BQ25" s="508"/>
      <c r="BR25" s="508"/>
      <c r="BS25" s="508"/>
      <c r="BT25" s="508"/>
      <c r="BU25" s="508"/>
      <c r="BV25" s="508"/>
      <c r="BW25" s="509"/>
      <c r="BX25" s="507"/>
      <c r="BY25" s="508"/>
      <c r="BZ25" s="508"/>
      <c r="CA25" s="508"/>
      <c r="CB25" s="508"/>
      <c r="CC25" s="508"/>
      <c r="CD25" s="508"/>
      <c r="CE25" s="508"/>
      <c r="CF25" s="508"/>
      <c r="CG25" s="509"/>
    </row>
    <row r="26" spans="1:85" ht="15" customHeight="1" x14ac:dyDescent="0.2">
      <c r="A26" s="530"/>
      <c r="B26" s="530"/>
      <c r="C26" s="530"/>
      <c r="D26" s="530"/>
      <c r="E26" s="530" t="s">
        <v>493</v>
      </c>
      <c r="F26" s="530"/>
      <c r="G26" s="530"/>
      <c r="H26" s="530"/>
      <c r="I26" s="530"/>
      <c r="J26" s="515"/>
      <c r="K26" s="515"/>
      <c r="L26" s="515"/>
      <c r="M26" s="515"/>
      <c r="N26" s="515"/>
      <c r="O26" s="515"/>
      <c r="P26" s="515"/>
      <c r="Q26" s="515"/>
      <c r="R26" s="515"/>
      <c r="S26" s="515"/>
      <c r="T26" s="515"/>
      <c r="U26" s="516"/>
      <c r="V26" s="517"/>
      <c r="W26" s="517"/>
      <c r="X26" s="517"/>
      <c r="Y26" s="517"/>
      <c r="Z26" s="517"/>
      <c r="AA26" s="517"/>
      <c r="AB26" s="517"/>
      <c r="AC26" s="517"/>
      <c r="AD26" s="517"/>
      <c r="AE26" s="518"/>
      <c r="AF26" s="516"/>
      <c r="AG26" s="517"/>
      <c r="AH26" s="517"/>
      <c r="AI26" s="517"/>
      <c r="AJ26" s="517"/>
      <c r="AK26" s="517"/>
      <c r="AL26" s="517"/>
      <c r="AM26" s="517"/>
      <c r="AN26" s="517"/>
      <c r="AO26" s="517"/>
      <c r="AP26" s="518"/>
      <c r="AQ26" s="516"/>
      <c r="AR26" s="517"/>
      <c r="AS26" s="517"/>
      <c r="AT26" s="517"/>
      <c r="AU26" s="517"/>
      <c r="AV26" s="517"/>
      <c r="AW26" s="517"/>
      <c r="AX26" s="517"/>
      <c r="AY26" s="517"/>
      <c r="AZ26" s="517"/>
      <c r="BA26" s="518"/>
      <c r="BB26" s="516"/>
      <c r="BC26" s="517"/>
      <c r="BD26" s="517"/>
      <c r="BE26" s="517"/>
      <c r="BF26" s="517"/>
      <c r="BG26" s="517"/>
      <c r="BH26" s="517"/>
      <c r="BI26" s="517"/>
      <c r="BJ26" s="517"/>
      <c r="BK26" s="517"/>
      <c r="BL26" s="518"/>
      <c r="BM26" s="516"/>
      <c r="BN26" s="517"/>
      <c r="BO26" s="517"/>
      <c r="BP26" s="517"/>
      <c r="BQ26" s="517"/>
      <c r="BR26" s="517"/>
      <c r="BS26" s="517"/>
      <c r="BT26" s="517"/>
      <c r="BU26" s="517"/>
      <c r="BV26" s="517"/>
      <c r="BW26" s="518"/>
      <c r="BX26" s="519"/>
      <c r="BY26" s="520"/>
      <c r="BZ26" s="520"/>
      <c r="CA26" s="520"/>
      <c r="CB26" s="520"/>
      <c r="CC26" s="520"/>
      <c r="CD26" s="520"/>
      <c r="CE26" s="520"/>
      <c r="CF26" s="520"/>
      <c r="CG26" s="521"/>
    </row>
    <row r="27" spans="1:85" ht="11.45" customHeight="1" x14ac:dyDescent="0.2">
      <c r="A27" s="522"/>
      <c r="B27" s="522"/>
      <c r="C27" s="522"/>
      <c r="D27" s="522"/>
      <c r="E27" s="522"/>
      <c r="F27" s="522"/>
      <c r="G27" s="522"/>
      <c r="H27" s="522"/>
      <c r="I27" s="522"/>
      <c r="J27" s="522"/>
      <c r="K27" s="522"/>
      <c r="L27" s="522"/>
      <c r="M27" s="522"/>
      <c r="N27" s="522"/>
      <c r="O27" s="522"/>
      <c r="P27" s="522"/>
      <c r="Q27" s="522"/>
      <c r="R27" s="522"/>
      <c r="S27" s="522"/>
      <c r="T27" s="522"/>
      <c r="U27" s="522"/>
      <c r="V27" s="522"/>
      <c r="W27" s="522"/>
      <c r="X27" s="522"/>
      <c r="Y27" s="522"/>
      <c r="Z27" s="522"/>
      <c r="AA27" s="522"/>
      <c r="AB27" s="522"/>
      <c r="AC27" s="522"/>
      <c r="AD27" s="522"/>
      <c r="AE27" s="522"/>
      <c r="AF27" s="522"/>
      <c r="AG27" s="522"/>
      <c r="AH27" s="522"/>
      <c r="AI27" s="522"/>
      <c r="AJ27" s="522"/>
      <c r="AK27" s="522"/>
      <c r="AL27" s="522"/>
      <c r="AM27" s="522"/>
      <c r="AN27" s="522"/>
      <c r="AO27" s="522"/>
      <c r="AP27" s="522"/>
      <c r="AQ27" s="522"/>
      <c r="AR27" s="522"/>
      <c r="AS27" s="522"/>
      <c r="AT27" s="522"/>
      <c r="AU27" s="522"/>
      <c r="AV27" s="522"/>
      <c r="AW27" s="522"/>
      <c r="AX27" s="522"/>
      <c r="AY27" s="522"/>
      <c r="AZ27" s="522"/>
      <c r="BA27" s="522"/>
      <c r="BB27" s="522"/>
      <c r="BC27" s="522"/>
      <c r="BD27" s="522"/>
      <c r="BE27" s="522"/>
      <c r="BF27" s="522"/>
      <c r="BG27" s="522"/>
      <c r="BH27" s="522"/>
      <c r="BI27" s="522"/>
      <c r="BJ27" s="522"/>
      <c r="BK27" s="522"/>
      <c r="BL27" s="522"/>
      <c r="BM27" s="522"/>
      <c r="BN27" s="522"/>
      <c r="BO27" s="522"/>
      <c r="BP27" s="522"/>
      <c r="BQ27" s="522"/>
      <c r="BR27" s="522"/>
      <c r="BS27" s="522"/>
      <c r="BT27" s="522"/>
      <c r="BU27" s="522"/>
      <c r="BV27" s="522"/>
      <c r="BW27" s="522"/>
      <c r="BX27" s="522"/>
      <c r="BY27" s="522"/>
      <c r="BZ27" s="522"/>
      <c r="CA27" s="522"/>
      <c r="CB27" s="522"/>
      <c r="CC27" s="522"/>
      <c r="CD27" s="522"/>
      <c r="CE27" s="522"/>
      <c r="CF27" s="522"/>
      <c r="CG27" s="522"/>
    </row>
    <row r="28" spans="1:85" ht="15" customHeight="1" x14ac:dyDescent="0.2">
      <c r="A28" s="523" t="s">
        <v>501</v>
      </c>
      <c r="B28" s="523"/>
      <c r="C28" s="523"/>
      <c r="D28" s="523"/>
      <c r="E28" s="514" t="s">
        <v>267</v>
      </c>
      <c r="F28" s="514"/>
      <c r="G28" s="514"/>
      <c r="H28" s="514"/>
      <c r="I28" s="514"/>
      <c r="J28" s="524"/>
      <c r="K28" s="525"/>
      <c r="L28" s="525"/>
      <c r="M28" s="525"/>
      <c r="N28" s="525"/>
      <c r="O28" s="525"/>
      <c r="P28" s="525"/>
      <c r="Q28" s="525"/>
      <c r="R28" s="525"/>
      <c r="S28" s="525"/>
      <c r="T28" s="525"/>
      <c r="U28" s="524"/>
      <c r="V28" s="525"/>
      <c r="W28" s="525"/>
      <c r="X28" s="525"/>
      <c r="Y28" s="525"/>
      <c r="Z28" s="525"/>
      <c r="AA28" s="525"/>
      <c r="AB28" s="525"/>
      <c r="AC28" s="525"/>
      <c r="AD28" s="525"/>
      <c r="AE28" s="526"/>
      <c r="AF28" s="524"/>
      <c r="AG28" s="525"/>
      <c r="AH28" s="525"/>
      <c r="AI28" s="525"/>
      <c r="AJ28" s="525"/>
      <c r="AK28" s="525"/>
      <c r="AL28" s="525"/>
      <c r="AM28" s="525"/>
      <c r="AN28" s="525"/>
      <c r="AO28" s="525"/>
      <c r="AP28" s="526"/>
      <c r="AQ28" s="524"/>
      <c r="AR28" s="525"/>
      <c r="AS28" s="525"/>
      <c r="AT28" s="525"/>
      <c r="AU28" s="525"/>
      <c r="AV28" s="525"/>
      <c r="AW28" s="525"/>
      <c r="AX28" s="525"/>
      <c r="AY28" s="525"/>
      <c r="AZ28" s="525"/>
      <c r="BA28" s="526"/>
      <c r="BB28" s="524"/>
      <c r="BC28" s="525"/>
      <c r="BD28" s="525"/>
      <c r="BE28" s="525"/>
      <c r="BF28" s="525"/>
      <c r="BG28" s="525"/>
      <c r="BH28" s="525"/>
      <c r="BI28" s="525"/>
      <c r="BJ28" s="525"/>
      <c r="BK28" s="525"/>
      <c r="BL28" s="526"/>
      <c r="BM28" s="524"/>
      <c r="BN28" s="525"/>
      <c r="BO28" s="525"/>
      <c r="BP28" s="525"/>
      <c r="BQ28" s="525"/>
      <c r="BR28" s="525"/>
      <c r="BS28" s="525"/>
      <c r="BT28" s="525"/>
      <c r="BU28" s="525"/>
      <c r="BV28" s="525"/>
      <c r="BW28" s="526"/>
      <c r="BX28" s="524"/>
      <c r="BY28" s="525"/>
      <c r="BZ28" s="525"/>
      <c r="CA28" s="525"/>
      <c r="CB28" s="525"/>
      <c r="CC28" s="525"/>
      <c r="CD28" s="525"/>
      <c r="CE28" s="525"/>
      <c r="CF28" s="525"/>
      <c r="CG28" s="526"/>
    </row>
    <row r="29" spans="1:85" ht="15" customHeight="1" x14ac:dyDescent="0.2">
      <c r="A29" s="523"/>
      <c r="B29" s="523"/>
      <c r="C29" s="523"/>
      <c r="D29" s="523"/>
      <c r="E29" s="514" t="s">
        <v>1</v>
      </c>
      <c r="F29" s="514"/>
      <c r="G29" s="514"/>
      <c r="H29" s="514"/>
      <c r="I29" s="514"/>
      <c r="J29" s="507"/>
      <c r="K29" s="508"/>
      <c r="L29" s="508"/>
      <c r="M29" s="508"/>
      <c r="N29" s="508"/>
      <c r="O29" s="508"/>
      <c r="P29" s="508"/>
      <c r="Q29" s="508"/>
      <c r="R29" s="508"/>
      <c r="S29" s="508"/>
      <c r="T29" s="509"/>
      <c r="U29" s="507"/>
      <c r="V29" s="508"/>
      <c r="W29" s="508"/>
      <c r="X29" s="508"/>
      <c r="Y29" s="508"/>
      <c r="Z29" s="508"/>
      <c r="AA29" s="508"/>
      <c r="AB29" s="508"/>
      <c r="AC29" s="508"/>
      <c r="AD29" s="508"/>
      <c r="AE29" s="509"/>
      <c r="AF29" s="507"/>
      <c r="AG29" s="508"/>
      <c r="AH29" s="508"/>
      <c r="AI29" s="508"/>
      <c r="AJ29" s="508"/>
      <c r="AK29" s="508"/>
      <c r="AL29" s="508"/>
      <c r="AM29" s="508"/>
      <c r="AN29" s="508"/>
      <c r="AO29" s="508"/>
      <c r="AP29" s="509"/>
      <c r="AQ29" s="507"/>
      <c r="AR29" s="508"/>
      <c r="AS29" s="508"/>
      <c r="AT29" s="508"/>
      <c r="AU29" s="508"/>
      <c r="AV29" s="508"/>
      <c r="AW29" s="508"/>
      <c r="AX29" s="508"/>
      <c r="AY29" s="508"/>
      <c r="AZ29" s="508"/>
      <c r="BA29" s="509"/>
      <c r="BB29" s="507"/>
      <c r="BC29" s="508"/>
      <c r="BD29" s="508"/>
      <c r="BE29" s="508"/>
      <c r="BF29" s="508"/>
      <c r="BG29" s="508"/>
      <c r="BH29" s="508"/>
      <c r="BI29" s="508"/>
      <c r="BJ29" s="508"/>
      <c r="BK29" s="508"/>
      <c r="BL29" s="509"/>
      <c r="BM29" s="507"/>
      <c r="BN29" s="508"/>
      <c r="BO29" s="508"/>
      <c r="BP29" s="508"/>
      <c r="BQ29" s="508"/>
      <c r="BR29" s="508"/>
      <c r="BS29" s="508"/>
      <c r="BT29" s="508"/>
      <c r="BU29" s="508"/>
      <c r="BV29" s="508"/>
      <c r="BW29" s="509"/>
      <c r="BX29" s="507"/>
      <c r="BY29" s="508"/>
      <c r="BZ29" s="508"/>
      <c r="CA29" s="508"/>
      <c r="CB29" s="508"/>
      <c r="CC29" s="508"/>
      <c r="CD29" s="508"/>
      <c r="CE29" s="508"/>
      <c r="CF29" s="508"/>
      <c r="CG29" s="509"/>
    </row>
    <row r="30" spans="1:85" ht="15" customHeight="1" x14ac:dyDescent="0.2">
      <c r="A30" s="523"/>
      <c r="B30" s="523"/>
      <c r="C30" s="523"/>
      <c r="D30" s="523"/>
      <c r="E30" s="514" t="s">
        <v>493</v>
      </c>
      <c r="F30" s="514"/>
      <c r="G30" s="514"/>
      <c r="H30" s="514"/>
      <c r="I30" s="514"/>
      <c r="J30" s="515"/>
      <c r="K30" s="515"/>
      <c r="L30" s="515"/>
      <c r="M30" s="515"/>
      <c r="N30" s="515"/>
      <c r="O30" s="515"/>
      <c r="P30" s="515"/>
      <c r="Q30" s="515"/>
      <c r="R30" s="515"/>
      <c r="S30" s="515"/>
      <c r="T30" s="515"/>
      <c r="U30" s="516"/>
      <c r="V30" s="517"/>
      <c r="W30" s="517"/>
      <c r="X30" s="517"/>
      <c r="Y30" s="517"/>
      <c r="Z30" s="517"/>
      <c r="AA30" s="517"/>
      <c r="AB30" s="517"/>
      <c r="AC30" s="517"/>
      <c r="AD30" s="517"/>
      <c r="AE30" s="518"/>
      <c r="AF30" s="516"/>
      <c r="AG30" s="517"/>
      <c r="AH30" s="517"/>
      <c r="AI30" s="517"/>
      <c r="AJ30" s="517"/>
      <c r="AK30" s="517"/>
      <c r="AL30" s="517"/>
      <c r="AM30" s="517"/>
      <c r="AN30" s="517"/>
      <c r="AO30" s="517"/>
      <c r="AP30" s="518"/>
      <c r="AQ30" s="516"/>
      <c r="AR30" s="517"/>
      <c r="AS30" s="517"/>
      <c r="AT30" s="517"/>
      <c r="AU30" s="517"/>
      <c r="AV30" s="517"/>
      <c r="AW30" s="517"/>
      <c r="AX30" s="517"/>
      <c r="AY30" s="517"/>
      <c r="AZ30" s="517"/>
      <c r="BA30" s="518"/>
      <c r="BB30" s="516"/>
      <c r="BC30" s="517"/>
      <c r="BD30" s="517"/>
      <c r="BE30" s="517"/>
      <c r="BF30" s="517"/>
      <c r="BG30" s="517"/>
      <c r="BH30" s="517"/>
      <c r="BI30" s="517"/>
      <c r="BJ30" s="517"/>
      <c r="BK30" s="517"/>
      <c r="BL30" s="518"/>
      <c r="BM30" s="516"/>
      <c r="BN30" s="517"/>
      <c r="BO30" s="517"/>
      <c r="BP30" s="517"/>
      <c r="BQ30" s="517"/>
      <c r="BR30" s="517"/>
      <c r="BS30" s="517"/>
      <c r="BT30" s="517"/>
      <c r="BU30" s="517"/>
      <c r="BV30" s="517"/>
      <c r="BW30" s="518"/>
      <c r="BX30" s="519"/>
      <c r="BY30" s="520"/>
      <c r="BZ30" s="520"/>
      <c r="CA30" s="520"/>
      <c r="CB30" s="520"/>
      <c r="CC30" s="520"/>
      <c r="CD30" s="520"/>
      <c r="CE30" s="520"/>
      <c r="CF30" s="520"/>
      <c r="CG30" s="521"/>
    </row>
    <row r="31" spans="1:85" ht="11.45" customHeight="1" x14ac:dyDescent="0.2">
      <c r="A31" s="510"/>
      <c r="B31" s="510"/>
      <c r="C31" s="510"/>
      <c r="D31" s="510"/>
      <c r="E31" s="510"/>
      <c r="F31" s="510"/>
      <c r="G31" s="510"/>
      <c r="H31" s="510"/>
      <c r="I31" s="510"/>
      <c r="J31" s="510"/>
      <c r="K31" s="510"/>
      <c r="L31" s="510"/>
      <c r="M31" s="510"/>
      <c r="N31" s="510"/>
      <c r="O31" s="510"/>
      <c r="P31" s="510"/>
      <c r="Q31" s="510"/>
      <c r="R31" s="510"/>
      <c r="S31" s="510"/>
      <c r="T31" s="510"/>
      <c r="U31" s="510"/>
      <c r="V31" s="510"/>
      <c r="W31" s="510"/>
      <c r="X31" s="510"/>
      <c r="Y31" s="510"/>
      <c r="Z31" s="510"/>
      <c r="AA31" s="510"/>
      <c r="AB31" s="510"/>
      <c r="AC31" s="510"/>
      <c r="AD31" s="510"/>
      <c r="AE31" s="510"/>
      <c r="AF31" s="510"/>
      <c r="AG31" s="510"/>
      <c r="AH31" s="510"/>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G31" s="510"/>
      <c r="BH31" s="510"/>
      <c r="BI31" s="510"/>
      <c r="BJ31" s="510"/>
      <c r="BK31" s="510"/>
      <c r="BL31" s="510"/>
      <c r="BM31" s="510"/>
      <c r="BN31" s="510"/>
      <c r="BO31" s="510"/>
      <c r="BP31" s="510"/>
      <c r="BQ31" s="510"/>
      <c r="BR31" s="510"/>
      <c r="BS31" s="510"/>
      <c r="BT31" s="510"/>
      <c r="BU31" s="510"/>
      <c r="BV31" s="510"/>
      <c r="BW31" s="510"/>
      <c r="BX31" s="510"/>
      <c r="BY31" s="510"/>
      <c r="BZ31" s="510"/>
      <c r="CA31" s="510"/>
      <c r="CB31" s="510"/>
      <c r="CC31" s="510"/>
      <c r="CD31" s="510"/>
      <c r="CE31" s="510"/>
      <c r="CF31" s="510"/>
      <c r="CG31" s="510"/>
    </row>
    <row r="32" spans="1:85" ht="11.45" customHeight="1" thickBot="1" x14ac:dyDescent="0.25">
      <c r="A32" s="511"/>
      <c r="B32" s="511"/>
      <c r="C32" s="511"/>
      <c r="D32" s="511"/>
      <c r="E32" s="511"/>
      <c r="F32" s="511"/>
      <c r="G32" s="511"/>
      <c r="H32" s="511"/>
      <c r="I32" s="511"/>
      <c r="J32" s="511"/>
      <c r="K32" s="511"/>
      <c r="L32" s="511"/>
      <c r="M32" s="511"/>
      <c r="N32" s="511"/>
      <c r="O32" s="511"/>
      <c r="P32" s="511"/>
      <c r="Q32" s="511"/>
      <c r="R32" s="511"/>
      <c r="S32" s="511"/>
      <c r="T32" s="511"/>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1"/>
      <c r="AR32" s="511"/>
      <c r="AS32" s="511"/>
      <c r="AT32" s="511"/>
      <c r="AU32" s="511"/>
      <c r="AV32" s="511"/>
      <c r="AW32" s="511"/>
      <c r="AX32" s="511"/>
      <c r="AY32" s="511"/>
      <c r="AZ32" s="511"/>
      <c r="BA32" s="511"/>
      <c r="BB32" s="511"/>
      <c r="BC32" s="511"/>
      <c r="BD32" s="511"/>
      <c r="BE32" s="511"/>
      <c r="BF32" s="511"/>
      <c r="BG32" s="511"/>
      <c r="BH32" s="511"/>
      <c r="BI32" s="511"/>
      <c r="BJ32" s="511"/>
      <c r="BK32" s="511"/>
      <c r="BL32" s="511"/>
      <c r="BM32" s="511"/>
      <c r="BN32" s="511"/>
      <c r="BO32" s="511"/>
      <c r="BP32" s="511"/>
      <c r="BQ32" s="511"/>
      <c r="BR32" s="511"/>
      <c r="BS32" s="511"/>
      <c r="BT32" s="511"/>
      <c r="BU32" s="511"/>
      <c r="BV32" s="511"/>
      <c r="BW32" s="511"/>
      <c r="BX32" s="511"/>
      <c r="BY32" s="511"/>
      <c r="BZ32" s="511"/>
      <c r="CA32" s="511"/>
      <c r="CB32" s="511"/>
      <c r="CC32" s="511"/>
      <c r="CD32" s="511"/>
      <c r="CE32" s="511"/>
      <c r="CF32" s="511"/>
      <c r="CG32" s="511"/>
    </row>
    <row r="33" spans="1:85" ht="11.45" customHeight="1" x14ac:dyDescent="0.2">
      <c r="A33" s="512" t="s">
        <v>502</v>
      </c>
      <c r="B33" s="512"/>
      <c r="C33" s="512"/>
      <c r="D33" s="512"/>
      <c r="E33" s="512"/>
      <c r="F33" s="512"/>
      <c r="G33" s="512"/>
      <c r="H33" s="512"/>
      <c r="I33" s="512"/>
      <c r="J33" s="512"/>
      <c r="K33" s="512"/>
      <c r="L33" s="512"/>
      <c r="M33" s="512"/>
      <c r="N33" s="512"/>
      <c r="O33" s="512"/>
      <c r="P33" s="512"/>
      <c r="Q33" s="512"/>
      <c r="R33" s="512"/>
      <c r="S33" s="512"/>
      <c r="T33" s="512"/>
      <c r="U33" s="512"/>
      <c r="V33" s="512"/>
      <c r="W33" s="512"/>
      <c r="X33" s="512"/>
      <c r="Y33" s="512"/>
      <c r="Z33" s="512"/>
      <c r="AA33" s="512"/>
      <c r="AB33" s="512"/>
      <c r="AC33" s="512"/>
      <c r="AD33" s="512"/>
      <c r="AE33" s="512"/>
      <c r="AF33" s="512"/>
      <c r="AG33" s="512"/>
      <c r="AH33" s="512"/>
      <c r="AI33" s="512"/>
      <c r="AJ33" s="512"/>
      <c r="AK33" s="512"/>
      <c r="AL33" s="512"/>
      <c r="AM33" s="512"/>
      <c r="AN33" s="512"/>
      <c r="AO33" s="512"/>
      <c r="AP33" s="512"/>
      <c r="AQ33" s="512"/>
      <c r="AR33" s="512"/>
      <c r="AS33" s="512"/>
      <c r="AT33" s="512"/>
      <c r="AU33" s="512"/>
      <c r="AV33" s="512"/>
      <c r="AW33" s="512"/>
      <c r="AX33" s="512"/>
      <c r="AY33" s="512"/>
      <c r="AZ33" s="512"/>
      <c r="BA33" s="512"/>
      <c r="BB33" s="512"/>
      <c r="BC33" s="512"/>
      <c r="BD33" s="512"/>
      <c r="BE33" s="512"/>
      <c r="BF33" s="512"/>
      <c r="BG33" s="512"/>
      <c r="BH33" s="512"/>
      <c r="BI33" s="512"/>
      <c r="BJ33" s="512"/>
      <c r="BK33" s="512"/>
      <c r="BL33" s="512"/>
      <c r="BM33" s="512"/>
      <c r="BN33" s="512"/>
      <c r="BO33" s="512"/>
      <c r="BP33" s="512"/>
      <c r="BQ33" s="512"/>
      <c r="BR33" s="512"/>
      <c r="BS33" s="512"/>
      <c r="BT33" s="512"/>
      <c r="BU33" s="512"/>
      <c r="BV33" s="512"/>
      <c r="BW33" s="512"/>
      <c r="BX33" s="512"/>
      <c r="BY33" s="512"/>
      <c r="BZ33" s="512"/>
      <c r="CA33" s="512"/>
      <c r="CB33" s="512"/>
      <c r="CC33" s="512"/>
      <c r="CD33" s="512"/>
      <c r="CE33" s="512"/>
      <c r="CF33" s="512"/>
      <c r="CG33" s="512"/>
    </row>
    <row r="34" spans="1:85" ht="11.45" customHeight="1" x14ac:dyDescent="0.2">
      <c r="A34" s="513"/>
      <c r="B34" s="513"/>
      <c r="C34" s="513"/>
      <c r="D34" s="513"/>
      <c r="E34" s="513"/>
      <c r="F34" s="513"/>
      <c r="G34" s="513"/>
      <c r="H34" s="513"/>
      <c r="I34" s="513"/>
      <c r="J34" s="513"/>
      <c r="K34" s="513"/>
      <c r="L34" s="513"/>
      <c r="M34" s="513"/>
      <c r="N34" s="513"/>
      <c r="O34" s="513"/>
      <c r="P34" s="513"/>
      <c r="Q34" s="513"/>
      <c r="R34" s="513"/>
      <c r="S34" s="513"/>
      <c r="T34" s="513"/>
      <c r="U34" s="513"/>
      <c r="V34" s="513"/>
      <c r="W34" s="513"/>
      <c r="X34" s="513"/>
      <c r="Y34" s="513"/>
      <c r="Z34" s="513"/>
      <c r="AA34" s="513"/>
      <c r="AB34" s="513"/>
      <c r="AC34" s="513"/>
      <c r="AD34" s="513"/>
      <c r="AE34" s="513"/>
      <c r="AF34" s="513"/>
      <c r="AG34" s="513"/>
      <c r="AH34" s="513"/>
      <c r="AI34" s="513"/>
      <c r="AJ34" s="513"/>
      <c r="AK34" s="513"/>
      <c r="AL34" s="513"/>
      <c r="AM34" s="513"/>
      <c r="AN34" s="513"/>
      <c r="AO34" s="513"/>
      <c r="AP34" s="513"/>
      <c r="AQ34" s="513"/>
      <c r="AR34" s="513"/>
      <c r="AS34" s="513"/>
      <c r="AT34" s="513"/>
      <c r="AU34" s="513"/>
      <c r="AV34" s="513"/>
      <c r="AW34" s="513"/>
      <c r="AX34" s="513"/>
      <c r="AY34" s="513"/>
      <c r="AZ34" s="513"/>
      <c r="BA34" s="513"/>
      <c r="BB34" s="513"/>
      <c r="BC34" s="513"/>
      <c r="BD34" s="513"/>
      <c r="BE34" s="513"/>
      <c r="BF34" s="513"/>
      <c r="BG34" s="513"/>
      <c r="BH34" s="513"/>
      <c r="BI34" s="513"/>
      <c r="BJ34" s="513"/>
      <c r="BK34" s="513"/>
      <c r="BL34" s="513"/>
      <c r="BM34" s="513"/>
      <c r="BN34" s="513"/>
      <c r="BO34" s="513"/>
      <c r="BP34" s="513"/>
      <c r="BQ34" s="513"/>
      <c r="BR34" s="513"/>
      <c r="BS34" s="513"/>
      <c r="BT34" s="513"/>
      <c r="BU34" s="513"/>
      <c r="BV34" s="513"/>
      <c r="BW34" s="513"/>
      <c r="BX34" s="513"/>
      <c r="BY34" s="513"/>
      <c r="BZ34" s="513"/>
      <c r="CA34" s="513"/>
      <c r="CB34" s="513"/>
      <c r="CC34" s="513"/>
      <c r="CD34" s="513"/>
      <c r="CE34" s="513"/>
      <c r="CF34" s="513"/>
      <c r="CG34" s="513"/>
    </row>
    <row r="35" spans="1:85" ht="11.45" customHeight="1" x14ac:dyDescent="0.2">
      <c r="A35" s="513"/>
      <c r="B35" s="513"/>
      <c r="C35" s="513"/>
      <c r="D35" s="513"/>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3"/>
      <c r="AE35" s="513"/>
      <c r="AF35" s="513"/>
      <c r="AG35" s="513"/>
      <c r="AH35" s="513"/>
      <c r="AI35" s="513"/>
      <c r="AJ35" s="513"/>
      <c r="AK35" s="513"/>
      <c r="AL35" s="513"/>
      <c r="AM35" s="513"/>
      <c r="AN35" s="513"/>
      <c r="AO35" s="513"/>
      <c r="AP35" s="513"/>
      <c r="AQ35" s="513"/>
      <c r="AR35" s="513"/>
      <c r="AS35" s="513"/>
      <c r="AT35" s="513"/>
      <c r="AU35" s="513"/>
      <c r="AV35" s="513"/>
      <c r="AW35" s="513"/>
      <c r="AX35" s="513"/>
      <c r="AY35" s="513"/>
      <c r="AZ35" s="513"/>
      <c r="BA35" s="513"/>
      <c r="BB35" s="513"/>
      <c r="BC35" s="513"/>
      <c r="BD35" s="513"/>
      <c r="BE35" s="513"/>
      <c r="BF35" s="513"/>
      <c r="BG35" s="513"/>
      <c r="BH35" s="513"/>
      <c r="BI35" s="513"/>
      <c r="BJ35" s="513"/>
      <c r="BK35" s="513"/>
      <c r="BL35" s="513"/>
      <c r="BM35" s="513"/>
      <c r="BN35" s="513"/>
      <c r="BO35" s="513"/>
      <c r="BP35" s="513"/>
      <c r="BQ35" s="513"/>
      <c r="BR35" s="513"/>
      <c r="BS35" s="513"/>
      <c r="BT35" s="513"/>
      <c r="BU35" s="513"/>
      <c r="BV35" s="513"/>
      <c r="BW35" s="513"/>
      <c r="BX35" s="513"/>
      <c r="BY35" s="513"/>
      <c r="BZ35" s="513"/>
      <c r="CA35" s="513"/>
      <c r="CB35" s="513"/>
      <c r="CC35" s="513"/>
      <c r="CD35" s="513"/>
      <c r="CE35" s="513"/>
      <c r="CF35" s="513"/>
      <c r="CG35" s="513"/>
    </row>
    <row r="36" spans="1:85" ht="11.45" customHeight="1" x14ac:dyDescent="0.2">
      <c r="A36" s="513"/>
      <c r="B36" s="513"/>
      <c r="C36" s="513"/>
      <c r="D36" s="513"/>
      <c r="E36" s="513"/>
      <c r="F36" s="513"/>
      <c r="G36" s="513"/>
      <c r="H36" s="513"/>
      <c r="I36" s="513"/>
      <c r="J36" s="513"/>
      <c r="K36" s="513"/>
      <c r="L36" s="513"/>
      <c r="M36" s="513"/>
      <c r="N36" s="513"/>
      <c r="O36" s="513"/>
      <c r="P36" s="513"/>
      <c r="Q36" s="513"/>
      <c r="R36" s="513"/>
      <c r="S36" s="513"/>
      <c r="T36" s="513"/>
      <c r="U36" s="513"/>
      <c r="V36" s="513"/>
      <c r="W36" s="513"/>
      <c r="X36" s="513"/>
      <c r="Y36" s="513"/>
      <c r="Z36" s="513"/>
      <c r="AA36" s="513"/>
      <c r="AB36" s="513"/>
      <c r="AC36" s="513"/>
      <c r="AD36" s="513"/>
      <c r="AE36" s="513"/>
      <c r="AF36" s="513"/>
      <c r="AG36" s="513"/>
      <c r="AH36" s="513"/>
      <c r="AI36" s="513"/>
      <c r="AJ36" s="513"/>
      <c r="AK36" s="513"/>
      <c r="AL36" s="513"/>
      <c r="AM36" s="513"/>
      <c r="AN36" s="513"/>
      <c r="AO36" s="513"/>
      <c r="AP36" s="513"/>
      <c r="AQ36" s="513"/>
      <c r="AR36" s="513"/>
      <c r="AS36" s="513"/>
      <c r="AT36" s="513"/>
      <c r="AU36" s="513"/>
      <c r="AV36" s="513"/>
      <c r="AW36" s="513"/>
      <c r="AX36" s="513"/>
      <c r="AY36" s="513"/>
      <c r="AZ36" s="513"/>
      <c r="BA36" s="513"/>
      <c r="BB36" s="513"/>
      <c r="BC36" s="513"/>
      <c r="BD36" s="513"/>
      <c r="BE36" s="513"/>
      <c r="BF36" s="513"/>
      <c r="BG36" s="513"/>
      <c r="BH36" s="513"/>
      <c r="BI36" s="513"/>
      <c r="BJ36" s="513"/>
      <c r="BK36" s="513"/>
      <c r="BL36" s="513"/>
      <c r="BM36" s="513"/>
      <c r="BN36" s="513"/>
      <c r="BO36" s="513"/>
      <c r="BP36" s="513"/>
      <c r="BQ36" s="513"/>
      <c r="BR36" s="513"/>
      <c r="BS36" s="513"/>
      <c r="BT36" s="513"/>
      <c r="BU36" s="513"/>
      <c r="BV36" s="513"/>
      <c r="BW36" s="513"/>
      <c r="BX36" s="513"/>
      <c r="BY36" s="513"/>
      <c r="BZ36" s="513"/>
      <c r="CA36" s="513"/>
      <c r="CB36" s="513"/>
      <c r="CC36" s="513"/>
      <c r="CD36" s="513"/>
      <c r="CE36" s="513"/>
      <c r="CF36" s="513"/>
      <c r="CG36" s="513"/>
    </row>
    <row r="37" spans="1:85" ht="11.45" customHeight="1" x14ac:dyDescent="0.2">
      <c r="A37" s="513"/>
      <c r="B37" s="513"/>
      <c r="C37" s="513"/>
      <c r="D37" s="513"/>
      <c r="E37" s="513"/>
      <c r="F37" s="513"/>
      <c r="G37" s="513"/>
      <c r="H37" s="513"/>
      <c r="I37" s="513"/>
      <c r="J37" s="513"/>
      <c r="K37" s="513"/>
      <c r="L37" s="513"/>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3"/>
      <c r="AK37" s="513"/>
      <c r="AL37" s="513"/>
      <c r="AM37" s="513"/>
      <c r="AN37" s="513"/>
      <c r="AO37" s="513"/>
      <c r="AP37" s="513"/>
      <c r="AQ37" s="513"/>
      <c r="AR37" s="513"/>
      <c r="AS37" s="513"/>
      <c r="AT37" s="513"/>
      <c r="AU37" s="513"/>
      <c r="AV37" s="513"/>
      <c r="AW37" s="513"/>
      <c r="AX37" s="513"/>
      <c r="AY37" s="513"/>
      <c r="AZ37" s="513"/>
      <c r="BA37" s="513"/>
      <c r="BB37" s="513"/>
      <c r="BC37" s="513"/>
      <c r="BD37" s="513"/>
      <c r="BE37" s="513"/>
      <c r="BF37" s="513"/>
      <c r="BG37" s="513"/>
      <c r="BH37" s="513"/>
      <c r="BI37" s="513"/>
      <c r="BJ37" s="513"/>
      <c r="BK37" s="513"/>
      <c r="BL37" s="513"/>
      <c r="BM37" s="513"/>
      <c r="BN37" s="513"/>
      <c r="BO37" s="513"/>
      <c r="BP37" s="513"/>
      <c r="BQ37" s="513"/>
      <c r="BR37" s="513"/>
      <c r="BS37" s="513"/>
      <c r="BT37" s="513"/>
      <c r="BU37" s="513"/>
      <c r="BV37" s="513"/>
      <c r="BW37" s="513"/>
      <c r="BX37" s="513"/>
      <c r="BY37" s="513"/>
      <c r="BZ37" s="513"/>
      <c r="CA37" s="513"/>
      <c r="CB37" s="513"/>
      <c r="CC37" s="513"/>
      <c r="CD37" s="513"/>
      <c r="CE37" s="513"/>
      <c r="CF37" s="513"/>
      <c r="CG37" s="513"/>
    </row>
    <row r="38" spans="1:85" s="133" customFormat="1" ht="11.45" customHeight="1" x14ac:dyDescent="0.2">
      <c r="A38" s="504"/>
      <c r="B38" s="504"/>
      <c r="C38" s="505" t="str">
        <f>IF('Data Entry'!N29="","",'Data Entry'!N29)&amp;IF(OR('Data Entry'!N29="",'Data Entry'!N30=""),""," / Licence No")&amp; IF('Data Entry'!N30="","",'Data Entry'!N30)</f>
        <v>MEHMET EROĞLU</v>
      </c>
      <c r="D38" s="505"/>
      <c r="E38" s="505"/>
      <c r="F38" s="505"/>
      <c r="G38" s="505"/>
      <c r="H38" s="505"/>
      <c r="I38" s="505"/>
      <c r="J38" s="505"/>
      <c r="K38" s="505"/>
      <c r="L38" s="505"/>
      <c r="M38" s="505"/>
      <c r="N38" s="505"/>
      <c r="O38" s="505"/>
      <c r="P38" s="505"/>
      <c r="Q38" s="504"/>
      <c r="R38" s="504"/>
      <c r="S38" s="504"/>
      <c r="T38" s="504"/>
      <c r="U38" s="504"/>
      <c r="V38" s="504"/>
      <c r="W38" s="504"/>
      <c r="X38" s="504"/>
      <c r="Y38" s="504"/>
      <c r="Z38" s="504"/>
      <c r="AA38" s="504"/>
      <c r="AB38" s="504"/>
      <c r="AC38" s="504"/>
      <c r="AD38" s="504"/>
      <c r="AE38" s="504"/>
      <c r="AF38" s="504"/>
      <c r="AG38" s="504"/>
      <c r="AH38" s="504"/>
      <c r="AI38" s="504"/>
      <c r="AJ38" s="504"/>
      <c r="AK38" s="505" t="str">
        <f>IF('Data Entry'!N18="","",'Data Entry'!N18)</f>
        <v/>
      </c>
      <c r="AL38" s="505"/>
      <c r="AM38" s="505"/>
      <c r="AN38" s="505"/>
      <c r="AO38" s="505"/>
      <c r="AP38" s="505"/>
      <c r="AQ38" s="505"/>
      <c r="AR38" s="505"/>
      <c r="AS38" s="505"/>
      <c r="AT38" s="505"/>
      <c r="AU38" s="505"/>
      <c r="AV38" s="505"/>
      <c r="AW38" s="505"/>
      <c r="AX38" s="505"/>
      <c r="AY38" s="504"/>
      <c r="AZ38" s="504"/>
      <c r="BA38" s="504"/>
      <c r="BB38" s="504"/>
      <c r="BC38" s="504"/>
      <c r="BD38" s="504"/>
      <c r="BE38" s="504"/>
      <c r="BF38" s="504"/>
      <c r="BG38" s="504"/>
      <c r="BH38" s="504"/>
      <c r="BI38" s="504"/>
      <c r="BJ38" s="504"/>
      <c r="BK38" s="504"/>
      <c r="BL38" s="504"/>
      <c r="BM38" s="504"/>
      <c r="BN38" s="504"/>
      <c r="BO38" s="504"/>
      <c r="BP38" s="504"/>
      <c r="BQ38" s="504"/>
      <c r="BR38" s="505" t="str">
        <f>IF('Data Entry'!N9="","",'Data Entry'!N9)</f>
        <v/>
      </c>
      <c r="BS38" s="505"/>
      <c r="BT38" s="505"/>
      <c r="BU38" s="505"/>
      <c r="BV38" s="505"/>
      <c r="BW38" s="505"/>
      <c r="BX38" s="505"/>
      <c r="BY38" s="505"/>
      <c r="BZ38" s="505"/>
      <c r="CA38" s="505"/>
      <c r="CB38" s="505"/>
      <c r="CC38" s="505"/>
      <c r="CD38" s="505"/>
      <c r="CE38" s="505"/>
      <c r="CF38" s="499"/>
      <c r="CG38" s="499"/>
    </row>
    <row r="39" spans="1:85" s="133" customFormat="1" ht="11.45" customHeight="1" x14ac:dyDescent="0.2">
      <c r="A39" s="504"/>
      <c r="B39" s="504"/>
      <c r="C39" s="505"/>
      <c r="D39" s="505"/>
      <c r="E39" s="505"/>
      <c r="F39" s="505"/>
      <c r="G39" s="505"/>
      <c r="H39" s="505"/>
      <c r="I39" s="505"/>
      <c r="J39" s="505"/>
      <c r="K39" s="505"/>
      <c r="L39" s="505"/>
      <c r="M39" s="505"/>
      <c r="N39" s="505"/>
      <c r="O39" s="505"/>
      <c r="P39" s="505"/>
      <c r="Q39" s="504"/>
      <c r="R39" s="504"/>
      <c r="S39" s="504"/>
      <c r="T39" s="504"/>
      <c r="U39" s="504"/>
      <c r="V39" s="504"/>
      <c r="W39" s="504"/>
      <c r="X39" s="504"/>
      <c r="Y39" s="504"/>
      <c r="Z39" s="504"/>
      <c r="AA39" s="504"/>
      <c r="AB39" s="504"/>
      <c r="AC39" s="504"/>
      <c r="AD39" s="504"/>
      <c r="AE39" s="504"/>
      <c r="AF39" s="504"/>
      <c r="AG39" s="504"/>
      <c r="AH39" s="504"/>
      <c r="AI39" s="504"/>
      <c r="AJ39" s="504"/>
      <c r="AK39" s="505"/>
      <c r="AL39" s="505"/>
      <c r="AM39" s="505"/>
      <c r="AN39" s="505"/>
      <c r="AO39" s="505"/>
      <c r="AP39" s="505"/>
      <c r="AQ39" s="505"/>
      <c r="AR39" s="505"/>
      <c r="AS39" s="505"/>
      <c r="AT39" s="505"/>
      <c r="AU39" s="505"/>
      <c r="AV39" s="505"/>
      <c r="AW39" s="505"/>
      <c r="AX39" s="505"/>
      <c r="AY39" s="504"/>
      <c r="AZ39" s="504"/>
      <c r="BA39" s="504"/>
      <c r="BB39" s="504"/>
      <c r="BC39" s="504"/>
      <c r="BD39" s="504"/>
      <c r="BE39" s="504"/>
      <c r="BF39" s="504"/>
      <c r="BG39" s="504"/>
      <c r="BH39" s="504"/>
      <c r="BI39" s="504"/>
      <c r="BJ39" s="504"/>
      <c r="BK39" s="504"/>
      <c r="BL39" s="504"/>
      <c r="BM39" s="504"/>
      <c r="BN39" s="504"/>
      <c r="BO39" s="504"/>
      <c r="BP39" s="504"/>
      <c r="BQ39" s="504"/>
      <c r="BR39" s="505"/>
      <c r="BS39" s="505"/>
      <c r="BT39" s="505"/>
      <c r="BU39" s="505"/>
      <c r="BV39" s="505"/>
      <c r="BW39" s="505"/>
      <c r="BX39" s="505"/>
      <c r="BY39" s="505"/>
      <c r="BZ39" s="505"/>
      <c r="CA39" s="505"/>
      <c r="CB39" s="505"/>
      <c r="CC39" s="505"/>
      <c r="CD39" s="505"/>
      <c r="CE39" s="505"/>
      <c r="CF39" s="499"/>
      <c r="CG39" s="499"/>
    </row>
    <row r="40" spans="1:85" s="133" customFormat="1" ht="11.45" customHeight="1" x14ac:dyDescent="0.2">
      <c r="A40" s="504"/>
      <c r="B40" s="504"/>
      <c r="C40" s="506"/>
      <c r="D40" s="506"/>
      <c r="E40" s="506"/>
      <c r="F40" s="506"/>
      <c r="G40" s="506"/>
      <c r="H40" s="506"/>
      <c r="I40" s="506"/>
      <c r="J40" s="506"/>
      <c r="K40" s="506"/>
      <c r="L40" s="506"/>
      <c r="M40" s="506"/>
      <c r="N40" s="506"/>
      <c r="O40" s="506"/>
      <c r="P40" s="506"/>
      <c r="Q40" s="504"/>
      <c r="R40" s="504"/>
      <c r="S40" s="504"/>
      <c r="T40" s="504"/>
      <c r="U40" s="504"/>
      <c r="V40" s="504"/>
      <c r="W40" s="504"/>
      <c r="X40" s="504"/>
      <c r="Y40" s="504"/>
      <c r="Z40" s="504"/>
      <c r="AA40" s="504"/>
      <c r="AB40" s="504"/>
      <c r="AC40" s="504"/>
      <c r="AD40" s="504"/>
      <c r="AE40" s="504"/>
      <c r="AF40" s="504"/>
      <c r="AG40" s="504"/>
      <c r="AH40" s="504"/>
      <c r="AI40" s="504"/>
      <c r="AJ40" s="504"/>
      <c r="AK40" s="506"/>
      <c r="AL40" s="506"/>
      <c r="AM40" s="506"/>
      <c r="AN40" s="506"/>
      <c r="AO40" s="506"/>
      <c r="AP40" s="506"/>
      <c r="AQ40" s="506"/>
      <c r="AR40" s="506"/>
      <c r="AS40" s="506"/>
      <c r="AT40" s="506"/>
      <c r="AU40" s="506"/>
      <c r="AV40" s="506"/>
      <c r="AW40" s="506"/>
      <c r="AX40" s="506"/>
      <c r="AY40" s="504"/>
      <c r="AZ40" s="504"/>
      <c r="BA40" s="504"/>
      <c r="BB40" s="504"/>
      <c r="BC40" s="504"/>
      <c r="BD40" s="504"/>
      <c r="BE40" s="504"/>
      <c r="BF40" s="504"/>
      <c r="BG40" s="504"/>
      <c r="BH40" s="504"/>
      <c r="BI40" s="504"/>
      <c r="BJ40" s="504"/>
      <c r="BK40" s="504"/>
      <c r="BL40" s="504"/>
      <c r="BM40" s="504"/>
      <c r="BN40" s="504"/>
      <c r="BO40" s="504"/>
      <c r="BP40" s="504"/>
      <c r="BQ40" s="504"/>
      <c r="BR40" s="506"/>
      <c r="BS40" s="506"/>
      <c r="BT40" s="506"/>
      <c r="BU40" s="506"/>
      <c r="BV40" s="506"/>
      <c r="BW40" s="506"/>
      <c r="BX40" s="506"/>
      <c r="BY40" s="506"/>
      <c r="BZ40" s="506"/>
      <c r="CA40" s="506"/>
      <c r="CB40" s="506"/>
      <c r="CC40" s="506"/>
      <c r="CD40" s="506"/>
      <c r="CE40" s="506"/>
      <c r="CF40" s="499"/>
      <c r="CG40" s="499"/>
    </row>
    <row r="41" spans="1:85" s="133" customFormat="1" ht="11.45" customHeight="1" x14ac:dyDescent="0.2">
      <c r="A41" s="504"/>
      <c r="B41" s="504"/>
      <c r="C41" s="500" t="s">
        <v>184</v>
      </c>
      <c r="D41" s="500"/>
      <c r="E41" s="500"/>
      <c r="F41" s="500"/>
      <c r="G41" s="500"/>
      <c r="H41" s="500"/>
      <c r="I41" s="500"/>
      <c r="J41" s="500"/>
      <c r="K41" s="500"/>
      <c r="L41" s="500"/>
      <c r="M41" s="500"/>
      <c r="N41" s="500"/>
      <c r="O41" s="500"/>
      <c r="P41" s="500"/>
      <c r="Q41" s="504"/>
      <c r="R41" s="504"/>
      <c r="S41" s="504"/>
      <c r="T41" s="504"/>
      <c r="U41" s="504"/>
      <c r="V41" s="504"/>
      <c r="W41" s="504"/>
      <c r="X41" s="504"/>
      <c r="Y41" s="504"/>
      <c r="Z41" s="504"/>
      <c r="AA41" s="504"/>
      <c r="AB41" s="504"/>
      <c r="AC41" s="504"/>
      <c r="AD41" s="504"/>
      <c r="AE41" s="504"/>
      <c r="AF41" s="504"/>
      <c r="AG41" s="504"/>
      <c r="AH41" s="504"/>
      <c r="AI41" s="504"/>
      <c r="AJ41" s="504"/>
      <c r="AK41" s="501" t="s">
        <v>51</v>
      </c>
      <c r="AL41" s="501"/>
      <c r="AM41" s="501"/>
      <c r="AN41" s="501"/>
      <c r="AO41" s="501"/>
      <c r="AP41" s="501"/>
      <c r="AQ41" s="501"/>
      <c r="AR41" s="501"/>
      <c r="AS41" s="501"/>
      <c r="AT41" s="501"/>
      <c r="AU41" s="501"/>
      <c r="AV41" s="501"/>
      <c r="AW41" s="501"/>
      <c r="AX41" s="501"/>
      <c r="AY41" s="504"/>
      <c r="AZ41" s="504"/>
      <c r="BA41" s="504"/>
      <c r="BB41" s="504"/>
      <c r="BC41" s="504"/>
      <c r="BD41" s="504"/>
      <c r="BE41" s="504"/>
      <c r="BF41" s="504"/>
      <c r="BG41" s="504"/>
      <c r="BH41" s="504"/>
      <c r="BI41" s="504"/>
      <c r="BJ41" s="504"/>
      <c r="BK41" s="504"/>
      <c r="BL41" s="504"/>
      <c r="BM41" s="504"/>
      <c r="BN41" s="504"/>
      <c r="BO41" s="504"/>
      <c r="BP41" s="504"/>
      <c r="BQ41" s="504"/>
      <c r="BR41" s="501" t="s">
        <v>17</v>
      </c>
      <c r="BS41" s="501"/>
      <c r="BT41" s="501"/>
      <c r="BU41" s="501"/>
      <c r="BV41" s="501"/>
      <c r="BW41" s="501"/>
      <c r="BX41" s="501"/>
      <c r="BY41" s="501"/>
      <c r="BZ41" s="501"/>
      <c r="CA41" s="501"/>
      <c r="CB41" s="501"/>
      <c r="CC41" s="501"/>
      <c r="CD41" s="501"/>
      <c r="CE41" s="501"/>
      <c r="CF41" s="499"/>
      <c r="CG41" s="499"/>
    </row>
    <row r="42" spans="1:85" s="133" customFormat="1" ht="11.45" customHeight="1" x14ac:dyDescent="0.2">
      <c r="A42" s="502" t="s">
        <v>504</v>
      </c>
      <c r="B42" s="502"/>
      <c r="C42" s="502"/>
      <c r="D42" s="502"/>
      <c r="E42" s="502"/>
      <c r="F42" s="502"/>
      <c r="G42" s="502"/>
      <c r="H42" s="502"/>
      <c r="I42" s="502"/>
      <c r="J42" s="502"/>
      <c r="K42" s="502"/>
      <c r="L42" s="502"/>
      <c r="M42" s="502"/>
      <c r="N42" s="502"/>
      <c r="O42" s="502"/>
      <c r="P42" s="502"/>
      <c r="Q42" s="502"/>
      <c r="R42" s="502"/>
      <c r="S42" s="502"/>
      <c r="T42" s="502"/>
      <c r="U42" s="502"/>
      <c r="V42" s="502"/>
      <c r="W42" s="502"/>
      <c r="X42" s="502"/>
      <c r="Y42" s="502"/>
      <c r="Z42" s="502"/>
      <c r="AA42" s="502"/>
      <c r="AB42" s="502"/>
      <c r="AC42" s="502"/>
      <c r="AD42" s="502"/>
      <c r="AE42" s="502"/>
      <c r="AF42" s="502"/>
      <c r="AG42" s="502"/>
      <c r="AH42" s="502"/>
      <c r="AI42" s="502"/>
      <c r="AJ42" s="502"/>
      <c r="AK42" s="502"/>
      <c r="AL42" s="502"/>
      <c r="AM42" s="502"/>
      <c r="AN42" s="502"/>
      <c r="AO42" s="503" t="str">
        <f>'Data Entry'!AK9</f>
        <v>LTS-CUS-F-01 rev 2.0</v>
      </c>
      <c r="AP42" s="503"/>
      <c r="AQ42" s="503"/>
      <c r="AR42" s="503"/>
      <c r="AS42" s="503"/>
      <c r="AT42" s="503"/>
      <c r="AU42" s="503"/>
      <c r="AV42" s="503"/>
      <c r="AW42" s="503"/>
      <c r="AX42" s="503"/>
      <c r="AY42" s="503"/>
      <c r="AZ42" s="503"/>
      <c r="BA42" s="503"/>
      <c r="BB42" s="503"/>
      <c r="BC42" s="503"/>
      <c r="BD42" s="503"/>
      <c r="BE42" s="503"/>
      <c r="BF42" s="503"/>
      <c r="BG42" s="503"/>
      <c r="BH42" s="503"/>
      <c r="BI42" s="503"/>
      <c r="BJ42" s="503"/>
      <c r="BK42" s="503"/>
      <c r="BL42" s="503"/>
      <c r="BM42" s="503"/>
      <c r="BN42" s="503"/>
      <c r="BO42" s="503"/>
      <c r="BP42" s="503"/>
      <c r="BQ42" s="503"/>
      <c r="BR42" s="503"/>
      <c r="BS42" s="503"/>
      <c r="BT42" s="503"/>
      <c r="BU42" s="503"/>
      <c r="BV42" s="503"/>
      <c r="BW42" s="503"/>
      <c r="BX42" s="503"/>
      <c r="BY42" s="503"/>
      <c r="BZ42" s="503"/>
      <c r="CA42" s="503"/>
      <c r="CB42" s="503"/>
      <c r="CC42" s="503"/>
      <c r="CD42" s="503"/>
      <c r="CE42" s="503"/>
      <c r="CF42" s="503"/>
      <c r="CG42" s="503"/>
    </row>
  </sheetData>
  <mergeCells count="132">
    <mergeCell ref="A1:BK1"/>
    <mergeCell ref="BL1:BP1"/>
    <mergeCell ref="BR1:CG1"/>
    <mergeCell ref="A2:BK2"/>
    <mergeCell ref="BL2:BP2"/>
    <mergeCell ref="BR2:CG2"/>
    <mergeCell ref="CF4:CG5"/>
    <mergeCell ref="A5:G5"/>
    <mergeCell ref="I5:AH5"/>
    <mergeCell ref="AM5:AS5"/>
    <mergeCell ref="AU5:CE5"/>
    <mergeCell ref="A6:CG7"/>
    <mergeCell ref="A3:BQ3"/>
    <mergeCell ref="BR3:CG3"/>
    <mergeCell ref="A4:G4"/>
    <mergeCell ref="I4:AH4"/>
    <mergeCell ref="AI4:AL5"/>
    <mergeCell ref="AM4:AO4"/>
    <mergeCell ref="AQ4:BH4"/>
    <mergeCell ref="BI4:BJ4"/>
    <mergeCell ref="BK4:BM4"/>
    <mergeCell ref="BO4:CE4"/>
    <mergeCell ref="A8:CG8"/>
    <mergeCell ref="A9:CG10"/>
    <mergeCell ref="A11:I12"/>
    <mergeCell ref="J11:S12"/>
    <mergeCell ref="T11:AC12"/>
    <mergeCell ref="AD11:AM12"/>
    <mergeCell ref="AN11:AW12"/>
    <mergeCell ref="AX11:BX11"/>
    <mergeCell ref="BY11:CG12"/>
    <mergeCell ref="AX12:BF12"/>
    <mergeCell ref="BG12:BO12"/>
    <mergeCell ref="BP12:BX12"/>
    <mergeCell ref="A13:I14"/>
    <mergeCell ref="J13:S14"/>
    <mergeCell ref="T13:AC14"/>
    <mergeCell ref="AD13:AM14"/>
    <mergeCell ref="AN13:AW14"/>
    <mergeCell ref="AX13:BF14"/>
    <mergeCell ref="BG13:BO14"/>
    <mergeCell ref="BP13:BX14"/>
    <mergeCell ref="BY13:CG14"/>
    <mergeCell ref="A15:I16"/>
    <mergeCell ref="J15:S16"/>
    <mergeCell ref="T15:AC16"/>
    <mergeCell ref="AD15:AM16"/>
    <mergeCell ref="AN15:AW16"/>
    <mergeCell ref="AX15:BF16"/>
    <mergeCell ref="BG15:BO16"/>
    <mergeCell ref="BP15:BX16"/>
    <mergeCell ref="BY15:CG16"/>
    <mergeCell ref="A24:D26"/>
    <mergeCell ref="E24:I24"/>
    <mergeCell ref="J24:T24"/>
    <mergeCell ref="U24:AE24"/>
    <mergeCell ref="AF24:AP24"/>
    <mergeCell ref="AQ24:BA24"/>
    <mergeCell ref="BB24:BL24"/>
    <mergeCell ref="BM24:BW24"/>
    <mergeCell ref="BX24:CG24"/>
    <mergeCell ref="BM25:BW25"/>
    <mergeCell ref="BX25:CG25"/>
    <mergeCell ref="E26:I26"/>
    <mergeCell ref="J26:T26"/>
    <mergeCell ref="U26:AE26"/>
    <mergeCell ref="AF26:AP26"/>
    <mergeCell ref="AQ26:BA26"/>
    <mergeCell ref="BB26:BL26"/>
    <mergeCell ref="BM26:BW26"/>
    <mergeCell ref="BX26:CG26"/>
    <mergeCell ref="E25:I25"/>
    <mergeCell ref="J25:T25"/>
    <mergeCell ref="U25:AE25"/>
    <mergeCell ref="AF25:AP25"/>
    <mergeCell ref="AQ25:BA25"/>
    <mergeCell ref="A17:CG18"/>
    <mergeCell ref="A19:CG19"/>
    <mergeCell ref="A20:CG21"/>
    <mergeCell ref="A22:I23"/>
    <mergeCell ref="J22:T23"/>
    <mergeCell ref="U22:AE23"/>
    <mergeCell ref="AF22:AP23"/>
    <mergeCell ref="AQ22:BA23"/>
    <mergeCell ref="BB22:BL23"/>
    <mergeCell ref="BM22:BW23"/>
    <mergeCell ref="BX22:CG23"/>
    <mergeCell ref="A28:D30"/>
    <mergeCell ref="E28:I28"/>
    <mergeCell ref="J28:T28"/>
    <mergeCell ref="U28:AE28"/>
    <mergeCell ref="AF28:AP28"/>
    <mergeCell ref="AQ28:BA28"/>
    <mergeCell ref="BB28:BL28"/>
    <mergeCell ref="BM28:BW28"/>
    <mergeCell ref="BX28:CG28"/>
    <mergeCell ref="BB25:BL25"/>
    <mergeCell ref="A31:CG32"/>
    <mergeCell ref="A33:CG33"/>
    <mergeCell ref="A34:CG34"/>
    <mergeCell ref="A35:CG35"/>
    <mergeCell ref="A36:CG36"/>
    <mergeCell ref="A37:CG37"/>
    <mergeCell ref="BM29:BW29"/>
    <mergeCell ref="BX29:CG29"/>
    <mergeCell ref="E30:I30"/>
    <mergeCell ref="J30:T30"/>
    <mergeCell ref="U30:AE30"/>
    <mergeCell ref="AF30:AP30"/>
    <mergeCell ref="AQ30:BA30"/>
    <mergeCell ref="BB30:BL30"/>
    <mergeCell ref="BM30:BW30"/>
    <mergeCell ref="BX30:CG30"/>
    <mergeCell ref="E29:I29"/>
    <mergeCell ref="J29:T29"/>
    <mergeCell ref="U29:AE29"/>
    <mergeCell ref="AF29:AP29"/>
    <mergeCell ref="AQ29:BA29"/>
    <mergeCell ref="BB29:BL29"/>
    <mergeCell ref="A27:CG27"/>
    <mergeCell ref="CF38:CG41"/>
    <mergeCell ref="C41:P41"/>
    <mergeCell ref="AK41:AX41"/>
    <mergeCell ref="BR41:CE41"/>
    <mergeCell ref="A42:AN42"/>
    <mergeCell ref="AO42:CG42"/>
    <mergeCell ref="A38:B41"/>
    <mergeCell ref="C38:P40"/>
    <mergeCell ref="Q38:AJ41"/>
    <mergeCell ref="AK38:AX40"/>
    <mergeCell ref="AY38:BQ41"/>
    <mergeCell ref="BR38:CE40"/>
  </mergeCells>
  <conditionalFormatting sqref="BR1:CG2 AQ4 AU5 BO4 I4:AH5 C38 AK38 BR38">
    <cfRule type="containsBlanks" dxfId="52" priority="3" stopIfTrue="1">
      <formula>LEN(TRIM(C1))=0</formula>
    </cfRule>
  </conditionalFormatting>
  <conditionalFormatting sqref="J13:CG16 J24:BM26 BX24:CG26">
    <cfRule type="containsBlanks" dxfId="51" priority="2">
      <formula>LEN(TRIM(J13))=0</formula>
    </cfRule>
  </conditionalFormatting>
  <conditionalFormatting sqref="J28:BM30 BX28:CG30">
    <cfRule type="containsBlanks" dxfId="50" priority="1">
      <formula>LEN(TRIM(J28))=0</formula>
    </cfRule>
  </conditionalFormatting>
  <dataValidations count="19">
    <dataValidation allowBlank="1" showInputMessage="1" showErrorMessage="1" prompt="Please enter the tank numbers that the barge has used for delivery" sqref="J15:S15" xr:uid="{7040002B-B275-45F3-A52D-44E198FBA73C}"/>
    <dataValidation allowBlank="1" showInputMessage="1" showErrorMessage="1" prompt="Please enter the tank numbers that the vessel has received fuel in" sqref="J13:S13" xr:uid="{10197C71-E311-4D5C-9C08-11A31F334F5C}"/>
    <dataValidation allowBlank="1" showInputMessage="1" showErrorMessage="1" prompt="Please advise what kind of sampling device is on used on board the barge e.g. manual drip sampler, automatic sampler" sqref="T15:AC16" xr:uid="{C6CCDC1E-9E72-4B1C-A35A-803F6DE0F2E1}"/>
    <dataValidation allowBlank="1" showInputMessage="1" showErrorMessage="1" prompt="Please advise what kind of sampling device is on used on board the vessel_x000a_e.g. manual drip sampler, automatic sampler" sqref="T13:AC14" xr:uid="{10107E89-3E42-47BF-8BB0-286F1C0BF691}"/>
    <dataValidation allowBlank="1" showInputMessage="1" showErrorMessage="1" prompt="Please advise how the sample was drawn on board the barge_x000a_e.g. continuous drip, spot" sqref="AD15:AM16" xr:uid="{2709EE49-69ED-4FD8-BA6B-10BEA6285EC8}"/>
    <dataValidation allowBlank="1" showInputMessage="1" showErrorMessage="1" prompt="Please advise how the sample was drawn on board the vessel_x000a_e.g. continuous drip, spot" sqref="AD13:AM14" xr:uid="{95ECCA05-4FD8-4A84-A4EE-2E6B7F3D9F12}"/>
    <dataValidation allowBlank="1" showInputMessage="1" showErrorMessage="1" prompt="Please advise at which point the sampling was carried out on board the barge_x000a_e.g. barge manifold" sqref="AN15:AW16" xr:uid="{9209D0C2-D75F-48CC-AEE2-2AA32A8B0BCF}"/>
    <dataValidation allowBlank="1" showInputMessage="1" showErrorMessage="1" prompt="Please advise at which point the sampling was carried out on board the vessel_x000a_e.g. vessel manifold" sqref="AN13:AW14" xr:uid="{68B11C69-6E73-4100-8F28-FA79285ADDE8}"/>
    <dataValidation allowBlank="1" showInputMessage="1" showErrorMessage="1" prompt="Please advise the seal number of that was used to seal the vessel manifold before the bunkering occured_x000a__x000a_If not applicable please state &quot;N/A&quot;" sqref="AX13:BF14" xr:uid="{7AAB7635-9A16-46AB-9124-5C7868396DF5}"/>
    <dataValidation allowBlank="1" showInputMessage="1" showErrorMessage="1" prompt="Please advise the seal number of that was used to seal the vessel manifold during the bunkering_x000a__x000a_If not applicable please state &quot;N/A&quot;" sqref="BG13:BO14" xr:uid="{285C34CF-7244-45D0-A107-9382372295F9}"/>
    <dataValidation allowBlank="1" showInputMessage="1" showErrorMessage="1" prompt="Please seal the vessel manifold  after the completion of the bunkering and record the seal number here_x000a__x000a_If not applicable please state &quot;N/A&quot;" sqref="BP13:BX14" xr:uid="{2D233F1A-C753-4443-A370-8A05A05C9275}"/>
    <dataValidation allowBlank="1" showInputMessage="1" showErrorMessage="1" prompt="Please advise the overall quantity of sample drawn by the barge" sqref="BY15:CG16" xr:uid="{808C2BEA-5C59-4EAB-9633-DD6B4DCAE4AF}"/>
    <dataValidation allowBlank="1" showInputMessage="1" showErrorMessage="1" prompt="Please advise the overall quantity of sample drawn by the vessel_x000a_" sqref="BY13:CG14" xr:uid="{3EF3759A-0EC7-4DBD-B9D2-CA553AC4170F}"/>
    <dataValidation allowBlank="1" showInputMessage="1" showErrorMessage="1" prompt="Please advise the seal number of that was used to seal the barge manifold during the bunkering_x000a__x000a_If not applicable please state &quot;N/A&quot;" sqref="BG15:BO16" xr:uid="{8095F82A-784C-466B-A497-53752BD5AB4E}"/>
    <dataValidation allowBlank="1" showInputMessage="1" showErrorMessage="1" prompt="Please advise the seal number of that was used to seal the barge manifold before the bunkering occured_x000a__x000a_If not applicable please state &quot;N/A&quot;" sqref="AX15:BF16" xr:uid="{CE171F0F-7F96-464A-8FD1-D880A15F9FBA}"/>
    <dataValidation allowBlank="1" showInputMessage="1" showErrorMessage="1" prompt="Please advise the seal number of that was used to seal the barge manifold after the bunkering occured _x000a__x000a_If not applicable please state &quot;N/A&quot;" sqref="BP15:BX16" xr:uid="{EFD7C6D9-1076-4356-97B7-8CDB5825F50D}"/>
    <dataValidation allowBlank="1" showInputMessage="1" showErrorMessage="1" prompt="Please advise the Intertek/surveyor seal used to seal this sample" sqref="J24:BM24 BX24:CG24 J28:BM28 BX28:CG28" xr:uid="{6550D14E-83F1-4DA5-9A23-042868AF5EBB}"/>
    <dataValidation allowBlank="1" showInputMessage="1" showErrorMessage="1" prompt="Please advised the barge/supplier seal used to seal this sample" sqref="J26:BM26 BX26:CG26 J30:BM30 BX30:CG30" xr:uid="{E56E2D14-C84C-4F29-B74D-D56C064A428F}"/>
    <dataValidation allowBlank="1" showInputMessage="1" showErrorMessage="1" prompt="Please advise the vessel seal used to seal this sample" sqref="J25:BM25 BX25:CG25 J29:BM29 BX29:CG29" xr:uid="{4311A815-19B9-4D94-AA17-9D91E99273D6}"/>
  </dataValidations>
  <pageMargins left="0.7" right="0.7" top="0.75" bottom="0.75" header="0.3" footer="0.3"/>
  <pageSetup paperSize="9" scale="91" orientation="landscape" r:id="rId1"/>
  <headerFooter>
    <oddFooter>&amp;C&amp;06 &amp;P &amp; of &amp;N</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1600E-E60C-4BEA-89D9-1556D75236AD}">
  <sheetPr codeName="Sheet35">
    <tabColor rgb="FF92D050"/>
  </sheetPr>
  <dimension ref="A1:BJ61"/>
  <sheetViews>
    <sheetView zoomScaleNormal="100" workbookViewId="0">
      <selection activeCell="BC32" sqref="BC32"/>
    </sheetView>
  </sheetViews>
  <sheetFormatPr defaultColWidth="9" defaultRowHeight="12" customHeight="1" x14ac:dyDescent="0.2"/>
  <cols>
    <col min="1" max="36" width="1" style="142" customWidth="1"/>
    <col min="37" max="54" width="3.7109375" style="142" customWidth="1"/>
    <col min="55" max="16384" width="9" style="142"/>
  </cols>
  <sheetData>
    <row r="1" spans="1:62" ht="12"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5" t="s">
        <v>280</v>
      </c>
      <c r="AS1" s="155"/>
      <c r="AT1" s="141" t="s">
        <v>0</v>
      </c>
      <c r="AU1" s="155" t="str">
        <f>IF('Data Entry'!N28="","",'Data Entry'!N28)</f>
        <v/>
      </c>
      <c r="AV1" s="155"/>
      <c r="AW1" s="155"/>
      <c r="AX1" s="155"/>
      <c r="AY1" s="155"/>
      <c r="AZ1" s="155"/>
      <c r="BA1" s="155"/>
      <c r="BB1" s="155"/>
    </row>
    <row r="2" spans="1:62" ht="12"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5" t="s">
        <v>281</v>
      </c>
      <c r="AS2" s="155"/>
      <c r="AT2" s="141" t="s">
        <v>0</v>
      </c>
      <c r="AU2" s="155" t="str">
        <f>IF('Data Entry'!N39="","",'Data Entry'!N39)</f>
        <v>SC17124</v>
      </c>
      <c r="AV2" s="155"/>
      <c r="AW2" s="155"/>
      <c r="AX2" s="155"/>
      <c r="AY2" s="155"/>
      <c r="AZ2" s="155"/>
      <c r="BA2" s="155"/>
      <c r="BB2" s="155"/>
    </row>
    <row r="3" spans="1:62" ht="12"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t="str">
        <f>'Bunker Certificate 1'!Y4</f>
        <v/>
      </c>
      <c r="AS3" s="154"/>
      <c r="AT3" s="154"/>
      <c r="AU3" s="154"/>
      <c r="AV3" s="154"/>
      <c r="AW3" s="154"/>
      <c r="AX3" s="154"/>
      <c r="AY3" s="154"/>
      <c r="AZ3" s="154"/>
      <c r="BA3" s="154"/>
      <c r="BB3" s="154"/>
    </row>
    <row r="4" spans="1:62" ht="12" customHeight="1" x14ac:dyDescent="0.2">
      <c r="A4" s="164" t="s">
        <v>30</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row>
    <row r="5" spans="1:62" ht="12" customHeight="1" x14ac:dyDescent="0.2">
      <c r="A5" s="164"/>
      <c r="B5" s="164"/>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row>
    <row r="6" spans="1:62" ht="12" customHeight="1" x14ac:dyDescent="0.2">
      <c r="A6" s="155" t="s">
        <v>1</v>
      </c>
      <c r="B6" s="155"/>
      <c r="C6" s="155"/>
      <c r="D6" s="155"/>
      <c r="E6" s="155"/>
      <c r="F6" s="155"/>
      <c r="G6" s="155"/>
      <c r="H6" s="155"/>
      <c r="I6" s="155"/>
      <c r="J6" s="155"/>
      <c r="K6" s="155"/>
      <c r="L6" s="155"/>
      <c r="M6" s="155" t="s">
        <v>0</v>
      </c>
      <c r="N6" s="155"/>
      <c r="O6" s="155" t="str">
        <f>IF('Data Entry'!N6="","",'Data Entry'!N6)</f>
        <v/>
      </c>
      <c r="P6" s="155"/>
      <c r="Q6" s="155"/>
      <c r="R6" s="155"/>
      <c r="S6" s="155"/>
      <c r="T6" s="155"/>
      <c r="U6" s="155"/>
      <c r="V6" s="155"/>
      <c r="W6" s="155"/>
      <c r="X6" s="155"/>
      <c r="Y6" s="155"/>
      <c r="Z6" s="155"/>
      <c r="AA6" s="155"/>
      <c r="AB6" s="155"/>
      <c r="AC6" s="155"/>
      <c r="AD6" s="155"/>
      <c r="AE6" s="155"/>
      <c r="AF6" s="155"/>
      <c r="AG6" s="155"/>
      <c r="AH6" s="155"/>
      <c r="AI6" s="155"/>
      <c r="AJ6" s="155"/>
      <c r="AK6" s="155"/>
      <c r="AL6" s="155"/>
      <c r="AM6" s="155"/>
      <c r="AN6" s="155"/>
      <c r="AO6" s="155"/>
      <c r="AP6" s="155"/>
      <c r="AQ6" s="155"/>
      <c r="AR6" s="155" t="s">
        <v>197</v>
      </c>
      <c r="AS6" s="155"/>
      <c r="AT6" s="141" t="s">
        <v>0</v>
      </c>
      <c r="AU6" s="155" t="str">
        <f>IF('Data Entry'!N14="","",'Data Entry'!N14)</f>
        <v/>
      </c>
      <c r="AV6" s="155"/>
      <c r="AW6" s="155"/>
      <c r="AX6" s="155"/>
      <c r="AY6" s="155"/>
      <c r="AZ6" s="155"/>
      <c r="BA6" s="155"/>
      <c r="BB6" s="155"/>
    </row>
    <row r="7" spans="1:62" ht="12" customHeight="1" x14ac:dyDescent="0.2">
      <c r="A7" s="155" t="s">
        <v>124</v>
      </c>
      <c r="B7" s="155"/>
      <c r="C7" s="155"/>
      <c r="D7" s="155"/>
      <c r="E7" s="155"/>
      <c r="F7" s="155"/>
      <c r="G7" s="155"/>
      <c r="H7" s="155"/>
      <c r="I7" s="155"/>
      <c r="J7" s="155"/>
      <c r="K7" s="155"/>
      <c r="L7" s="155"/>
      <c r="M7" s="155" t="s">
        <v>0</v>
      </c>
      <c r="N7" s="155"/>
      <c r="O7" s="155" t="str">
        <f>IF('Data Entry'!N26="","",'Data Entry'!N26)&amp;IF(OR('Data Entry'!N26="",'Data Entry'!N27=""),"","/")&amp; IF('Data Entry'!N27="","",'Data Entry'!N27)</f>
        <v>ANCHORAGE AREA/İSTANBUL</v>
      </c>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t="s">
        <v>52</v>
      </c>
      <c r="AS7" s="155"/>
      <c r="AT7" s="141" t="s">
        <v>0</v>
      </c>
      <c r="AU7" s="155" t="str">
        <f>IF('Data Entry'!N12="","",'Data Entry'!N12)</f>
        <v/>
      </c>
      <c r="AV7" s="155"/>
      <c r="AW7" s="155"/>
      <c r="AX7" s="155"/>
      <c r="AY7" s="155"/>
      <c r="AZ7" s="155"/>
      <c r="BA7" s="155"/>
      <c r="BB7" s="155"/>
    </row>
    <row r="8" spans="1:62" ht="12" customHeight="1" thickBot="1" x14ac:dyDescent="0.25">
      <c r="A8" s="381"/>
      <c r="B8" s="381"/>
      <c r="C8" s="381"/>
      <c r="D8" s="381"/>
      <c r="E8" s="381"/>
      <c r="F8" s="381"/>
      <c r="G8" s="381"/>
      <c r="H8" s="381"/>
      <c r="I8" s="381"/>
      <c r="J8" s="381"/>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381"/>
      <c r="BB8" s="381"/>
    </row>
    <row r="9" spans="1:62" ht="12" customHeight="1" x14ac:dyDescent="0.2">
      <c r="A9" s="219" t="s">
        <v>480</v>
      </c>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c r="AW9" s="219"/>
      <c r="AX9" s="219"/>
      <c r="AY9" s="219"/>
      <c r="AZ9" s="219"/>
      <c r="BA9" s="219"/>
      <c r="BB9" s="219"/>
    </row>
    <row r="10" spans="1:62" ht="2.1" customHeight="1" x14ac:dyDescent="0.2">
      <c r="A10" s="155"/>
      <c r="B10" s="155"/>
      <c r="C10" s="155"/>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row>
    <row r="11" spans="1:62" ht="12" customHeight="1" x14ac:dyDescent="0.2">
      <c r="A11" s="445" t="s">
        <v>2</v>
      </c>
      <c r="B11" s="445"/>
      <c r="C11" s="445"/>
      <c r="D11" s="445"/>
      <c r="E11" s="445"/>
      <c r="F11" s="445"/>
      <c r="G11" s="445"/>
      <c r="H11" s="445"/>
      <c r="I11" s="445"/>
      <c r="J11" s="445"/>
      <c r="K11" s="445"/>
      <c r="L11" s="445"/>
      <c r="M11" s="445"/>
      <c r="N11" s="445"/>
      <c r="O11" s="445"/>
      <c r="P11" s="445"/>
      <c r="Q11" s="445"/>
      <c r="R11" s="445"/>
      <c r="S11" s="445" t="s">
        <v>32</v>
      </c>
      <c r="T11" s="445"/>
      <c r="U11" s="445"/>
      <c r="V11" s="445"/>
      <c r="W11" s="445"/>
      <c r="X11" s="445"/>
      <c r="Y11" s="445"/>
      <c r="Z11" s="445"/>
      <c r="AA11" s="445"/>
      <c r="AB11" s="445"/>
      <c r="AC11" s="445"/>
      <c r="AD11" s="445"/>
      <c r="AE11" s="445"/>
      <c r="AF11" s="445"/>
      <c r="AG11" s="445"/>
      <c r="AH11" s="445"/>
      <c r="AI11" s="445"/>
      <c r="AJ11" s="445"/>
      <c r="AK11" s="445" t="s">
        <v>33</v>
      </c>
      <c r="AL11" s="445"/>
      <c r="AM11" s="445"/>
      <c r="AN11" s="445"/>
      <c r="AO11" s="445"/>
      <c r="AP11" s="445"/>
      <c r="AQ11" s="445"/>
      <c r="AR11" s="445"/>
      <c r="AS11" s="445"/>
      <c r="AT11" s="445"/>
      <c r="AU11" s="445"/>
      <c r="AV11" s="445"/>
      <c r="AW11" s="445"/>
      <c r="AX11" s="445"/>
      <c r="AY11" s="445"/>
      <c r="AZ11" s="445"/>
      <c r="BA11" s="445"/>
      <c r="BB11" s="445"/>
    </row>
    <row r="12" spans="1:62" ht="12" customHeight="1" x14ac:dyDescent="0.2">
      <c r="A12" s="447"/>
      <c r="B12" s="447"/>
      <c r="C12" s="447"/>
      <c r="D12" s="447"/>
      <c r="E12" s="447"/>
      <c r="F12" s="447"/>
      <c r="G12" s="447"/>
      <c r="H12" s="447"/>
      <c r="I12" s="447"/>
      <c r="J12" s="447"/>
      <c r="K12" s="447"/>
      <c r="L12" s="447"/>
      <c r="M12" s="447"/>
      <c r="N12" s="447"/>
      <c r="O12" s="447"/>
      <c r="P12" s="447"/>
      <c r="Q12" s="447"/>
      <c r="R12" s="447"/>
      <c r="S12" s="400"/>
      <c r="T12" s="400"/>
      <c r="U12" s="400"/>
      <c r="V12" s="400"/>
      <c r="W12" s="400"/>
      <c r="X12" s="400"/>
      <c r="Y12" s="400"/>
      <c r="Z12" s="400"/>
      <c r="AA12" s="400"/>
      <c r="AB12" s="400"/>
      <c r="AC12" s="400"/>
      <c r="AD12" s="400"/>
      <c r="AE12" s="400"/>
      <c r="AF12" s="400"/>
      <c r="AG12" s="400"/>
      <c r="AH12" s="400"/>
      <c r="AI12" s="400"/>
      <c r="AJ12" s="400"/>
      <c r="AK12" s="446" t="s">
        <v>36</v>
      </c>
      <c r="AL12" s="446"/>
      <c r="AM12" s="446"/>
      <c r="AN12" s="446"/>
      <c r="AO12" s="446"/>
      <c r="AP12" s="446"/>
      <c r="AQ12" s="446"/>
      <c r="AR12" s="446"/>
      <c r="AS12" s="446"/>
      <c r="AT12" s="446"/>
      <c r="AU12" s="446"/>
      <c r="AV12" s="446"/>
      <c r="AW12" s="446"/>
      <c r="AX12" s="446"/>
      <c r="AY12" s="446"/>
      <c r="AZ12" s="446"/>
      <c r="BA12" s="446"/>
      <c r="BB12" s="446"/>
      <c r="BJ12" s="124"/>
    </row>
    <row r="13" spans="1:62" ht="12" customHeight="1" x14ac:dyDescent="0.2">
      <c r="A13" s="447"/>
      <c r="B13" s="447"/>
      <c r="C13" s="447"/>
      <c r="D13" s="447"/>
      <c r="E13" s="447"/>
      <c r="F13" s="447"/>
      <c r="G13" s="447"/>
      <c r="H13" s="447"/>
      <c r="I13" s="447"/>
      <c r="J13" s="447"/>
      <c r="K13" s="447"/>
      <c r="L13" s="447"/>
      <c r="M13" s="447"/>
      <c r="N13" s="447"/>
      <c r="O13" s="447"/>
      <c r="P13" s="447"/>
      <c r="Q13" s="447"/>
      <c r="R13" s="447"/>
      <c r="S13" s="400"/>
      <c r="T13" s="400"/>
      <c r="U13" s="400"/>
      <c r="V13" s="400"/>
      <c r="W13" s="400"/>
      <c r="X13" s="400"/>
      <c r="Y13" s="400"/>
      <c r="Z13" s="400"/>
      <c r="AA13" s="400"/>
      <c r="AB13" s="400"/>
      <c r="AC13" s="400"/>
      <c r="AD13" s="400"/>
      <c r="AE13" s="400"/>
      <c r="AF13" s="400"/>
      <c r="AG13" s="400"/>
      <c r="AH13" s="400"/>
      <c r="AI13" s="400"/>
      <c r="AJ13" s="400"/>
      <c r="AK13" s="182" t="s">
        <v>37</v>
      </c>
      <c r="AL13" s="182"/>
      <c r="AM13" s="182"/>
      <c r="AN13" s="182"/>
      <c r="AO13" s="182"/>
      <c r="AP13" s="182"/>
      <c r="AQ13" s="182"/>
      <c r="AR13" s="182"/>
      <c r="AS13" s="182"/>
      <c r="AT13" s="182"/>
      <c r="AU13" s="182"/>
      <c r="AV13" s="182"/>
      <c r="AW13" s="182"/>
      <c r="AX13" s="182"/>
      <c r="AY13" s="182"/>
      <c r="AZ13" s="182"/>
      <c r="BA13" s="182"/>
      <c r="BB13" s="182"/>
      <c r="BJ13" s="124"/>
    </row>
    <row r="14" spans="1:62" ht="12" customHeight="1" x14ac:dyDescent="0.2">
      <c r="A14" s="447"/>
      <c r="B14" s="447"/>
      <c r="C14" s="447"/>
      <c r="D14" s="447"/>
      <c r="E14" s="447"/>
      <c r="F14" s="447"/>
      <c r="G14" s="447"/>
      <c r="H14" s="447"/>
      <c r="I14" s="447"/>
      <c r="J14" s="447"/>
      <c r="K14" s="447"/>
      <c r="L14" s="447"/>
      <c r="M14" s="447"/>
      <c r="N14" s="447"/>
      <c r="O14" s="447"/>
      <c r="P14" s="447"/>
      <c r="Q14" s="447"/>
      <c r="R14" s="447"/>
      <c r="S14" s="400"/>
      <c r="T14" s="400"/>
      <c r="U14" s="400"/>
      <c r="V14" s="400"/>
      <c r="W14" s="400"/>
      <c r="X14" s="400"/>
      <c r="Y14" s="400"/>
      <c r="Z14" s="400"/>
      <c r="AA14" s="400"/>
      <c r="AB14" s="400"/>
      <c r="AC14" s="400"/>
      <c r="AD14" s="400"/>
      <c r="AE14" s="400"/>
      <c r="AF14" s="400"/>
      <c r="AG14" s="400"/>
      <c r="AH14" s="400"/>
      <c r="AI14" s="400"/>
      <c r="AJ14" s="400"/>
      <c r="AK14" s="182" t="s">
        <v>237</v>
      </c>
      <c r="AL14" s="182"/>
      <c r="AM14" s="182"/>
      <c r="AN14" s="182"/>
      <c r="AO14" s="182"/>
      <c r="AP14" s="182"/>
      <c r="AQ14" s="182"/>
      <c r="AR14" s="182"/>
      <c r="AS14" s="182"/>
      <c r="AT14" s="182"/>
      <c r="AU14" s="182"/>
      <c r="AV14" s="182"/>
      <c r="AW14" s="182"/>
      <c r="AX14" s="182"/>
      <c r="AY14" s="182"/>
      <c r="AZ14" s="182"/>
      <c r="BA14" s="182"/>
      <c r="BB14" s="182"/>
      <c r="BJ14" s="124"/>
    </row>
    <row r="15" spans="1:62" ht="12" customHeight="1" x14ac:dyDescent="0.2">
      <c r="A15" s="447"/>
      <c r="B15" s="447"/>
      <c r="C15" s="447"/>
      <c r="D15" s="447"/>
      <c r="E15" s="447"/>
      <c r="F15" s="447"/>
      <c r="G15" s="447"/>
      <c r="H15" s="447"/>
      <c r="I15" s="447"/>
      <c r="J15" s="447"/>
      <c r="K15" s="447"/>
      <c r="L15" s="447"/>
      <c r="M15" s="447"/>
      <c r="N15" s="447"/>
      <c r="O15" s="447"/>
      <c r="P15" s="447"/>
      <c r="Q15" s="447"/>
      <c r="R15" s="447"/>
      <c r="S15" s="400"/>
      <c r="T15" s="400"/>
      <c r="U15" s="400"/>
      <c r="V15" s="400"/>
      <c r="W15" s="400"/>
      <c r="X15" s="400"/>
      <c r="Y15" s="400"/>
      <c r="Z15" s="400"/>
      <c r="AA15" s="400"/>
      <c r="AB15" s="400"/>
      <c r="AC15" s="400"/>
      <c r="AD15" s="400"/>
      <c r="AE15" s="400"/>
      <c r="AF15" s="400"/>
      <c r="AG15" s="400"/>
      <c r="AH15" s="400"/>
      <c r="AI15" s="400"/>
      <c r="AJ15" s="400"/>
      <c r="AK15" s="182" t="s">
        <v>256</v>
      </c>
      <c r="AL15" s="182"/>
      <c r="AM15" s="182"/>
      <c r="AN15" s="182"/>
      <c r="AO15" s="182"/>
      <c r="AP15" s="182"/>
      <c r="AQ15" s="182"/>
      <c r="AR15" s="182"/>
      <c r="AS15" s="182"/>
      <c r="AT15" s="182"/>
      <c r="AU15" s="182"/>
      <c r="AV15" s="182"/>
      <c r="AW15" s="182"/>
      <c r="AX15" s="182"/>
      <c r="AY15" s="182"/>
      <c r="AZ15" s="182"/>
      <c r="BA15" s="182"/>
      <c r="BB15" s="182"/>
      <c r="BJ15" s="131"/>
    </row>
    <row r="16" spans="1:62" ht="12" customHeight="1" x14ac:dyDescent="0.2">
      <c r="A16" s="447"/>
      <c r="B16" s="447"/>
      <c r="C16" s="447"/>
      <c r="D16" s="447"/>
      <c r="E16" s="447"/>
      <c r="F16" s="447"/>
      <c r="G16" s="447"/>
      <c r="H16" s="447"/>
      <c r="I16" s="447"/>
      <c r="J16" s="447"/>
      <c r="K16" s="447"/>
      <c r="L16" s="447"/>
      <c r="M16" s="447"/>
      <c r="N16" s="447"/>
      <c r="O16" s="447"/>
      <c r="P16" s="447"/>
      <c r="Q16" s="447"/>
      <c r="R16" s="447"/>
      <c r="S16" s="400"/>
      <c r="T16" s="400"/>
      <c r="U16" s="400"/>
      <c r="V16" s="400"/>
      <c r="W16" s="400"/>
      <c r="X16" s="400"/>
      <c r="Y16" s="400"/>
      <c r="Z16" s="400"/>
      <c r="AA16" s="400"/>
      <c r="AB16" s="400"/>
      <c r="AC16" s="400"/>
      <c r="AD16" s="400"/>
      <c r="AE16" s="400"/>
      <c r="AF16" s="400"/>
      <c r="AG16" s="400"/>
      <c r="AH16" s="400"/>
      <c r="AI16" s="400"/>
      <c r="AJ16" s="400"/>
      <c r="AK16" s="182" t="s">
        <v>34</v>
      </c>
      <c r="AL16" s="182"/>
      <c r="AM16" s="182"/>
      <c r="AN16" s="182"/>
      <c r="AO16" s="182"/>
      <c r="AP16" s="182"/>
      <c r="AQ16" s="182"/>
      <c r="AR16" s="182"/>
      <c r="AS16" s="182"/>
      <c r="AT16" s="182"/>
      <c r="AU16" s="182"/>
      <c r="AV16" s="182"/>
      <c r="AW16" s="182"/>
      <c r="AX16" s="182"/>
      <c r="AY16" s="182"/>
      <c r="AZ16" s="182"/>
      <c r="BA16" s="182"/>
      <c r="BB16" s="182"/>
      <c r="BJ16" s="124"/>
    </row>
    <row r="17" spans="1:62" ht="12" customHeight="1" x14ac:dyDescent="0.2">
      <c r="A17" s="447"/>
      <c r="B17" s="447"/>
      <c r="C17" s="447"/>
      <c r="D17" s="447"/>
      <c r="E17" s="447"/>
      <c r="F17" s="447"/>
      <c r="G17" s="447"/>
      <c r="H17" s="447"/>
      <c r="I17" s="447"/>
      <c r="J17" s="447"/>
      <c r="K17" s="447"/>
      <c r="L17" s="447"/>
      <c r="M17" s="447"/>
      <c r="N17" s="447"/>
      <c r="O17" s="447"/>
      <c r="P17" s="447"/>
      <c r="Q17" s="447"/>
      <c r="R17" s="447"/>
      <c r="S17" s="400"/>
      <c r="T17" s="400"/>
      <c r="U17" s="400"/>
      <c r="V17" s="400"/>
      <c r="W17" s="400"/>
      <c r="X17" s="400"/>
      <c r="Y17" s="400"/>
      <c r="Z17" s="400"/>
      <c r="AA17" s="400"/>
      <c r="AB17" s="400"/>
      <c r="AC17" s="400"/>
      <c r="AD17" s="400"/>
      <c r="AE17" s="400"/>
      <c r="AF17" s="400"/>
      <c r="AG17" s="400"/>
      <c r="AH17" s="400"/>
      <c r="AI17" s="400"/>
      <c r="AJ17" s="400"/>
      <c r="AK17" s="182" t="s">
        <v>43</v>
      </c>
      <c r="AL17" s="182"/>
      <c r="AM17" s="182"/>
      <c r="AN17" s="182"/>
      <c r="AO17" s="182"/>
      <c r="AP17" s="182"/>
      <c r="AQ17" s="182"/>
      <c r="AR17" s="182"/>
      <c r="AS17" s="182"/>
      <c r="AT17" s="182"/>
      <c r="AU17" s="182"/>
      <c r="AV17" s="182"/>
      <c r="AW17" s="182"/>
      <c r="AX17" s="182"/>
      <c r="AY17" s="182"/>
      <c r="AZ17" s="182"/>
      <c r="BA17" s="182"/>
      <c r="BB17" s="182"/>
      <c r="BJ17" s="124"/>
    </row>
    <row r="18" spans="1:62" ht="12" customHeight="1" x14ac:dyDescent="0.2">
      <c r="A18" s="447"/>
      <c r="B18" s="447"/>
      <c r="C18" s="447"/>
      <c r="D18" s="447"/>
      <c r="E18" s="447"/>
      <c r="F18" s="447"/>
      <c r="G18" s="447"/>
      <c r="H18" s="447"/>
      <c r="I18" s="447"/>
      <c r="J18" s="447"/>
      <c r="K18" s="447"/>
      <c r="L18" s="447"/>
      <c r="M18" s="447"/>
      <c r="N18" s="447"/>
      <c r="O18" s="447"/>
      <c r="P18" s="447"/>
      <c r="Q18" s="447"/>
      <c r="R18" s="447"/>
      <c r="S18" s="400"/>
      <c r="T18" s="400"/>
      <c r="U18" s="400"/>
      <c r="V18" s="400"/>
      <c r="W18" s="400"/>
      <c r="X18" s="400"/>
      <c r="Y18" s="400"/>
      <c r="Z18" s="400"/>
      <c r="AA18" s="400"/>
      <c r="AB18" s="400"/>
      <c r="AC18" s="400"/>
      <c r="AD18" s="400"/>
      <c r="AE18" s="400"/>
      <c r="AF18" s="400"/>
      <c r="AG18" s="400"/>
      <c r="AH18" s="400"/>
      <c r="AI18" s="400"/>
      <c r="AJ18" s="400"/>
      <c r="AK18" s="156" t="s">
        <v>44</v>
      </c>
      <c r="AL18" s="156"/>
      <c r="AM18" s="156"/>
      <c r="AN18" s="156"/>
      <c r="AO18" s="156"/>
      <c r="AP18" s="156"/>
      <c r="AQ18" s="156"/>
      <c r="AR18" s="156"/>
      <c r="AS18" s="156"/>
      <c r="AT18" s="156"/>
      <c r="AU18" s="156"/>
      <c r="AV18" s="156"/>
      <c r="AW18" s="156"/>
      <c r="AX18" s="156"/>
      <c r="AY18" s="156"/>
      <c r="AZ18" s="156"/>
      <c r="BA18" s="156"/>
      <c r="BB18" s="156"/>
      <c r="BJ18" s="124"/>
    </row>
    <row r="19" spans="1:62" ht="12" customHeight="1" x14ac:dyDescent="0.2">
      <c r="A19" s="447"/>
      <c r="B19" s="447"/>
      <c r="C19" s="447"/>
      <c r="D19" s="447"/>
      <c r="E19" s="447"/>
      <c r="F19" s="447"/>
      <c r="G19" s="447"/>
      <c r="H19" s="447"/>
      <c r="I19" s="447"/>
      <c r="J19" s="447"/>
      <c r="K19" s="447"/>
      <c r="L19" s="447"/>
      <c r="M19" s="447"/>
      <c r="N19" s="447"/>
      <c r="O19" s="447"/>
      <c r="P19" s="447"/>
      <c r="Q19" s="447"/>
      <c r="R19" s="447"/>
      <c r="S19" s="400"/>
      <c r="T19" s="400"/>
      <c r="U19" s="400"/>
      <c r="V19" s="400"/>
      <c r="W19" s="400"/>
      <c r="X19" s="400"/>
      <c r="Y19" s="400"/>
      <c r="Z19" s="400"/>
      <c r="AA19" s="400"/>
      <c r="AB19" s="400"/>
      <c r="AC19" s="400"/>
      <c r="AD19" s="400"/>
      <c r="AE19" s="400"/>
      <c r="AF19" s="400"/>
      <c r="AG19" s="400"/>
      <c r="AH19" s="400"/>
      <c r="AI19" s="400"/>
      <c r="AJ19" s="400"/>
      <c r="AK19" s="182" t="s">
        <v>53</v>
      </c>
      <c r="AL19" s="182"/>
      <c r="AM19" s="182"/>
      <c r="AN19" s="182"/>
      <c r="AO19" s="182"/>
      <c r="AP19" s="182"/>
      <c r="AQ19" s="182"/>
      <c r="AR19" s="182"/>
      <c r="AS19" s="182"/>
      <c r="AT19" s="182"/>
      <c r="AU19" s="182"/>
      <c r="AV19" s="182"/>
      <c r="AW19" s="182"/>
      <c r="AX19" s="182"/>
      <c r="AY19" s="182"/>
      <c r="AZ19" s="182"/>
      <c r="BA19" s="182"/>
      <c r="BB19" s="182"/>
      <c r="BJ19" s="124"/>
    </row>
    <row r="20" spans="1:62" ht="12" customHeight="1" x14ac:dyDescent="0.2">
      <c r="A20" s="447"/>
      <c r="B20" s="447"/>
      <c r="C20" s="447"/>
      <c r="D20" s="447"/>
      <c r="E20" s="447"/>
      <c r="F20" s="447"/>
      <c r="G20" s="447"/>
      <c r="H20" s="447"/>
      <c r="I20" s="447"/>
      <c r="J20" s="447"/>
      <c r="K20" s="447"/>
      <c r="L20" s="447"/>
      <c r="M20" s="447"/>
      <c r="N20" s="447"/>
      <c r="O20" s="447"/>
      <c r="P20" s="447"/>
      <c r="Q20" s="447"/>
      <c r="R20" s="447"/>
      <c r="S20" s="400"/>
      <c r="T20" s="400"/>
      <c r="U20" s="400"/>
      <c r="V20" s="400"/>
      <c r="W20" s="400"/>
      <c r="X20" s="400"/>
      <c r="Y20" s="400"/>
      <c r="Z20" s="400"/>
      <c r="AA20" s="400"/>
      <c r="AB20" s="400"/>
      <c r="AC20" s="400"/>
      <c r="AD20" s="400"/>
      <c r="AE20" s="400"/>
      <c r="AF20" s="400"/>
      <c r="AG20" s="400"/>
      <c r="AH20" s="400"/>
      <c r="AI20" s="400"/>
      <c r="AJ20" s="400"/>
      <c r="AK20" s="182" t="s">
        <v>38</v>
      </c>
      <c r="AL20" s="182"/>
      <c r="AM20" s="182"/>
      <c r="AN20" s="182"/>
      <c r="AO20" s="182"/>
      <c r="AP20" s="182"/>
      <c r="AQ20" s="182"/>
      <c r="AR20" s="182"/>
      <c r="AS20" s="182"/>
      <c r="AT20" s="182"/>
      <c r="AU20" s="182"/>
      <c r="AV20" s="182"/>
      <c r="AW20" s="182"/>
      <c r="AX20" s="182"/>
      <c r="AY20" s="182"/>
      <c r="AZ20" s="182"/>
      <c r="BA20" s="182"/>
      <c r="BB20" s="182"/>
      <c r="BJ20" s="124"/>
    </row>
    <row r="21" spans="1:62" ht="12" customHeight="1" x14ac:dyDescent="0.2">
      <c r="A21" s="447"/>
      <c r="B21" s="447"/>
      <c r="C21" s="447"/>
      <c r="D21" s="447"/>
      <c r="E21" s="447"/>
      <c r="F21" s="447"/>
      <c r="G21" s="447"/>
      <c r="H21" s="447"/>
      <c r="I21" s="447"/>
      <c r="J21" s="447"/>
      <c r="K21" s="447"/>
      <c r="L21" s="447"/>
      <c r="M21" s="447"/>
      <c r="N21" s="447"/>
      <c r="O21" s="447"/>
      <c r="P21" s="447"/>
      <c r="Q21" s="447"/>
      <c r="R21" s="447"/>
      <c r="S21" s="400"/>
      <c r="T21" s="400"/>
      <c r="U21" s="400"/>
      <c r="V21" s="400"/>
      <c r="W21" s="400"/>
      <c r="X21" s="400"/>
      <c r="Y21" s="400"/>
      <c r="Z21" s="400"/>
      <c r="AA21" s="400"/>
      <c r="AB21" s="400"/>
      <c r="AC21" s="400"/>
      <c r="AD21" s="400"/>
      <c r="AE21" s="400"/>
      <c r="AF21" s="400"/>
      <c r="AG21" s="400"/>
      <c r="AH21" s="400"/>
      <c r="AI21" s="400"/>
      <c r="AJ21" s="400"/>
      <c r="AK21" s="156" t="s">
        <v>39</v>
      </c>
      <c r="AL21" s="156"/>
      <c r="AM21" s="156"/>
      <c r="AN21" s="156"/>
      <c r="AO21" s="156"/>
      <c r="AP21" s="156"/>
      <c r="AQ21" s="156"/>
      <c r="AR21" s="156"/>
      <c r="AS21" s="156"/>
      <c r="AT21" s="156"/>
      <c r="AU21" s="156"/>
      <c r="AV21" s="156"/>
      <c r="AW21" s="156"/>
      <c r="AX21" s="156"/>
      <c r="AY21" s="156"/>
      <c r="AZ21" s="156"/>
      <c r="BA21" s="156"/>
      <c r="BB21" s="156"/>
      <c r="BJ21" s="124"/>
    </row>
    <row r="22" spans="1:62" ht="12" customHeight="1" x14ac:dyDescent="0.2">
      <c r="A22" s="447"/>
      <c r="B22" s="447"/>
      <c r="C22" s="447"/>
      <c r="D22" s="447"/>
      <c r="E22" s="447"/>
      <c r="F22" s="447"/>
      <c r="G22" s="447"/>
      <c r="H22" s="447"/>
      <c r="I22" s="447"/>
      <c r="J22" s="447"/>
      <c r="K22" s="447"/>
      <c r="L22" s="447"/>
      <c r="M22" s="447"/>
      <c r="N22" s="447"/>
      <c r="O22" s="447"/>
      <c r="P22" s="447"/>
      <c r="Q22" s="447"/>
      <c r="R22" s="447"/>
      <c r="S22" s="400"/>
      <c r="T22" s="400"/>
      <c r="U22" s="400"/>
      <c r="V22" s="400"/>
      <c r="W22" s="400"/>
      <c r="X22" s="400"/>
      <c r="Y22" s="400"/>
      <c r="Z22" s="400"/>
      <c r="AA22" s="400"/>
      <c r="AB22" s="400"/>
      <c r="AC22" s="400"/>
      <c r="AD22" s="400"/>
      <c r="AE22" s="400"/>
      <c r="AF22" s="400"/>
      <c r="AG22" s="400"/>
      <c r="AH22" s="400"/>
      <c r="AI22" s="400"/>
      <c r="AJ22" s="400"/>
      <c r="AK22" s="156" t="s">
        <v>50</v>
      </c>
      <c r="AL22" s="156"/>
      <c r="AM22" s="156"/>
      <c r="AN22" s="156"/>
      <c r="AO22" s="156"/>
      <c r="AP22" s="156"/>
      <c r="AQ22" s="156"/>
      <c r="AR22" s="156"/>
      <c r="AS22" s="156"/>
      <c r="AT22" s="156"/>
      <c r="AU22" s="156"/>
      <c r="AV22" s="156"/>
      <c r="AW22" s="156"/>
      <c r="AX22" s="156"/>
      <c r="AY22" s="156"/>
      <c r="AZ22" s="156"/>
      <c r="BA22" s="156"/>
      <c r="BB22" s="156"/>
      <c r="BJ22" s="124"/>
    </row>
    <row r="23" spans="1:62" ht="12" customHeight="1" x14ac:dyDescent="0.2">
      <c r="A23" s="447"/>
      <c r="B23" s="447"/>
      <c r="C23" s="447"/>
      <c r="D23" s="447"/>
      <c r="E23" s="447"/>
      <c r="F23" s="447"/>
      <c r="G23" s="447"/>
      <c r="H23" s="447"/>
      <c r="I23" s="447"/>
      <c r="J23" s="447"/>
      <c r="K23" s="447"/>
      <c r="L23" s="447"/>
      <c r="M23" s="447"/>
      <c r="N23" s="447"/>
      <c r="O23" s="447"/>
      <c r="P23" s="447"/>
      <c r="Q23" s="447"/>
      <c r="R23" s="447"/>
      <c r="S23" s="400"/>
      <c r="T23" s="400"/>
      <c r="U23" s="400"/>
      <c r="V23" s="400"/>
      <c r="W23" s="400"/>
      <c r="X23" s="400"/>
      <c r="Y23" s="400"/>
      <c r="Z23" s="400"/>
      <c r="AA23" s="400"/>
      <c r="AB23" s="400"/>
      <c r="AC23" s="400"/>
      <c r="AD23" s="400"/>
      <c r="AE23" s="400"/>
      <c r="AF23" s="400"/>
      <c r="AG23" s="400"/>
      <c r="AH23" s="400"/>
      <c r="AI23" s="400"/>
      <c r="AJ23" s="400"/>
      <c r="AK23" s="182" t="s">
        <v>40</v>
      </c>
      <c r="AL23" s="182"/>
      <c r="AM23" s="182"/>
      <c r="AN23" s="182"/>
      <c r="AO23" s="182"/>
      <c r="AP23" s="182"/>
      <c r="AQ23" s="182"/>
      <c r="AR23" s="182"/>
      <c r="AS23" s="182"/>
      <c r="AT23" s="182"/>
      <c r="AU23" s="182"/>
      <c r="AV23" s="182"/>
      <c r="AW23" s="182"/>
      <c r="AX23" s="182"/>
      <c r="AY23" s="182"/>
      <c r="AZ23" s="182"/>
      <c r="BA23" s="182"/>
      <c r="BB23" s="182"/>
      <c r="BJ23" s="124"/>
    </row>
    <row r="24" spans="1:62" ht="12" customHeight="1" x14ac:dyDescent="0.2">
      <c r="A24" s="447"/>
      <c r="B24" s="447"/>
      <c r="C24" s="447"/>
      <c r="D24" s="447"/>
      <c r="E24" s="447"/>
      <c r="F24" s="447"/>
      <c r="G24" s="447"/>
      <c r="H24" s="447"/>
      <c r="I24" s="447"/>
      <c r="J24" s="447"/>
      <c r="K24" s="447"/>
      <c r="L24" s="447"/>
      <c r="M24" s="447"/>
      <c r="N24" s="447"/>
      <c r="O24" s="447"/>
      <c r="P24" s="447"/>
      <c r="Q24" s="447"/>
      <c r="R24" s="447"/>
      <c r="S24" s="400"/>
      <c r="T24" s="400"/>
      <c r="U24" s="400"/>
      <c r="V24" s="400"/>
      <c r="W24" s="400"/>
      <c r="X24" s="400"/>
      <c r="Y24" s="400"/>
      <c r="Z24" s="400"/>
      <c r="AA24" s="400"/>
      <c r="AB24" s="400"/>
      <c r="AC24" s="400"/>
      <c r="AD24" s="400"/>
      <c r="AE24" s="400"/>
      <c r="AF24" s="400"/>
      <c r="AG24" s="400"/>
      <c r="AH24" s="400"/>
      <c r="AI24" s="400"/>
      <c r="AJ24" s="400"/>
      <c r="AK24" s="182" t="s">
        <v>529</v>
      </c>
      <c r="AL24" s="182"/>
      <c r="AM24" s="182"/>
      <c r="AN24" s="182"/>
      <c r="AO24" s="182"/>
      <c r="AP24" s="182"/>
      <c r="AQ24" s="182"/>
      <c r="AR24" s="182"/>
      <c r="AS24" s="182"/>
      <c r="AT24" s="182"/>
      <c r="AU24" s="182"/>
      <c r="AV24" s="182"/>
      <c r="AW24" s="182"/>
      <c r="AX24" s="182"/>
      <c r="AY24" s="182"/>
      <c r="AZ24" s="182"/>
      <c r="BA24" s="182"/>
      <c r="BB24" s="182"/>
      <c r="BJ24" s="124"/>
    </row>
    <row r="25" spans="1:62" ht="12" customHeight="1" x14ac:dyDescent="0.2">
      <c r="A25" s="447"/>
      <c r="B25" s="447"/>
      <c r="C25" s="447"/>
      <c r="D25" s="447"/>
      <c r="E25" s="447"/>
      <c r="F25" s="447"/>
      <c r="G25" s="447"/>
      <c r="H25" s="447"/>
      <c r="I25" s="447"/>
      <c r="J25" s="447"/>
      <c r="K25" s="447"/>
      <c r="L25" s="447"/>
      <c r="M25" s="447"/>
      <c r="N25" s="447"/>
      <c r="O25" s="447"/>
      <c r="P25" s="447"/>
      <c r="Q25" s="447"/>
      <c r="R25" s="447"/>
      <c r="S25" s="400"/>
      <c r="T25" s="400"/>
      <c r="U25" s="400"/>
      <c r="V25" s="400"/>
      <c r="W25" s="400"/>
      <c r="X25" s="400"/>
      <c r="Y25" s="400"/>
      <c r="Z25" s="400"/>
      <c r="AA25" s="400"/>
      <c r="AB25" s="400"/>
      <c r="AC25" s="400"/>
      <c r="AD25" s="400"/>
      <c r="AE25" s="400"/>
      <c r="AF25" s="400"/>
      <c r="AG25" s="400"/>
      <c r="AH25" s="400"/>
      <c r="AI25" s="400"/>
      <c r="AJ25" s="400"/>
      <c r="AK25" s="182" t="s">
        <v>41</v>
      </c>
      <c r="AL25" s="182"/>
      <c r="AM25" s="182"/>
      <c r="AN25" s="182"/>
      <c r="AO25" s="182"/>
      <c r="AP25" s="182"/>
      <c r="AQ25" s="182"/>
      <c r="AR25" s="182"/>
      <c r="AS25" s="182"/>
      <c r="AT25" s="182"/>
      <c r="AU25" s="182"/>
      <c r="AV25" s="182"/>
      <c r="AW25" s="182"/>
      <c r="AX25" s="182"/>
      <c r="AY25" s="182"/>
      <c r="AZ25" s="182"/>
      <c r="BA25" s="182"/>
      <c r="BB25" s="182"/>
      <c r="BJ25" s="124"/>
    </row>
    <row r="26" spans="1:62" ht="12" customHeight="1" x14ac:dyDescent="0.2">
      <c r="A26" s="447"/>
      <c r="B26" s="447"/>
      <c r="C26" s="447"/>
      <c r="D26" s="447"/>
      <c r="E26" s="447"/>
      <c r="F26" s="447"/>
      <c r="G26" s="447"/>
      <c r="H26" s="447"/>
      <c r="I26" s="447"/>
      <c r="J26" s="447"/>
      <c r="K26" s="447"/>
      <c r="L26" s="447"/>
      <c r="M26" s="447"/>
      <c r="N26" s="447"/>
      <c r="O26" s="447"/>
      <c r="P26" s="447"/>
      <c r="Q26" s="447"/>
      <c r="R26" s="447"/>
      <c r="S26" s="400"/>
      <c r="T26" s="400"/>
      <c r="U26" s="400"/>
      <c r="V26" s="400"/>
      <c r="W26" s="400"/>
      <c r="X26" s="400"/>
      <c r="Y26" s="400"/>
      <c r="Z26" s="400"/>
      <c r="AA26" s="400"/>
      <c r="AB26" s="400"/>
      <c r="AC26" s="400"/>
      <c r="AD26" s="400"/>
      <c r="AE26" s="400"/>
      <c r="AF26" s="400"/>
      <c r="AG26" s="400"/>
      <c r="AH26" s="400"/>
      <c r="AI26" s="400"/>
      <c r="AJ26" s="400"/>
      <c r="AK26" s="156" t="s">
        <v>45</v>
      </c>
      <c r="AL26" s="156"/>
      <c r="AM26" s="156"/>
      <c r="AN26" s="156"/>
      <c r="AO26" s="156"/>
      <c r="AP26" s="156"/>
      <c r="AQ26" s="156"/>
      <c r="AR26" s="156"/>
      <c r="AS26" s="156"/>
      <c r="AT26" s="156"/>
      <c r="AU26" s="156"/>
      <c r="AV26" s="156"/>
      <c r="AW26" s="156"/>
      <c r="AX26" s="156"/>
      <c r="AY26" s="156"/>
      <c r="AZ26" s="156"/>
      <c r="BA26" s="156"/>
      <c r="BB26" s="156"/>
      <c r="BJ26" s="124"/>
    </row>
    <row r="27" spans="1:62" ht="12" customHeight="1" x14ac:dyDescent="0.2">
      <c r="A27" s="447"/>
      <c r="B27" s="447"/>
      <c r="C27" s="447"/>
      <c r="D27" s="447"/>
      <c r="E27" s="447"/>
      <c r="F27" s="447"/>
      <c r="G27" s="447"/>
      <c r="H27" s="447"/>
      <c r="I27" s="447"/>
      <c r="J27" s="447"/>
      <c r="K27" s="447"/>
      <c r="L27" s="447"/>
      <c r="M27" s="447"/>
      <c r="N27" s="447"/>
      <c r="O27" s="447"/>
      <c r="P27" s="447"/>
      <c r="Q27" s="447"/>
      <c r="R27" s="447"/>
      <c r="S27" s="400"/>
      <c r="T27" s="400"/>
      <c r="U27" s="400"/>
      <c r="V27" s="400"/>
      <c r="W27" s="400"/>
      <c r="X27" s="400"/>
      <c r="Y27" s="400"/>
      <c r="Z27" s="400"/>
      <c r="AA27" s="400"/>
      <c r="AB27" s="400"/>
      <c r="AC27" s="400"/>
      <c r="AD27" s="400"/>
      <c r="AE27" s="400"/>
      <c r="AF27" s="400"/>
      <c r="AG27" s="400"/>
      <c r="AH27" s="400"/>
      <c r="AI27" s="400"/>
      <c r="AJ27" s="400"/>
      <c r="AK27" s="182" t="s">
        <v>46</v>
      </c>
      <c r="AL27" s="182"/>
      <c r="AM27" s="182"/>
      <c r="AN27" s="182"/>
      <c r="AO27" s="182"/>
      <c r="AP27" s="182"/>
      <c r="AQ27" s="182"/>
      <c r="AR27" s="182"/>
      <c r="AS27" s="182"/>
      <c r="AT27" s="182"/>
      <c r="AU27" s="182"/>
      <c r="AV27" s="182"/>
      <c r="AW27" s="182"/>
      <c r="AX27" s="182"/>
      <c r="AY27" s="182"/>
      <c r="AZ27" s="182"/>
      <c r="BA27" s="182"/>
      <c r="BB27" s="182"/>
      <c r="BJ27" s="124"/>
    </row>
    <row r="28" spans="1:62" ht="12" customHeight="1" x14ac:dyDescent="0.2">
      <c r="A28" s="447"/>
      <c r="B28" s="447"/>
      <c r="C28" s="447"/>
      <c r="D28" s="447"/>
      <c r="E28" s="447"/>
      <c r="F28" s="447"/>
      <c r="G28" s="447"/>
      <c r="H28" s="447"/>
      <c r="I28" s="447"/>
      <c r="J28" s="447"/>
      <c r="K28" s="447"/>
      <c r="L28" s="447"/>
      <c r="M28" s="447"/>
      <c r="N28" s="447"/>
      <c r="O28" s="447"/>
      <c r="P28" s="447"/>
      <c r="Q28" s="447"/>
      <c r="R28" s="447"/>
      <c r="S28" s="400"/>
      <c r="T28" s="400"/>
      <c r="U28" s="400"/>
      <c r="V28" s="400"/>
      <c r="W28" s="400"/>
      <c r="X28" s="400"/>
      <c r="Y28" s="400"/>
      <c r="Z28" s="400"/>
      <c r="AA28" s="400"/>
      <c r="AB28" s="400"/>
      <c r="AC28" s="400"/>
      <c r="AD28" s="400"/>
      <c r="AE28" s="400"/>
      <c r="AF28" s="400"/>
      <c r="AG28" s="400"/>
      <c r="AH28" s="400"/>
      <c r="AI28" s="400"/>
      <c r="AJ28" s="400"/>
      <c r="AK28" s="182" t="s">
        <v>47</v>
      </c>
      <c r="AL28" s="182"/>
      <c r="AM28" s="182"/>
      <c r="AN28" s="182"/>
      <c r="AO28" s="182"/>
      <c r="AP28" s="182"/>
      <c r="AQ28" s="182"/>
      <c r="AR28" s="182"/>
      <c r="AS28" s="182"/>
      <c r="AT28" s="182"/>
      <c r="AU28" s="182"/>
      <c r="AV28" s="182"/>
      <c r="AW28" s="182"/>
      <c r="AX28" s="182"/>
      <c r="AY28" s="182"/>
      <c r="AZ28" s="182"/>
      <c r="BA28" s="182"/>
      <c r="BB28" s="182"/>
      <c r="BJ28" s="124"/>
    </row>
    <row r="29" spans="1:62" ht="12" customHeight="1" x14ac:dyDescent="0.2">
      <c r="A29" s="447"/>
      <c r="B29" s="447"/>
      <c r="C29" s="447"/>
      <c r="D29" s="447"/>
      <c r="E29" s="447"/>
      <c r="F29" s="447"/>
      <c r="G29" s="447"/>
      <c r="H29" s="447"/>
      <c r="I29" s="447"/>
      <c r="J29" s="447"/>
      <c r="K29" s="447"/>
      <c r="L29" s="447"/>
      <c r="M29" s="447"/>
      <c r="N29" s="447"/>
      <c r="O29" s="447"/>
      <c r="P29" s="447"/>
      <c r="Q29" s="447"/>
      <c r="R29" s="447"/>
      <c r="S29" s="400"/>
      <c r="T29" s="400"/>
      <c r="U29" s="400"/>
      <c r="V29" s="400"/>
      <c r="W29" s="400"/>
      <c r="X29" s="400"/>
      <c r="Y29" s="400"/>
      <c r="Z29" s="400"/>
      <c r="AA29" s="400"/>
      <c r="AB29" s="400"/>
      <c r="AC29" s="400"/>
      <c r="AD29" s="400"/>
      <c r="AE29" s="400"/>
      <c r="AF29" s="400"/>
      <c r="AG29" s="400"/>
      <c r="AH29" s="400"/>
      <c r="AI29" s="400"/>
      <c r="AJ29" s="400"/>
      <c r="AK29" s="182" t="s">
        <v>48</v>
      </c>
      <c r="AL29" s="182"/>
      <c r="AM29" s="182"/>
      <c r="AN29" s="182"/>
      <c r="AO29" s="182"/>
      <c r="AP29" s="182"/>
      <c r="AQ29" s="182"/>
      <c r="AR29" s="182"/>
      <c r="AS29" s="182"/>
      <c r="AT29" s="182"/>
      <c r="AU29" s="182"/>
      <c r="AV29" s="182"/>
      <c r="AW29" s="182"/>
      <c r="AX29" s="182"/>
      <c r="AY29" s="182"/>
      <c r="AZ29" s="182"/>
      <c r="BA29" s="182"/>
      <c r="BB29" s="182"/>
      <c r="BJ29" s="124"/>
    </row>
    <row r="30" spans="1:62" ht="12" customHeight="1" x14ac:dyDescent="0.2">
      <c r="A30" s="447"/>
      <c r="B30" s="447"/>
      <c r="C30" s="447"/>
      <c r="D30" s="447"/>
      <c r="E30" s="447"/>
      <c r="F30" s="447"/>
      <c r="G30" s="447"/>
      <c r="H30" s="447"/>
      <c r="I30" s="447"/>
      <c r="J30" s="447"/>
      <c r="K30" s="447"/>
      <c r="L30" s="447"/>
      <c r="M30" s="447"/>
      <c r="N30" s="447"/>
      <c r="O30" s="447"/>
      <c r="P30" s="447"/>
      <c r="Q30" s="447"/>
      <c r="R30" s="447"/>
      <c r="S30" s="400"/>
      <c r="T30" s="400"/>
      <c r="U30" s="400"/>
      <c r="V30" s="400"/>
      <c r="W30" s="400"/>
      <c r="X30" s="400"/>
      <c r="Y30" s="400"/>
      <c r="Z30" s="400"/>
      <c r="AA30" s="400"/>
      <c r="AB30" s="400"/>
      <c r="AC30" s="400"/>
      <c r="AD30" s="400"/>
      <c r="AE30" s="400"/>
      <c r="AF30" s="400"/>
      <c r="AG30" s="400"/>
      <c r="AH30" s="400"/>
      <c r="AI30" s="400"/>
      <c r="AJ30" s="400"/>
      <c r="AK30" s="182" t="s">
        <v>49</v>
      </c>
      <c r="AL30" s="182"/>
      <c r="AM30" s="182"/>
      <c r="AN30" s="182"/>
      <c r="AO30" s="182"/>
      <c r="AP30" s="182"/>
      <c r="AQ30" s="182"/>
      <c r="AR30" s="182"/>
      <c r="AS30" s="182"/>
      <c r="AT30" s="182"/>
      <c r="AU30" s="182"/>
      <c r="AV30" s="182"/>
      <c r="AW30" s="182"/>
      <c r="AX30" s="182"/>
      <c r="AY30" s="182"/>
      <c r="AZ30" s="182"/>
      <c r="BA30" s="182"/>
      <c r="BB30" s="182"/>
      <c r="BJ30" s="124"/>
    </row>
    <row r="31" spans="1:62" ht="12" customHeight="1" x14ac:dyDescent="0.2">
      <c r="A31" s="447"/>
      <c r="B31" s="447"/>
      <c r="C31" s="447"/>
      <c r="D31" s="447"/>
      <c r="E31" s="447"/>
      <c r="F31" s="447"/>
      <c r="G31" s="447"/>
      <c r="H31" s="447"/>
      <c r="I31" s="447"/>
      <c r="J31" s="447"/>
      <c r="K31" s="447"/>
      <c r="L31" s="447"/>
      <c r="M31" s="447"/>
      <c r="N31" s="447"/>
      <c r="O31" s="447"/>
      <c r="P31" s="447"/>
      <c r="Q31" s="447"/>
      <c r="R31" s="447"/>
      <c r="S31" s="400"/>
      <c r="T31" s="400"/>
      <c r="U31" s="400"/>
      <c r="V31" s="400"/>
      <c r="W31" s="400"/>
      <c r="X31" s="400"/>
      <c r="Y31" s="400"/>
      <c r="Z31" s="400"/>
      <c r="AA31" s="400"/>
      <c r="AB31" s="400"/>
      <c r="AC31" s="400"/>
      <c r="AD31" s="400"/>
      <c r="AE31" s="400"/>
      <c r="AF31" s="400"/>
      <c r="AG31" s="400"/>
      <c r="AH31" s="400"/>
      <c r="AI31" s="400"/>
      <c r="AJ31" s="400"/>
      <c r="AK31" s="182" t="s">
        <v>42</v>
      </c>
      <c r="AL31" s="182"/>
      <c r="AM31" s="182"/>
      <c r="AN31" s="182"/>
      <c r="AO31" s="182"/>
      <c r="AP31" s="182"/>
      <c r="AQ31" s="182"/>
      <c r="AR31" s="182"/>
      <c r="AS31" s="182"/>
      <c r="AT31" s="182"/>
      <c r="AU31" s="182"/>
      <c r="AV31" s="182"/>
      <c r="AW31" s="182"/>
      <c r="AX31" s="182"/>
      <c r="AY31" s="182"/>
      <c r="AZ31" s="182"/>
      <c r="BA31" s="182"/>
      <c r="BB31" s="182"/>
      <c r="BJ31" s="124"/>
    </row>
    <row r="32" spans="1:62" ht="12" customHeight="1" x14ac:dyDescent="0.2">
      <c r="A32" s="447"/>
      <c r="B32" s="447"/>
      <c r="C32" s="447"/>
      <c r="D32" s="447"/>
      <c r="E32" s="447"/>
      <c r="F32" s="447"/>
      <c r="G32" s="447"/>
      <c r="H32" s="447"/>
      <c r="I32" s="447"/>
      <c r="J32" s="447"/>
      <c r="K32" s="447"/>
      <c r="L32" s="447"/>
      <c r="M32" s="447"/>
      <c r="N32" s="447"/>
      <c r="O32" s="447"/>
      <c r="P32" s="447"/>
      <c r="Q32" s="447"/>
      <c r="R32" s="447"/>
      <c r="S32" s="400"/>
      <c r="T32" s="400"/>
      <c r="U32" s="400"/>
      <c r="V32" s="400"/>
      <c r="W32" s="400"/>
      <c r="X32" s="400"/>
      <c r="Y32" s="400"/>
      <c r="Z32" s="400"/>
      <c r="AA32" s="400"/>
      <c r="AB32" s="400"/>
      <c r="AC32" s="400"/>
      <c r="AD32" s="400"/>
      <c r="AE32" s="400"/>
      <c r="AF32" s="400"/>
      <c r="AG32" s="400"/>
      <c r="AH32" s="400"/>
      <c r="AI32" s="400"/>
      <c r="AJ32" s="400"/>
      <c r="AK32" s="182" t="s">
        <v>54</v>
      </c>
      <c r="AL32" s="182"/>
      <c r="AM32" s="182"/>
      <c r="AN32" s="182"/>
      <c r="AO32" s="182"/>
      <c r="AP32" s="182"/>
      <c r="AQ32" s="182"/>
      <c r="AR32" s="182"/>
      <c r="AS32" s="182"/>
      <c r="AT32" s="182"/>
      <c r="AU32" s="182"/>
      <c r="AV32" s="182"/>
      <c r="AW32" s="182"/>
      <c r="AX32" s="182"/>
      <c r="AY32" s="182"/>
      <c r="AZ32" s="182"/>
      <c r="BA32" s="182"/>
      <c r="BB32" s="182"/>
      <c r="BJ32" s="131"/>
    </row>
    <row r="33" spans="1:62" ht="12" customHeight="1" x14ac:dyDescent="0.2">
      <c r="A33" s="447"/>
      <c r="B33" s="447"/>
      <c r="C33" s="447"/>
      <c r="D33" s="447"/>
      <c r="E33" s="447"/>
      <c r="F33" s="447"/>
      <c r="G33" s="447"/>
      <c r="H33" s="447"/>
      <c r="I33" s="447"/>
      <c r="J33" s="447"/>
      <c r="K33" s="447"/>
      <c r="L33" s="447"/>
      <c r="M33" s="447"/>
      <c r="N33" s="447"/>
      <c r="O33" s="447"/>
      <c r="P33" s="447"/>
      <c r="Q33" s="447"/>
      <c r="R33" s="447"/>
      <c r="S33" s="400"/>
      <c r="T33" s="400"/>
      <c r="U33" s="400"/>
      <c r="V33" s="400"/>
      <c r="W33" s="400"/>
      <c r="X33" s="400"/>
      <c r="Y33" s="400"/>
      <c r="Z33" s="400"/>
      <c r="AA33" s="400"/>
      <c r="AB33" s="400"/>
      <c r="AC33" s="400"/>
      <c r="AD33" s="400"/>
      <c r="AE33" s="400"/>
      <c r="AF33" s="400"/>
      <c r="AG33" s="400"/>
      <c r="AH33" s="400"/>
      <c r="AI33" s="400"/>
      <c r="AJ33" s="400"/>
      <c r="AK33" s="182" t="s">
        <v>257</v>
      </c>
      <c r="AL33" s="182"/>
      <c r="AM33" s="182"/>
      <c r="AN33" s="182"/>
      <c r="AO33" s="182"/>
      <c r="AP33" s="182"/>
      <c r="AQ33" s="182"/>
      <c r="AR33" s="182"/>
      <c r="AS33" s="182"/>
      <c r="AT33" s="182"/>
      <c r="AU33" s="182"/>
      <c r="AV33" s="182"/>
      <c r="AW33" s="182"/>
      <c r="AX33" s="182"/>
      <c r="AY33" s="182"/>
      <c r="AZ33" s="182"/>
      <c r="BA33" s="182"/>
      <c r="BB33" s="182"/>
      <c r="BJ33" s="131"/>
    </row>
    <row r="34" spans="1:62" ht="12" customHeight="1" x14ac:dyDescent="0.2">
      <c r="A34" s="447"/>
      <c r="B34" s="447"/>
      <c r="C34" s="447"/>
      <c r="D34" s="447"/>
      <c r="E34" s="447"/>
      <c r="F34" s="447"/>
      <c r="G34" s="447"/>
      <c r="H34" s="447"/>
      <c r="I34" s="447"/>
      <c r="J34" s="447"/>
      <c r="K34" s="447"/>
      <c r="L34" s="447"/>
      <c r="M34" s="447"/>
      <c r="N34" s="447"/>
      <c r="O34" s="447"/>
      <c r="P34" s="447"/>
      <c r="Q34" s="447"/>
      <c r="R34" s="447"/>
      <c r="S34" s="400"/>
      <c r="T34" s="400"/>
      <c r="U34" s="400"/>
      <c r="V34" s="400"/>
      <c r="W34" s="400"/>
      <c r="X34" s="400"/>
      <c r="Y34" s="400"/>
      <c r="Z34" s="400"/>
      <c r="AA34" s="400"/>
      <c r="AB34" s="400"/>
      <c r="AC34" s="400"/>
      <c r="AD34" s="400"/>
      <c r="AE34" s="400"/>
      <c r="AF34" s="400"/>
      <c r="AG34" s="400"/>
      <c r="AH34" s="400"/>
      <c r="AI34" s="400"/>
      <c r="AJ34" s="400"/>
      <c r="AK34" s="182" t="s">
        <v>238</v>
      </c>
      <c r="AL34" s="182"/>
      <c r="AM34" s="182"/>
      <c r="AN34" s="182"/>
      <c r="AO34" s="182"/>
      <c r="AP34" s="182"/>
      <c r="AQ34" s="182"/>
      <c r="AR34" s="182"/>
      <c r="AS34" s="182"/>
      <c r="AT34" s="182"/>
      <c r="AU34" s="182"/>
      <c r="AV34" s="182"/>
      <c r="AW34" s="182"/>
      <c r="AX34" s="182"/>
      <c r="AY34" s="182"/>
      <c r="AZ34" s="182"/>
      <c r="BA34" s="182"/>
      <c r="BB34" s="182"/>
      <c r="BJ34" s="131"/>
    </row>
    <row r="35" spans="1:62" ht="12" customHeight="1" x14ac:dyDescent="0.2">
      <c r="A35" s="447"/>
      <c r="B35" s="447"/>
      <c r="C35" s="447"/>
      <c r="D35" s="447"/>
      <c r="E35" s="447"/>
      <c r="F35" s="447"/>
      <c r="G35" s="447"/>
      <c r="H35" s="447"/>
      <c r="I35" s="447"/>
      <c r="J35" s="447"/>
      <c r="K35" s="447"/>
      <c r="L35" s="447"/>
      <c r="M35" s="447"/>
      <c r="N35" s="447"/>
      <c r="O35" s="447"/>
      <c r="P35" s="447"/>
      <c r="Q35" s="447"/>
      <c r="R35" s="447"/>
      <c r="S35" s="400"/>
      <c r="T35" s="400"/>
      <c r="U35" s="400"/>
      <c r="V35" s="400"/>
      <c r="W35" s="400"/>
      <c r="X35" s="400"/>
      <c r="Y35" s="400"/>
      <c r="Z35" s="400"/>
      <c r="AA35" s="400"/>
      <c r="AB35" s="400"/>
      <c r="AC35" s="400"/>
      <c r="AD35" s="400"/>
      <c r="AE35" s="400"/>
      <c r="AF35" s="400"/>
      <c r="AG35" s="400"/>
      <c r="AH35" s="400"/>
      <c r="AI35" s="400"/>
      <c r="AJ35" s="400"/>
      <c r="AK35" s="182"/>
      <c r="AL35" s="182"/>
      <c r="AM35" s="182"/>
      <c r="AN35" s="182"/>
      <c r="AO35" s="182"/>
      <c r="AP35" s="182"/>
      <c r="AQ35" s="182"/>
      <c r="AR35" s="182"/>
      <c r="AS35" s="182"/>
      <c r="AT35" s="182"/>
      <c r="AU35" s="182"/>
      <c r="AV35" s="182"/>
      <c r="AW35" s="182"/>
      <c r="AX35" s="182"/>
      <c r="AY35" s="182"/>
      <c r="AZ35" s="182"/>
      <c r="BA35" s="182"/>
      <c r="BB35" s="182"/>
    </row>
    <row r="36" spans="1:62" ht="12" customHeight="1" x14ac:dyDescent="0.2">
      <c r="A36" s="447"/>
      <c r="B36" s="447"/>
      <c r="C36" s="447"/>
      <c r="D36" s="447"/>
      <c r="E36" s="447"/>
      <c r="F36" s="447"/>
      <c r="G36" s="447"/>
      <c r="H36" s="447"/>
      <c r="I36" s="447"/>
      <c r="J36" s="447"/>
      <c r="K36" s="447"/>
      <c r="L36" s="447"/>
      <c r="M36" s="447"/>
      <c r="N36" s="447"/>
      <c r="O36" s="447"/>
      <c r="P36" s="447"/>
      <c r="Q36" s="447"/>
      <c r="R36" s="447"/>
      <c r="S36" s="400"/>
      <c r="T36" s="400"/>
      <c r="U36" s="400"/>
      <c r="V36" s="400"/>
      <c r="W36" s="400"/>
      <c r="X36" s="400"/>
      <c r="Y36" s="400"/>
      <c r="Z36" s="400"/>
      <c r="AA36" s="400"/>
      <c r="AB36" s="400"/>
      <c r="AC36" s="400"/>
      <c r="AD36" s="400"/>
      <c r="AE36" s="400"/>
      <c r="AF36" s="400"/>
      <c r="AG36" s="400"/>
      <c r="AH36" s="400"/>
      <c r="AI36" s="400"/>
      <c r="AJ36" s="400"/>
      <c r="AK36" s="156"/>
      <c r="AL36" s="156"/>
      <c r="AM36" s="156"/>
      <c r="AN36" s="156"/>
      <c r="AO36" s="156"/>
      <c r="AP36" s="156"/>
      <c r="AQ36" s="156"/>
      <c r="AR36" s="156"/>
      <c r="AS36" s="156"/>
      <c r="AT36" s="156"/>
      <c r="AU36" s="156"/>
      <c r="AV36" s="156"/>
      <c r="AW36" s="156"/>
      <c r="AX36" s="156"/>
      <c r="AY36" s="156"/>
      <c r="AZ36" s="156"/>
      <c r="BA36" s="156"/>
      <c r="BB36" s="156"/>
    </row>
    <row r="37" spans="1:62" ht="12" customHeight="1" x14ac:dyDescent="0.2">
      <c r="A37" s="447"/>
      <c r="B37" s="447"/>
      <c r="C37" s="447"/>
      <c r="D37" s="447"/>
      <c r="E37" s="447"/>
      <c r="F37" s="447"/>
      <c r="G37" s="447"/>
      <c r="H37" s="447"/>
      <c r="I37" s="447"/>
      <c r="J37" s="447"/>
      <c r="K37" s="447"/>
      <c r="L37" s="447"/>
      <c r="M37" s="447"/>
      <c r="N37" s="447"/>
      <c r="O37" s="447"/>
      <c r="P37" s="447"/>
      <c r="Q37" s="447"/>
      <c r="R37" s="447"/>
      <c r="S37" s="400"/>
      <c r="T37" s="400"/>
      <c r="U37" s="400"/>
      <c r="V37" s="400"/>
      <c r="W37" s="400"/>
      <c r="X37" s="400"/>
      <c r="Y37" s="400"/>
      <c r="Z37" s="400"/>
      <c r="AA37" s="400"/>
      <c r="AB37" s="400"/>
      <c r="AC37" s="400"/>
      <c r="AD37" s="400"/>
      <c r="AE37" s="400"/>
      <c r="AF37" s="400"/>
      <c r="AG37" s="400"/>
      <c r="AH37" s="400"/>
      <c r="AI37" s="400"/>
      <c r="AJ37" s="400"/>
      <c r="AK37" s="156"/>
      <c r="AL37" s="156"/>
      <c r="AM37" s="156"/>
      <c r="AN37" s="156"/>
      <c r="AO37" s="156"/>
      <c r="AP37" s="156"/>
      <c r="AQ37" s="156"/>
      <c r="AR37" s="156"/>
      <c r="AS37" s="156"/>
      <c r="AT37" s="156"/>
      <c r="AU37" s="156"/>
      <c r="AV37" s="156"/>
      <c r="AW37" s="156"/>
      <c r="AX37" s="156"/>
      <c r="AY37" s="156"/>
      <c r="AZ37" s="156"/>
      <c r="BA37" s="156"/>
      <c r="BB37" s="156"/>
    </row>
    <row r="38" spans="1:62" ht="12" customHeight="1" x14ac:dyDescent="0.2">
      <c r="A38" s="447"/>
      <c r="B38" s="447"/>
      <c r="C38" s="447"/>
      <c r="D38" s="447"/>
      <c r="E38" s="447"/>
      <c r="F38" s="447"/>
      <c r="G38" s="447"/>
      <c r="H38" s="447"/>
      <c r="I38" s="447"/>
      <c r="J38" s="447"/>
      <c r="K38" s="447"/>
      <c r="L38" s="447"/>
      <c r="M38" s="447"/>
      <c r="N38" s="447"/>
      <c r="O38" s="447"/>
      <c r="P38" s="447"/>
      <c r="Q38" s="447"/>
      <c r="R38" s="447"/>
      <c r="S38" s="400"/>
      <c r="T38" s="400"/>
      <c r="U38" s="400"/>
      <c r="V38" s="400"/>
      <c r="W38" s="400"/>
      <c r="X38" s="400"/>
      <c r="Y38" s="400"/>
      <c r="Z38" s="400"/>
      <c r="AA38" s="400"/>
      <c r="AB38" s="400"/>
      <c r="AC38" s="400"/>
      <c r="AD38" s="400"/>
      <c r="AE38" s="400"/>
      <c r="AF38" s="400"/>
      <c r="AG38" s="400"/>
      <c r="AH38" s="400"/>
      <c r="AI38" s="400"/>
      <c r="AJ38" s="400"/>
      <c r="AK38" s="156"/>
      <c r="AL38" s="156"/>
      <c r="AM38" s="156"/>
      <c r="AN38" s="156"/>
      <c r="AO38" s="156"/>
      <c r="AP38" s="156"/>
      <c r="AQ38" s="156"/>
      <c r="AR38" s="156"/>
      <c r="AS38" s="156"/>
      <c r="AT38" s="156"/>
      <c r="AU38" s="156"/>
      <c r="AV38" s="156"/>
      <c r="AW38" s="156"/>
      <c r="AX38" s="156"/>
      <c r="AY38" s="156"/>
      <c r="AZ38" s="156"/>
      <c r="BA38" s="156"/>
      <c r="BB38" s="156"/>
    </row>
    <row r="39" spans="1:62" ht="12" customHeight="1" x14ac:dyDescent="0.2">
      <c r="A39" s="447"/>
      <c r="B39" s="447"/>
      <c r="C39" s="447"/>
      <c r="D39" s="447"/>
      <c r="E39" s="447"/>
      <c r="F39" s="447"/>
      <c r="G39" s="447"/>
      <c r="H39" s="447"/>
      <c r="I39" s="447"/>
      <c r="J39" s="447"/>
      <c r="K39" s="447"/>
      <c r="L39" s="447"/>
      <c r="M39" s="447"/>
      <c r="N39" s="447"/>
      <c r="O39" s="447"/>
      <c r="P39" s="447"/>
      <c r="Q39" s="447"/>
      <c r="R39" s="447"/>
      <c r="S39" s="400"/>
      <c r="T39" s="400"/>
      <c r="U39" s="400"/>
      <c r="V39" s="400"/>
      <c r="W39" s="400"/>
      <c r="X39" s="400"/>
      <c r="Y39" s="400"/>
      <c r="Z39" s="400"/>
      <c r="AA39" s="400"/>
      <c r="AB39" s="400"/>
      <c r="AC39" s="400"/>
      <c r="AD39" s="400"/>
      <c r="AE39" s="400"/>
      <c r="AF39" s="400"/>
      <c r="AG39" s="400"/>
      <c r="AH39" s="400"/>
      <c r="AI39" s="400"/>
      <c r="AJ39" s="400"/>
      <c r="AK39" s="156"/>
      <c r="AL39" s="156"/>
      <c r="AM39" s="156"/>
      <c r="AN39" s="156"/>
      <c r="AO39" s="156"/>
      <c r="AP39" s="156"/>
      <c r="AQ39" s="156"/>
      <c r="AR39" s="156"/>
      <c r="AS39" s="156"/>
      <c r="AT39" s="156"/>
      <c r="AU39" s="156"/>
      <c r="AV39" s="156"/>
      <c r="AW39" s="156"/>
      <c r="AX39" s="156"/>
      <c r="AY39" s="156"/>
      <c r="AZ39" s="156"/>
      <c r="BA39" s="156"/>
      <c r="BB39" s="156"/>
    </row>
    <row r="40" spans="1:62" ht="12" customHeight="1" x14ac:dyDescent="0.2">
      <c r="A40" s="447"/>
      <c r="B40" s="447"/>
      <c r="C40" s="447"/>
      <c r="D40" s="447"/>
      <c r="E40" s="447"/>
      <c r="F40" s="447"/>
      <c r="G40" s="447"/>
      <c r="H40" s="447"/>
      <c r="I40" s="447"/>
      <c r="J40" s="447"/>
      <c r="K40" s="447"/>
      <c r="L40" s="447"/>
      <c r="M40" s="447"/>
      <c r="N40" s="447"/>
      <c r="O40" s="447"/>
      <c r="P40" s="447"/>
      <c r="Q40" s="447"/>
      <c r="R40" s="447"/>
      <c r="S40" s="400"/>
      <c r="T40" s="400"/>
      <c r="U40" s="400"/>
      <c r="V40" s="400"/>
      <c r="W40" s="400"/>
      <c r="X40" s="400"/>
      <c r="Y40" s="400"/>
      <c r="Z40" s="400"/>
      <c r="AA40" s="400"/>
      <c r="AB40" s="400"/>
      <c r="AC40" s="400"/>
      <c r="AD40" s="400"/>
      <c r="AE40" s="400"/>
      <c r="AF40" s="400"/>
      <c r="AG40" s="400"/>
      <c r="AH40" s="400"/>
      <c r="AI40" s="400"/>
      <c r="AJ40" s="400"/>
      <c r="AK40" s="156"/>
      <c r="AL40" s="156"/>
      <c r="AM40" s="156"/>
      <c r="AN40" s="156"/>
      <c r="AO40" s="156"/>
      <c r="AP40" s="156"/>
      <c r="AQ40" s="156"/>
      <c r="AR40" s="156"/>
      <c r="AS40" s="156"/>
      <c r="AT40" s="156"/>
      <c r="AU40" s="156"/>
      <c r="AV40" s="156"/>
      <c r="AW40" s="156"/>
      <c r="AX40" s="156"/>
      <c r="AY40" s="156"/>
      <c r="AZ40" s="156"/>
      <c r="BA40" s="156"/>
      <c r="BB40" s="156"/>
    </row>
    <row r="41" spans="1:62" ht="12" customHeight="1" x14ac:dyDescent="0.2">
      <c r="A41" s="447"/>
      <c r="B41" s="447"/>
      <c r="C41" s="447"/>
      <c r="D41" s="447"/>
      <c r="E41" s="447"/>
      <c r="F41" s="447"/>
      <c r="G41" s="447"/>
      <c r="H41" s="447"/>
      <c r="I41" s="447"/>
      <c r="J41" s="447"/>
      <c r="K41" s="447"/>
      <c r="L41" s="447"/>
      <c r="M41" s="447"/>
      <c r="N41" s="447"/>
      <c r="O41" s="447"/>
      <c r="P41" s="447"/>
      <c r="Q41" s="447"/>
      <c r="R41" s="447"/>
      <c r="S41" s="400"/>
      <c r="T41" s="400"/>
      <c r="U41" s="400"/>
      <c r="V41" s="400"/>
      <c r="W41" s="400"/>
      <c r="X41" s="400"/>
      <c r="Y41" s="400"/>
      <c r="Z41" s="400"/>
      <c r="AA41" s="400"/>
      <c r="AB41" s="400"/>
      <c r="AC41" s="400"/>
      <c r="AD41" s="400"/>
      <c r="AE41" s="400"/>
      <c r="AF41" s="400"/>
      <c r="AG41" s="400"/>
      <c r="AH41" s="400"/>
      <c r="AI41" s="400"/>
      <c r="AJ41" s="400"/>
      <c r="AK41" s="156"/>
      <c r="AL41" s="156"/>
      <c r="AM41" s="156"/>
      <c r="AN41" s="156"/>
      <c r="AO41" s="156"/>
      <c r="AP41" s="156"/>
      <c r="AQ41" s="156"/>
      <c r="AR41" s="156"/>
      <c r="AS41" s="156"/>
      <c r="AT41" s="156"/>
      <c r="AU41" s="156"/>
      <c r="AV41" s="156"/>
      <c r="AW41" s="156"/>
      <c r="AX41" s="156"/>
      <c r="AY41" s="156"/>
      <c r="AZ41" s="156"/>
      <c r="BA41" s="156"/>
      <c r="BB41" s="156"/>
    </row>
    <row r="42" spans="1:62" ht="12" customHeight="1" x14ac:dyDescent="0.2">
      <c r="A42" s="447"/>
      <c r="B42" s="447"/>
      <c r="C42" s="447"/>
      <c r="D42" s="447"/>
      <c r="E42" s="447"/>
      <c r="F42" s="447"/>
      <c r="G42" s="447"/>
      <c r="H42" s="447"/>
      <c r="I42" s="447"/>
      <c r="J42" s="447"/>
      <c r="K42" s="447"/>
      <c r="L42" s="447"/>
      <c r="M42" s="447"/>
      <c r="N42" s="447"/>
      <c r="O42" s="447"/>
      <c r="P42" s="447"/>
      <c r="Q42" s="447"/>
      <c r="R42" s="447"/>
      <c r="S42" s="400"/>
      <c r="T42" s="400"/>
      <c r="U42" s="400"/>
      <c r="V42" s="400"/>
      <c r="W42" s="400"/>
      <c r="X42" s="400"/>
      <c r="Y42" s="400"/>
      <c r="Z42" s="400"/>
      <c r="AA42" s="400"/>
      <c r="AB42" s="400"/>
      <c r="AC42" s="400"/>
      <c r="AD42" s="400"/>
      <c r="AE42" s="400"/>
      <c r="AF42" s="400"/>
      <c r="AG42" s="400"/>
      <c r="AH42" s="400"/>
      <c r="AI42" s="400"/>
      <c r="AJ42" s="400"/>
      <c r="AK42" s="156"/>
      <c r="AL42" s="156"/>
      <c r="AM42" s="156"/>
      <c r="AN42" s="156"/>
      <c r="AO42" s="156"/>
      <c r="AP42" s="156"/>
      <c r="AQ42" s="156"/>
      <c r="AR42" s="156"/>
      <c r="AS42" s="156"/>
      <c r="AT42" s="156"/>
      <c r="AU42" s="156"/>
      <c r="AV42" s="156"/>
      <c r="AW42" s="156"/>
      <c r="AX42" s="156"/>
      <c r="AY42" s="156"/>
      <c r="AZ42" s="156"/>
      <c r="BA42" s="156"/>
      <c r="BB42" s="156"/>
    </row>
    <row r="43" spans="1:62" ht="12" customHeight="1" x14ac:dyDescent="0.2">
      <c r="A43" s="447"/>
      <c r="B43" s="447"/>
      <c r="C43" s="447"/>
      <c r="D43" s="447"/>
      <c r="E43" s="447"/>
      <c r="F43" s="447"/>
      <c r="G43" s="447"/>
      <c r="H43" s="447"/>
      <c r="I43" s="447"/>
      <c r="J43" s="447"/>
      <c r="K43" s="447"/>
      <c r="L43" s="447"/>
      <c r="M43" s="447"/>
      <c r="N43" s="447"/>
      <c r="O43" s="447"/>
      <c r="P43" s="447"/>
      <c r="Q43" s="447"/>
      <c r="R43" s="447"/>
      <c r="S43" s="400"/>
      <c r="T43" s="400"/>
      <c r="U43" s="400"/>
      <c r="V43" s="400"/>
      <c r="W43" s="400"/>
      <c r="X43" s="400"/>
      <c r="Y43" s="400"/>
      <c r="Z43" s="400"/>
      <c r="AA43" s="400"/>
      <c r="AB43" s="400"/>
      <c r="AC43" s="400"/>
      <c r="AD43" s="400"/>
      <c r="AE43" s="400"/>
      <c r="AF43" s="400"/>
      <c r="AG43" s="400"/>
      <c r="AH43" s="400"/>
      <c r="AI43" s="400"/>
      <c r="AJ43" s="400"/>
      <c r="AK43" s="156"/>
      <c r="AL43" s="156"/>
      <c r="AM43" s="156"/>
      <c r="AN43" s="156"/>
      <c r="AO43" s="156"/>
      <c r="AP43" s="156"/>
      <c r="AQ43" s="156"/>
      <c r="AR43" s="156"/>
      <c r="AS43" s="156"/>
      <c r="AT43" s="156"/>
      <c r="AU43" s="156"/>
      <c r="AV43" s="156"/>
      <c r="AW43" s="156"/>
      <c r="AX43" s="156"/>
      <c r="AY43" s="156"/>
      <c r="AZ43" s="156"/>
      <c r="BA43" s="156"/>
      <c r="BB43" s="156"/>
    </row>
    <row r="44" spans="1:62" ht="12" customHeight="1" x14ac:dyDescent="0.2">
      <c r="A44" s="447"/>
      <c r="B44" s="447"/>
      <c r="C44" s="447"/>
      <c r="D44" s="447"/>
      <c r="E44" s="447"/>
      <c r="F44" s="447"/>
      <c r="G44" s="447"/>
      <c r="H44" s="447"/>
      <c r="I44" s="447"/>
      <c r="J44" s="447"/>
      <c r="K44" s="447"/>
      <c r="L44" s="447"/>
      <c r="M44" s="447"/>
      <c r="N44" s="447"/>
      <c r="O44" s="447"/>
      <c r="P44" s="447"/>
      <c r="Q44" s="447"/>
      <c r="R44" s="447"/>
      <c r="S44" s="400"/>
      <c r="T44" s="400"/>
      <c r="U44" s="400"/>
      <c r="V44" s="400"/>
      <c r="W44" s="400"/>
      <c r="X44" s="400"/>
      <c r="Y44" s="400"/>
      <c r="Z44" s="400"/>
      <c r="AA44" s="400"/>
      <c r="AB44" s="400"/>
      <c r="AC44" s="400"/>
      <c r="AD44" s="400"/>
      <c r="AE44" s="400"/>
      <c r="AF44" s="400"/>
      <c r="AG44" s="400"/>
      <c r="AH44" s="400"/>
      <c r="AI44" s="400"/>
      <c r="AJ44" s="400"/>
      <c r="AK44" s="156"/>
      <c r="AL44" s="156"/>
      <c r="AM44" s="156"/>
      <c r="AN44" s="156"/>
      <c r="AO44" s="156"/>
      <c r="AP44" s="156"/>
      <c r="AQ44" s="156"/>
      <c r="AR44" s="156"/>
      <c r="AS44" s="156"/>
      <c r="AT44" s="156"/>
      <c r="AU44" s="156"/>
      <c r="AV44" s="156"/>
      <c r="AW44" s="156"/>
      <c r="AX44" s="156"/>
      <c r="AY44" s="156"/>
      <c r="AZ44" s="156"/>
      <c r="BA44" s="156"/>
      <c r="BB44" s="156"/>
    </row>
    <row r="45" spans="1:62" ht="12" customHeight="1" x14ac:dyDescent="0.2">
      <c r="A45" s="447"/>
      <c r="B45" s="447"/>
      <c r="C45" s="447"/>
      <c r="D45" s="447"/>
      <c r="E45" s="447"/>
      <c r="F45" s="447"/>
      <c r="G45" s="447"/>
      <c r="H45" s="447"/>
      <c r="I45" s="447"/>
      <c r="J45" s="447"/>
      <c r="K45" s="447"/>
      <c r="L45" s="447"/>
      <c r="M45" s="447"/>
      <c r="N45" s="447"/>
      <c r="O45" s="447"/>
      <c r="P45" s="447"/>
      <c r="Q45" s="447"/>
      <c r="R45" s="447"/>
      <c r="S45" s="400"/>
      <c r="T45" s="400"/>
      <c r="U45" s="400"/>
      <c r="V45" s="400"/>
      <c r="W45" s="400"/>
      <c r="X45" s="400"/>
      <c r="Y45" s="400"/>
      <c r="Z45" s="400"/>
      <c r="AA45" s="400"/>
      <c r="AB45" s="400"/>
      <c r="AC45" s="400"/>
      <c r="AD45" s="400"/>
      <c r="AE45" s="400"/>
      <c r="AF45" s="400"/>
      <c r="AG45" s="400"/>
      <c r="AH45" s="400"/>
      <c r="AI45" s="400"/>
      <c r="AJ45" s="400"/>
      <c r="AK45" s="156"/>
      <c r="AL45" s="156"/>
      <c r="AM45" s="156"/>
      <c r="AN45" s="156"/>
      <c r="AO45" s="156"/>
      <c r="AP45" s="156"/>
      <c r="AQ45" s="156"/>
      <c r="AR45" s="156"/>
      <c r="AS45" s="156"/>
      <c r="AT45" s="156"/>
      <c r="AU45" s="156"/>
      <c r="AV45" s="156"/>
      <c r="AW45" s="156"/>
      <c r="AX45" s="156"/>
      <c r="AY45" s="156"/>
      <c r="AZ45" s="156"/>
      <c r="BA45" s="156"/>
      <c r="BB45" s="156"/>
    </row>
    <row r="46" spans="1:62" ht="12" customHeight="1" x14ac:dyDescent="0.2">
      <c r="A46" s="447"/>
      <c r="B46" s="447"/>
      <c r="C46" s="447"/>
      <c r="D46" s="447"/>
      <c r="E46" s="447"/>
      <c r="F46" s="447"/>
      <c r="G46" s="447"/>
      <c r="H46" s="447"/>
      <c r="I46" s="447"/>
      <c r="J46" s="447"/>
      <c r="K46" s="447"/>
      <c r="L46" s="447"/>
      <c r="M46" s="447"/>
      <c r="N46" s="447"/>
      <c r="O46" s="447"/>
      <c r="P46" s="447"/>
      <c r="Q46" s="447"/>
      <c r="R46" s="447"/>
      <c r="S46" s="400"/>
      <c r="T46" s="400"/>
      <c r="U46" s="400"/>
      <c r="V46" s="400"/>
      <c r="W46" s="400"/>
      <c r="X46" s="400"/>
      <c r="Y46" s="400"/>
      <c r="Z46" s="400"/>
      <c r="AA46" s="400"/>
      <c r="AB46" s="400"/>
      <c r="AC46" s="400"/>
      <c r="AD46" s="400"/>
      <c r="AE46" s="400"/>
      <c r="AF46" s="400"/>
      <c r="AG46" s="400"/>
      <c r="AH46" s="400"/>
      <c r="AI46" s="400"/>
      <c r="AJ46" s="400"/>
      <c r="AK46" s="156"/>
      <c r="AL46" s="156"/>
      <c r="AM46" s="156"/>
      <c r="AN46" s="156"/>
      <c r="AO46" s="156"/>
      <c r="AP46" s="156"/>
      <c r="AQ46" s="156"/>
      <c r="AR46" s="156"/>
      <c r="AS46" s="156"/>
      <c r="AT46" s="156"/>
      <c r="AU46" s="156"/>
      <c r="AV46" s="156"/>
      <c r="AW46" s="156"/>
      <c r="AX46" s="156"/>
      <c r="AY46" s="156"/>
      <c r="AZ46" s="156"/>
      <c r="BA46" s="156"/>
      <c r="BB46" s="156"/>
    </row>
    <row r="47" spans="1:62" ht="12" customHeight="1" x14ac:dyDescent="0.2">
      <c r="A47" s="447"/>
      <c r="B47" s="447"/>
      <c r="C47" s="447"/>
      <c r="D47" s="447"/>
      <c r="E47" s="447"/>
      <c r="F47" s="447"/>
      <c r="G47" s="447"/>
      <c r="H47" s="447"/>
      <c r="I47" s="447"/>
      <c r="J47" s="447"/>
      <c r="K47" s="447"/>
      <c r="L47" s="447"/>
      <c r="M47" s="447"/>
      <c r="N47" s="447"/>
      <c r="O47" s="447"/>
      <c r="P47" s="447"/>
      <c r="Q47" s="447"/>
      <c r="R47" s="447"/>
      <c r="S47" s="400"/>
      <c r="T47" s="400"/>
      <c r="U47" s="400"/>
      <c r="V47" s="400"/>
      <c r="W47" s="400"/>
      <c r="X47" s="400"/>
      <c r="Y47" s="400"/>
      <c r="Z47" s="400"/>
      <c r="AA47" s="400"/>
      <c r="AB47" s="400"/>
      <c r="AC47" s="400"/>
      <c r="AD47" s="400"/>
      <c r="AE47" s="400"/>
      <c r="AF47" s="400"/>
      <c r="AG47" s="400"/>
      <c r="AH47" s="400"/>
      <c r="AI47" s="400"/>
      <c r="AJ47" s="400"/>
      <c r="AK47" s="156"/>
      <c r="AL47" s="156"/>
      <c r="AM47" s="156"/>
      <c r="AN47" s="156"/>
      <c r="AO47" s="156"/>
      <c r="AP47" s="156"/>
      <c r="AQ47" s="156"/>
      <c r="AR47" s="156"/>
      <c r="AS47" s="156"/>
      <c r="AT47" s="156"/>
      <c r="AU47" s="156"/>
      <c r="AV47" s="156"/>
      <c r="AW47" s="156"/>
      <c r="AX47" s="156"/>
      <c r="AY47" s="156"/>
      <c r="AZ47" s="156"/>
      <c r="BA47" s="156"/>
      <c r="BB47" s="156"/>
    </row>
    <row r="48" spans="1:62" ht="12" customHeight="1" x14ac:dyDescent="0.2">
      <c r="A48" s="447"/>
      <c r="B48" s="447"/>
      <c r="C48" s="447"/>
      <c r="D48" s="447"/>
      <c r="E48" s="447"/>
      <c r="F48" s="447"/>
      <c r="G48" s="447"/>
      <c r="H48" s="447"/>
      <c r="I48" s="447"/>
      <c r="J48" s="447"/>
      <c r="K48" s="447"/>
      <c r="L48" s="447"/>
      <c r="M48" s="447"/>
      <c r="N48" s="447"/>
      <c r="O48" s="447"/>
      <c r="P48" s="447"/>
      <c r="Q48" s="447"/>
      <c r="R48" s="447"/>
      <c r="S48" s="400"/>
      <c r="T48" s="400"/>
      <c r="U48" s="400"/>
      <c r="V48" s="400"/>
      <c r="W48" s="400"/>
      <c r="X48" s="400"/>
      <c r="Y48" s="400"/>
      <c r="Z48" s="400"/>
      <c r="AA48" s="400"/>
      <c r="AB48" s="400"/>
      <c r="AC48" s="400"/>
      <c r="AD48" s="400"/>
      <c r="AE48" s="400"/>
      <c r="AF48" s="400"/>
      <c r="AG48" s="400"/>
      <c r="AH48" s="400"/>
      <c r="AI48" s="400"/>
      <c r="AJ48" s="400"/>
      <c r="AK48" s="156"/>
      <c r="AL48" s="156"/>
      <c r="AM48" s="156"/>
      <c r="AN48" s="156"/>
      <c r="AO48" s="156"/>
      <c r="AP48" s="156"/>
      <c r="AQ48" s="156"/>
      <c r="AR48" s="156"/>
      <c r="AS48" s="156"/>
      <c r="AT48" s="156"/>
      <c r="AU48" s="156"/>
      <c r="AV48" s="156"/>
      <c r="AW48" s="156"/>
      <c r="AX48" s="156"/>
      <c r="AY48" s="156"/>
      <c r="AZ48" s="156"/>
      <c r="BA48" s="156"/>
      <c r="BB48" s="156"/>
    </row>
    <row r="49" spans="1:54" ht="12" customHeight="1" x14ac:dyDescent="0.2">
      <c r="A49" s="447"/>
      <c r="B49" s="447"/>
      <c r="C49" s="447"/>
      <c r="D49" s="447"/>
      <c r="E49" s="447"/>
      <c r="F49" s="447"/>
      <c r="G49" s="447"/>
      <c r="H49" s="447"/>
      <c r="I49" s="447"/>
      <c r="J49" s="447"/>
      <c r="K49" s="447"/>
      <c r="L49" s="447"/>
      <c r="M49" s="447"/>
      <c r="N49" s="447"/>
      <c r="O49" s="447"/>
      <c r="P49" s="447"/>
      <c r="Q49" s="447"/>
      <c r="R49" s="447"/>
      <c r="S49" s="400"/>
      <c r="T49" s="400"/>
      <c r="U49" s="400"/>
      <c r="V49" s="400"/>
      <c r="W49" s="400"/>
      <c r="X49" s="400"/>
      <c r="Y49" s="400"/>
      <c r="Z49" s="400"/>
      <c r="AA49" s="400"/>
      <c r="AB49" s="400"/>
      <c r="AC49" s="400"/>
      <c r="AD49" s="400"/>
      <c r="AE49" s="400"/>
      <c r="AF49" s="400"/>
      <c r="AG49" s="400"/>
      <c r="AH49" s="400"/>
      <c r="AI49" s="400"/>
      <c r="AJ49" s="400"/>
      <c r="AK49" s="156"/>
      <c r="AL49" s="156"/>
      <c r="AM49" s="156"/>
      <c r="AN49" s="156"/>
      <c r="AO49" s="156"/>
      <c r="AP49" s="156"/>
      <c r="AQ49" s="156"/>
      <c r="AR49" s="156"/>
      <c r="AS49" s="156"/>
      <c r="AT49" s="156"/>
      <c r="AU49" s="156"/>
      <c r="AV49" s="156"/>
      <c r="AW49" s="156"/>
      <c r="AX49" s="156"/>
      <c r="AY49" s="156"/>
      <c r="AZ49" s="156"/>
      <c r="BA49" s="156"/>
      <c r="BB49" s="156"/>
    </row>
    <row r="50" spans="1:54" ht="12" customHeight="1" thickBot="1" x14ac:dyDescent="0.25">
      <c r="A50" s="450"/>
      <c r="B50" s="450"/>
      <c r="C50" s="450"/>
      <c r="D50" s="450"/>
      <c r="E50" s="450"/>
      <c r="F50" s="450"/>
      <c r="G50" s="450"/>
      <c r="H50" s="450"/>
      <c r="I50" s="450"/>
      <c r="J50" s="450"/>
      <c r="K50" s="450"/>
      <c r="L50" s="450"/>
      <c r="M50" s="450"/>
      <c r="N50" s="450"/>
      <c r="O50" s="450"/>
      <c r="P50" s="450"/>
      <c r="Q50" s="450"/>
      <c r="R50" s="450"/>
      <c r="S50" s="451"/>
      <c r="T50" s="451"/>
      <c r="U50" s="451"/>
      <c r="V50" s="451"/>
      <c r="W50" s="451"/>
      <c r="X50" s="451"/>
      <c r="Y50" s="451"/>
      <c r="Z50" s="451"/>
      <c r="AA50" s="451"/>
      <c r="AB50" s="451"/>
      <c r="AC50" s="451"/>
      <c r="AD50" s="451"/>
      <c r="AE50" s="451"/>
      <c r="AF50" s="451"/>
      <c r="AG50" s="451"/>
      <c r="AH50" s="451"/>
      <c r="AI50" s="451"/>
      <c r="AJ50" s="451"/>
      <c r="AK50" s="448"/>
      <c r="AL50" s="448"/>
      <c r="AM50" s="448"/>
      <c r="AN50" s="448"/>
      <c r="AO50" s="448"/>
      <c r="AP50" s="448"/>
      <c r="AQ50" s="448"/>
      <c r="AR50" s="448"/>
      <c r="AS50" s="448"/>
      <c r="AT50" s="448"/>
      <c r="AU50" s="448"/>
      <c r="AV50" s="448"/>
      <c r="AW50" s="448"/>
      <c r="AX50" s="448"/>
      <c r="AY50" s="448"/>
      <c r="AZ50" s="448"/>
      <c r="BA50" s="448"/>
      <c r="BB50" s="448"/>
    </row>
    <row r="51" spans="1:54" ht="12" customHeight="1" x14ac:dyDescent="0.2">
      <c r="A51" s="336" t="s">
        <v>35</v>
      </c>
      <c r="B51" s="336"/>
      <c r="C51" s="336"/>
      <c r="D51" s="336"/>
      <c r="E51" s="336"/>
      <c r="F51" s="336"/>
      <c r="G51" s="336"/>
      <c r="H51" s="336"/>
      <c r="I51" s="336"/>
      <c r="J51" s="336"/>
      <c r="K51" s="336"/>
      <c r="L51" s="336"/>
      <c r="M51" s="336"/>
      <c r="N51" s="336"/>
      <c r="O51" s="336"/>
      <c r="P51" s="336"/>
      <c r="Q51" s="336"/>
      <c r="R51" s="336"/>
      <c r="S51" s="336"/>
      <c r="T51" s="336"/>
      <c r="U51" s="336"/>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336"/>
      <c r="BB51" s="336"/>
    </row>
    <row r="52" spans="1:54" ht="12" customHeight="1" x14ac:dyDescent="0.2">
      <c r="A52" s="219"/>
      <c r="B52" s="219"/>
      <c r="C52" s="219"/>
      <c r="D52" s="219"/>
      <c r="E52" s="219"/>
      <c r="F52" s="219"/>
      <c r="G52" s="219"/>
      <c r="H52" s="219"/>
      <c r="I52" s="219"/>
      <c r="J52" s="219"/>
      <c r="K52" s="219"/>
      <c r="L52" s="219"/>
      <c r="M52" s="219"/>
      <c r="N52" s="219"/>
      <c r="O52" s="219"/>
      <c r="P52" s="219"/>
      <c r="Q52" s="219"/>
      <c r="R52" s="219"/>
      <c r="S52" s="219"/>
      <c r="T52" s="219"/>
      <c r="U52" s="219"/>
      <c r="V52" s="219"/>
      <c r="W52" s="219"/>
      <c r="X52" s="219"/>
      <c r="Y52" s="219"/>
      <c r="Z52" s="219"/>
      <c r="AA52" s="219"/>
      <c r="AB52" s="219"/>
      <c r="AC52" s="219"/>
      <c r="AD52" s="219"/>
      <c r="AE52" s="219"/>
      <c r="AF52" s="219"/>
      <c r="AG52" s="219"/>
      <c r="AH52" s="219"/>
      <c r="AI52" s="219"/>
      <c r="AJ52" s="219"/>
      <c r="AK52" s="219"/>
      <c r="AL52" s="219"/>
      <c r="AM52" s="219"/>
      <c r="AN52" s="219"/>
      <c r="AO52" s="219"/>
      <c r="AP52" s="219"/>
      <c r="AQ52" s="219"/>
      <c r="AR52" s="219"/>
      <c r="AS52" s="219"/>
      <c r="AT52" s="219"/>
      <c r="AU52" s="219"/>
      <c r="AV52" s="219"/>
      <c r="AW52" s="219"/>
      <c r="AX52" s="219"/>
      <c r="AY52" s="219"/>
      <c r="AZ52" s="219"/>
      <c r="BA52" s="219"/>
      <c r="BB52" s="219"/>
    </row>
    <row r="53" spans="1:54" ht="12" customHeight="1" x14ac:dyDescent="0.2">
      <c r="A53" s="219"/>
      <c r="B53" s="219"/>
      <c r="C53" s="219"/>
      <c r="D53" s="219"/>
      <c r="E53" s="219"/>
      <c r="F53" s="219"/>
      <c r="G53" s="219"/>
      <c r="H53" s="219"/>
      <c r="I53" s="219"/>
      <c r="J53" s="219"/>
      <c r="K53" s="219"/>
      <c r="L53" s="219"/>
      <c r="M53" s="219"/>
      <c r="N53" s="219"/>
      <c r="O53" s="219"/>
      <c r="P53" s="219"/>
      <c r="Q53" s="219"/>
      <c r="R53" s="219"/>
      <c r="S53" s="219"/>
      <c r="T53" s="219"/>
      <c r="U53" s="219"/>
      <c r="V53" s="219"/>
      <c r="W53" s="219"/>
      <c r="X53" s="219"/>
      <c r="Y53" s="219"/>
      <c r="Z53" s="219"/>
      <c r="AA53" s="219"/>
      <c r="AB53" s="219"/>
      <c r="AC53" s="219"/>
      <c r="AD53" s="219"/>
      <c r="AE53" s="219"/>
      <c r="AF53" s="219"/>
      <c r="AG53" s="219"/>
      <c r="AH53" s="219"/>
      <c r="AI53" s="219"/>
      <c r="AJ53" s="219"/>
      <c r="AK53" s="219"/>
      <c r="AL53" s="219"/>
      <c r="AM53" s="219"/>
      <c r="AN53" s="219"/>
      <c r="AO53" s="219"/>
      <c r="AP53" s="219"/>
      <c r="AQ53" s="219"/>
      <c r="AR53" s="219"/>
      <c r="AS53" s="219"/>
      <c r="AT53" s="219"/>
      <c r="AU53" s="219"/>
      <c r="AV53" s="219"/>
      <c r="AW53" s="219"/>
      <c r="AX53" s="219"/>
      <c r="AY53" s="219"/>
      <c r="AZ53" s="219"/>
      <c r="BA53" s="219"/>
      <c r="BB53" s="219"/>
    </row>
    <row r="54" spans="1:54" ht="12" customHeight="1" x14ac:dyDescent="0.2">
      <c r="A54" s="219"/>
      <c r="B54" s="219"/>
      <c r="C54" s="219"/>
      <c r="D54" s="219"/>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219"/>
      <c r="AL54" s="219"/>
      <c r="AM54" s="219"/>
      <c r="AN54" s="219"/>
      <c r="AO54" s="219"/>
      <c r="AP54" s="219"/>
      <c r="AQ54" s="219"/>
      <c r="AR54" s="219"/>
      <c r="AS54" s="219"/>
      <c r="AT54" s="219"/>
      <c r="AU54" s="219"/>
      <c r="AV54" s="219"/>
      <c r="AW54" s="219"/>
      <c r="AX54" s="219"/>
      <c r="AY54" s="219"/>
      <c r="AZ54" s="219"/>
      <c r="BA54" s="219"/>
      <c r="BB54" s="219"/>
    </row>
    <row r="55" spans="1:54" ht="12" customHeight="1" x14ac:dyDescent="0.2">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row>
    <row r="56" spans="1:54" ht="12" customHeight="1" x14ac:dyDescent="0.2">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19"/>
      <c r="AI56" s="219"/>
      <c r="AJ56" s="219"/>
      <c r="AK56" s="219"/>
      <c r="AL56" s="219"/>
      <c r="AM56" s="219"/>
      <c r="AN56" s="219"/>
      <c r="AO56" s="219"/>
      <c r="AP56" s="219"/>
      <c r="AQ56" s="219"/>
      <c r="AR56" s="219"/>
      <c r="AS56" s="219"/>
      <c r="AT56" s="219"/>
      <c r="AU56" s="219"/>
      <c r="AV56" s="219"/>
      <c r="AW56" s="219"/>
      <c r="AX56" s="219"/>
      <c r="AY56" s="219"/>
      <c r="AZ56" s="219"/>
      <c r="BA56" s="219"/>
      <c r="BB56" s="219"/>
    </row>
    <row r="57" spans="1:54" ht="12" customHeight="1" x14ac:dyDescent="0.2">
      <c r="A57" s="196"/>
      <c r="B57" s="196"/>
      <c r="C57" s="196"/>
      <c r="D57" s="196"/>
      <c r="E57" s="215" t="str">
        <f>IF('Data Entry'!N29="","",'Data Entry'!N29)&amp;IF(OR('Data Entry'!N29="",'Data Entry'!N30=""),""," / Licence No")&amp; IF('Data Entry'!N30="","",'Data Entry'!N30)</f>
        <v>MEHMET EROĞLU</v>
      </c>
      <c r="F57" s="215"/>
      <c r="G57" s="215"/>
      <c r="H57" s="215"/>
      <c r="I57" s="215"/>
      <c r="J57" s="215"/>
      <c r="K57" s="215"/>
      <c r="L57" s="215"/>
      <c r="M57" s="215"/>
      <c r="N57" s="215"/>
      <c r="O57" s="215"/>
      <c r="P57" s="215"/>
      <c r="Q57" s="215"/>
      <c r="R57" s="215"/>
      <c r="S57" s="215"/>
      <c r="T57" s="215"/>
      <c r="U57" s="215"/>
      <c r="V57" s="215"/>
      <c r="W57" s="215"/>
      <c r="X57" s="215"/>
      <c r="Y57" s="215"/>
      <c r="Z57" s="215"/>
      <c r="AA57" s="215"/>
      <c r="AB57" s="215"/>
      <c r="AC57" s="215"/>
      <c r="AD57" s="215"/>
      <c r="AE57" s="215"/>
      <c r="AF57" s="215"/>
      <c r="AG57" s="449"/>
      <c r="AH57" s="449"/>
      <c r="AI57" s="449"/>
      <c r="AJ57" s="449"/>
      <c r="AK57" s="215" t="str">
        <f>IF('Data Entry'!N13="","",'Data Entry'!N13)</f>
        <v/>
      </c>
      <c r="AL57" s="215"/>
      <c r="AM57" s="215"/>
      <c r="AN57" s="215"/>
      <c r="AO57" s="215"/>
      <c r="AP57" s="215"/>
      <c r="AQ57" s="215"/>
      <c r="AR57" s="215"/>
      <c r="AS57" s="449"/>
      <c r="AT57" s="215" t="str">
        <f>IF('Data Entry'!N9="","",'Data Entry'!N9)</f>
        <v/>
      </c>
      <c r="AU57" s="215"/>
      <c r="AV57" s="215"/>
      <c r="AW57" s="215"/>
      <c r="AX57" s="215"/>
      <c r="AY57" s="215"/>
      <c r="AZ57" s="215"/>
      <c r="BA57" s="215"/>
      <c r="BB57" s="196"/>
    </row>
    <row r="58" spans="1:54" ht="12" customHeight="1" x14ac:dyDescent="0.2">
      <c r="A58" s="196"/>
      <c r="B58" s="196"/>
      <c r="C58" s="196"/>
      <c r="D58" s="196"/>
      <c r="E58" s="215"/>
      <c r="F58" s="215"/>
      <c r="G58" s="215"/>
      <c r="H58" s="215"/>
      <c r="I58" s="215"/>
      <c r="J58" s="215"/>
      <c r="K58" s="215"/>
      <c r="L58" s="215"/>
      <c r="M58" s="215"/>
      <c r="N58" s="215"/>
      <c r="O58" s="215"/>
      <c r="P58" s="215"/>
      <c r="Q58" s="215"/>
      <c r="R58" s="215"/>
      <c r="S58" s="215"/>
      <c r="T58" s="215"/>
      <c r="U58" s="215"/>
      <c r="V58" s="215"/>
      <c r="W58" s="215"/>
      <c r="X58" s="215"/>
      <c r="Y58" s="215"/>
      <c r="Z58" s="215"/>
      <c r="AA58" s="215"/>
      <c r="AB58" s="215"/>
      <c r="AC58" s="215"/>
      <c r="AD58" s="215"/>
      <c r="AE58" s="215"/>
      <c r="AF58" s="215"/>
      <c r="AG58" s="449"/>
      <c r="AH58" s="449"/>
      <c r="AI58" s="449"/>
      <c r="AJ58" s="449"/>
      <c r="AK58" s="215"/>
      <c r="AL58" s="215"/>
      <c r="AM58" s="215"/>
      <c r="AN58" s="215"/>
      <c r="AO58" s="215"/>
      <c r="AP58" s="215"/>
      <c r="AQ58" s="215"/>
      <c r="AR58" s="215"/>
      <c r="AS58" s="449"/>
      <c r="AT58" s="215"/>
      <c r="AU58" s="215"/>
      <c r="AV58" s="215"/>
      <c r="AW58" s="215"/>
      <c r="AX58" s="215"/>
      <c r="AY58" s="215"/>
      <c r="AZ58" s="215"/>
      <c r="BA58" s="215"/>
      <c r="BB58" s="196"/>
    </row>
    <row r="59" spans="1:54" ht="12" customHeight="1" x14ac:dyDescent="0.2">
      <c r="A59" s="196"/>
      <c r="B59" s="196"/>
      <c r="C59" s="196"/>
      <c r="D59" s="196"/>
      <c r="E59" s="215"/>
      <c r="F59" s="215"/>
      <c r="G59" s="215"/>
      <c r="H59" s="215"/>
      <c r="I59" s="215"/>
      <c r="J59" s="215"/>
      <c r="K59" s="215"/>
      <c r="L59" s="215"/>
      <c r="M59" s="215"/>
      <c r="N59" s="215"/>
      <c r="O59" s="215"/>
      <c r="P59" s="215"/>
      <c r="Q59" s="215"/>
      <c r="R59" s="215"/>
      <c r="S59" s="215"/>
      <c r="T59" s="215"/>
      <c r="U59" s="215"/>
      <c r="V59" s="215"/>
      <c r="W59" s="215"/>
      <c r="X59" s="215"/>
      <c r="Y59" s="215"/>
      <c r="Z59" s="215"/>
      <c r="AA59" s="215"/>
      <c r="AB59" s="215"/>
      <c r="AC59" s="215"/>
      <c r="AD59" s="215"/>
      <c r="AE59" s="215"/>
      <c r="AF59" s="215"/>
      <c r="AG59" s="449"/>
      <c r="AH59" s="449"/>
      <c r="AI59" s="449"/>
      <c r="AJ59" s="449"/>
      <c r="AK59" s="215"/>
      <c r="AL59" s="215"/>
      <c r="AM59" s="215"/>
      <c r="AN59" s="215"/>
      <c r="AO59" s="215"/>
      <c r="AP59" s="215"/>
      <c r="AQ59" s="215"/>
      <c r="AR59" s="215"/>
      <c r="AS59" s="449"/>
      <c r="AT59" s="215"/>
      <c r="AU59" s="215"/>
      <c r="AV59" s="215"/>
      <c r="AW59" s="215"/>
      <c r="AX59" s="215"/>
      <c r="AY59" s="215"/>
      <c r="AZ59" s="215"/>
      <c r="BA59" s="215"/>
      <c r="BB59" s="196"/>
    </row>
    <row r="60" spans="1:54" ht="12" customHeight="1" x14ac:dyDescent="0.2">
      <c r="A60" s="196"/>
      <c r="B60" s="196"/>
      <c r="C60" s="196"/>
      <c r="D60" s="196"/>
      <c r="E60" s="211" t="s">
        <v>184</v>
      </c>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449"/>
      <c r="AH60" s="449"/>
      <c r="AI60" s="449"/>
      <c r="AJ60" s="449"/>
      <c r="AK60" s="211" t="s">
        <v>51</v>
      </c>
      <c r="AL60" s="211"/>
      <c r="AM60" s="211"/>
      <c r="AN60" s="211"/>
      <c r="AO60" s="211"/>
      <c r="AP60" s="211"/>
      <c r="AQ60" s="211"/>
      <c r="AR60" s="211"/>
      <c r="AS60" s="449"/>
      <c r="AT60" s="211" t="s">
        <v>17</v>
      </c>
      <c r="AU60" s="211"/>
      <c r="AV60" s="211"/>
      <c r="AW60" s="211"/>
      <c r="AX60" s="211"/>
      <c r="AY60" s="211"/>
      <c r="AZ60" s="211"/>
      <c r="BA60" s="211"/>
      <c r="BB60" s="196"/>
    </row>
    <row r="61" spans="1:54" ht="12" customHeight="1" x14ac:dyDescent="0.2">
      <c r="A61" s="148" t="s">
        <v>272</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9" t="str">
        <f>'Data Entry'!AK9</f>
        <v>LTS-CUS-F-01 rev 2.0</v>
      </c>
      <c r="AP61" s="149"/>
      <c r="AQ61" s="149"/>
      <c r="AR61" s="149"/>
      <c r="AS61" s="149"/>
      <c r="AT61" s="149"/>
      <c r="AU61" s="149"/>
      <c r="AV61" s="149"/>
      <c r="AW61" s="149"/>
      <c r="AX61" s="149"/>
      <c r="AY61" s="149"/>
      <c r="AZ61" s="149"/>
      <c r="BA61" s="149"/>
      <c r="BB61" s="149"/>
    </row>
  </sheetData>
  <sheetProtection selectLockedCells="1" sort="0"/>
  <mergeCells count="159">
    <mergeCell ref="BB57:BB60"/>
    <mergeCell ref="E60:AF60"/>
    <mergeCell ref="AK60:AR60"/>
    <mergeCell ref="AT60:BA60"/>
    <mergeCell ref="A61:AN61"/>
    <mergeCell ref="AO61:BB61"/>
    <mergeCell ref="A57:D60"/>
    <mergeCell ref="E57:AF59"/>
    <mergeCell ref="AG57:AJ60"/>
    <mergeCell ref="AK57:AR59"/>
    <mergeCell ref="AS57:AS60"/>
    <mergeCell ref="AT57:BA59"/>
    <mergeCell ref="A51:BB51"/>
    <mergeCell ref="A52:BB52"/>
    <mergeCell ref="A53:BB53"/>
    <mergeCell ref="A54:BB54"/>
    <mergeCell ref="A55:BB55"/>
    <mergeCell ref="A56:BB56"/>
    <mergeCell ref="A49:R49"/>
    <mergeCell ref="S49:AJ49"/>
    <mergeCell ref="AK49:BB49"/>
    <mergeCell ref="A50:R50"/>
    <mergeCell ref="S50:AJ50"/>
    <mergeCell ref="AK50:BB50"/>
    <mergeCell ref="A47:R47"/>
    <mergeCell ref="S47:AJ47"/>
    <mergeCell ref="AK47:BB47"/>
    <mergeCell ref="A48:R48"/>
    <mergeCell ref="S48:AJ48"/>
    <mergeCell ref="AK48:BB48"/>
    <mergeCell ref="A45:R45"/>
    <mergeCell ref="S45:AJ45"/>
    <mergeCell ref="AK45:BB45"/>
    <mergeCell ref="A46:R46"/>
    <mergeCell ref="S46:AJ46"/>
    <mergeCell ref="AK46:BB46"/>
    <mergeCell ref="A43:R43"/>
    <mergeCell ref="S43:AJ43"/>
    <mergeCell ref="AK43:BB43"/>
    <mergeCell ref="A44:R44"/>
    <mergeCell ref="S44:AJ44"/>
    <mergeCell ref="AK44:BB44"/>
    <mergeCell ref="A41:R41"/>
    <mergeCell ref="S41:AJ41"/>
    <mergeCell ref="AK41:BB41"/>
    <mergeCell ref="A42:R42"/>
    <mergeCell ref="S42:AJ42"/>
    <mergeCell ref="AK42:BB42"/>
    <mergeCell ref="A39:R39"/>
    <mergeCell ref="S39:AJ39"/>
    <mergeCell ref="AK39:BB39"/>
    <mergeCell ref="A40:R40"/>
    <mergeCell ref="S40:AJ40"/>
    <mergeCell ref="AK40:BB40"/>
    <mergeCell ref="A37:R37"/>
    <mergeCell ref="S37:AJ37"/>
    <mergeCell ref="AK37:BB37"/>
    <mergeCell ref="A38:R38"/>
    <mergeCell ref="S38:AJ38"/>
    <mergeCell ref="AK38:BB38"/>
    <mergeCell ref="A35:R35"/>
    <mergeCell ref="S35:AJ35"/>
    <mergeCell ref="AK35:BB35"/>
    <mergeCell ref="A36:R36"/>
    <mergeCell ref="S36:AJ36"/>
    <mergeCell ref="AK36:BB36"/>
    <mergeCell ref="A33:R33"/>
    <mergeCell ref="S33:AJ33"/>
    <mergeCell ref="AK33:BB33"/>
    <mergeCell ref="A34:R34"/>
    <mergeCell ref="S34:AJ34"/>
    <mergeCell ref="AK34:BB34"/>
    <mergeCell ref="A31:R31"/>
    <mergeCell ref="S31:AJ31"/>
    <mergeCell ref="AK31:BB31"/>
    <mergeCell ref="A32:R32"/>
    <mergeCell ref="S32:AJ32"/>
    <mergeCell ref="AK32:BB32"/>
    <mergeCell ref="A29:R29"/>
    <mergeCell ref="S29:AJ29"/>
    <mergeCell ref="AK29:BB29"/>
    <mergeCell ref="A30:R30"/>
    <mergeCell ref="S30:AJ30"/>
    <mergeCell ref="AK30:BB30"/>
    <mergeCell ref="A27:R27"/>
    <mergeCell ref="S27:AJ27"/>
    <mergeCell ref="AK27:BB27"/>
    <mergeCell ref="A28:R28"/>
    <mergeCell ref="S28:AJ28"/>
    <mergeCell ref="AK28:BB28"/>
    <mergeCell ref="A25:R25"/>
    <mergeCell ref="S25:AJ25"/>
    <mergeCell ref="AK25:BB25"/>
    <mergeCell ref="A26:R26"/>
    <mergeCell ref="S26:AJ26"/>
    <mergeCell ref="AK26:BB26"/>
    <mergeCell ref="A23:R23"/>
    <mergeCell ref="S23:AJ23"/>
    <mergeCell ref="AK23:BB23"/>
    <mergeCell ref="A24:R24"/>
    <mergeCell ref="S24:AJ24"/>
    <mergeCell ref="AK24:BB24"/>
    <mergeCell ref="A21:R21"/>
    <mergeCell ref="S21:AJ21"/>
    <mergeCell ref="AK21:BB21"/>
    <mergeCell ref="A22:R22"/>
    <mergeCell ref="S22:AJ22"/>
    <mergeCell ref="AK22:BB22"/>
    <mergeCell ref="A19:R19"/>
    <mergeCell ref="S19:AJ19"/>
    <mergeCell ref="AK19:BB19"/>
    <mergeCell ref="A20:R20"/>
    <mergeCell ref="S20:AJ20"/>
    <mergeCell ref="AK20:BB20"/>
    <mergeCell ref="A17:R17"/>
    <mergeCell ref="S17:AJ17"/>
    <mergeCell ref="AK17:BB17"/>
    <mergeCell ref="A18:R18"/>
    <mergeCell ref="S18:AJ18"/>
    <mergeCell ref="AK18:BB18"/>
    <mergeCell ref="A15:R15"/>
    <mergeCell ref="S15:AJ15"/>
    <mergeCell ref="AK15:BB15"/>
    <mergeCell ref="A16:R16"/>
    <mergeCell ref="S16:AJ16"/>
    <mergeCell ref="AK16:BB16"/>
    <mergeCell ref="A13:R13"/>
    <mergeCell ref="S13:AJ13"/>
    <mergeCell ref="AK13:BB13"/>
    <mergeCell ref="A14:R14"/>
    <mergeCell ref="S14:AJ14"/>
    <mergeCell ref="AK14:BB14"/>
    <mergeCell ref="A9:BB9"/>
    <mergeCell ref="A10:BB10"/>
    <mergeCell ref="A11:R11"/>
    <mergeCell ref="S11:AJ11"/>
    <mergeCell ref="AK11:BB11"/>
    <mergeCell ref="A12:R12"/>
    <mergeCell ref="S12:AJ12"/>
    <mergeCell ref="AK12:BB12"/>
    <mergeCell ref="A7:L7"/>
    <mergeCell ref="M7:N7"/>
    <mergeCell ref="O7:AQ7"/>
    <mergeCell ref="AR7:AS7"/>
    <mergeCell ref="AU7:BB7"/>
    <mergeCell ref="A8:BB8"/>
    <mergeCell ref="A4:BB4"/>
    <mergeCell ref="A5:BB5"/>
    <mergeCell ref="A6:L6"/>
    <mergeCell ref="M6:N6"/>
    <mergeCell ref="O6:AQ6"/>
    <mergeCell ref="AR6:AS6"/>
    <mergeCell ref="AU6:BB6"/>
    <mergeCell ref="A1:AQ3"/>
    <mergeCell ref="AR1:AS1"/>
    <mergeCell ref="AU1:BB1"/>
    <mergeCell ref="AR2:AS2"/>
    <mergeCell ref="AU2:BB2"/>
    <mergeCell ref="AR3:BB3"/>
  </mergeCells>
  <conditionalFormatting sqref="A52:BB52 A12:AJ34">
    <cfRule type="containsBlanks" dxfId="49" priority="2">
      <formula>LEN(TRIM(A12))=0</formula>
    </cfRule>
  </conditionalFormatting>
  <conditionalFormatting sqref="AU1:BB2 O6:AQ7 AU6:BB7 E57:AF59 AK57:AR59 AT57:BA59">
    <cfRule type="containsBlanks" dxfId="48" priority="1">
      <formula>LEN(TRIM(E1))=0</formula>
    </cfRule>
  </conditionalFormatting>
  <dataValidations count="3">
    <dataValidation allowBlank="1" showInputMessage="1" showErrorMessage="1" prompt="Please enter any relevant information here e.g. reason for delays" sqref="A52:BB52" xr:uid="{CECFCB63-E47D-4392-B574-1BA348361F9B}"/>
    <dataValidation allowBlank="1" showInputMessage="1" showErrorMessage="1" prompt="Enter time the event occured (format HH:MM)" sqref="S12:AJ34" xr:uid="{53AFEEB8-C77B-4C89-B6E7-98742B593983}"/>
    <dataValidation type="date" operator="greaterThan" allowBlank="1" showInputMessage="1" showErrorMessage="1" prompt="Enter the date that the event occured (format dd/mm/yyyy)_x000a_" sqref="A12:R34" xr:uid="{A6620A2B-68A8-4BAF-A8D5-F6D76E71DE50}">
      <formula1>40179</formula1>
    </dataValidation>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Button111_Click">
                <anchor moveWithCells="1" sizeWithCells="1">
                  <from>
                    <xdr:col>54</xdr:col>
                    <xdr:colOff>457200</xdr:colOff>
                    <xdr:row>2</xdr:row>
                    <xdr:rowOff>57150</xdr:rowOff>
                  </from>
                  <to>
                    <xdr:col>59</xdr:col>
                    <xdr:colOff>361950</xdr:colOff>
                    <xdr:row>6</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B41C5-DFFA-4F5C-ACA0-350C181F8C25}">
  <sheetPr codeName="Sheet43">
    <tabColor rgb="FFFFFF00"/>
  </sheetPr>
  <dimension ref="A1:BF61"/>
  <sheetViews>
    <sheetView zoomScaleNormal="100" workbookViewId="0">
      <selection activeCell="BG31" sqref="BG31"/>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467</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Entry'!N15="","",'Data Entry'!N15)</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t="str">
        <f>IF('Data Entry'!N32="","",'Data Entry'!N32)</f>
        <v/>
      </c>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553"/>
      <c r="B19" s="553"/>
      <c r="C19" s="553"/>
      <c r="D19" s="553"/>
      <c r="E19" s="553"/>
      <c r="F19" s="553"/>
      <c r="G19" s="553"/>
      <c r="H19" s="553"/>
      <c r="I19" s="553"/>
      <c r="J19" s="553"/>
      <c r="K19" s="553"/>
      <c r="L19" s="553"/>
      <c r="M19" s="553"/>
      <c r="N19" s="553"/>
      <c r="O19" s="553"/>
      <c r="P19" s="553"/>
      <c r="Q19" s="553"/>
      <c r="R19" s="553"/>
      <c r="S19" s="553"/>
      <c r="T19" s="553"/>
      <c r="U19" s="553"/>
      <c r="V19" s="553"/>
      <c r="W19" s="553"/>
      <c r="X19" s="553"/>
      <c r="Y19" s="553"/>
      <c r="Z19" s="553"/>
      <c r="AA19" s="553"/>
      <c r="AB19" s="553"/>
      <c r="AC19" s="553"/>
      <c r="AD19" s="553"/>
      <c r="AE19" s="553"/>
      <c r="AF19" s="553"/>
      <c r="AG19" s="553"/>
      <c r="AH19" s="553"/>
      <c r="AI19" s="553"/>
      <c r="AJ19" s="553"/>
      <c r="AK19" s="553"/>
      <c r="AL19" s="553"/>
      <c r="AM19" s="553"/>
      <c r="AN19" s="553"/>
      <c r="AO19" s="553"/>
      <c r="AP19" s="553"/>
      <c r="AQ19" s="553"/>
      <c r="AR19" s="553"/>
      <c r="AS19" s="553"/>
      <c r="AT19" s="553"/>
      <c r="AU19" s="553"/>
      <c r="AV19" s="553"/>
      <c r="AW19" s="553"/>
      <c r="AX19" s="553"/>
      <c r="AY19" s="553"/>
      <c r="AZ19" s="553"/>
    </row>
    <row r="20" spans="1:52" ht="12" customHeight="1" x14ac:dyDescent="0.2">
      <c r="A20" s="206"/>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206"/>
      <c r="B22" s="206"/>
      <c r="C22" s="206"/>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6"/>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row>
    <row r="50" spans="1:58"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row>
    <row r="51" spans="1:58"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58"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58"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58"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8"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8" ht="12" customHeight="1" x14ac:dyDescent="0.2">
      <c r="A56" s="154"/>
      <c r="B56" s="154"/>
      <c r="C56" s="196" t="s">
        <v>63</v>
      </c>
      <c r="D56" s="196"/>
      <c r="E56" s="196"/>
      <c r="F56" s="196"/>
      <c r="G56" s="196"/>
      <c r="H56" s="196"/>
      <c r="I56" s="196"/>
      <c r="J56" s="196"/>
      <c r="K56" s="196"/>
      <c r="L56" s="196"/>
      <c r="M56" s="196"/>
      <c r="N56" s="196"/>
      <c r="O56" s="196"/>
      <c r="P56" s="196"/>
      <c r="Q56" s="154"/>
      <c r="R56" s="154"/>
      <c r="S56" s="154"/>
      <c r="T56" s="196" t="s">
        <v>62</v>
      </c>
      <c r="U56" s="196"/>
      <c r="V56" s="196"/>
      <c r="W56" s="196"/>
      <c r="X56" s="196"/>
      <c r="Y56" s="196"/>
      <c r="Z56" s="196"/>
      <c r="AA56" s="196"/>
      <c r="AB56" s="196"/>
      <c r="AC56" s="196"/>
      <c r="AD56" s="196"/>
      <c r="AE56" s="196"/>
      <c r="AF56" s="196"/>
      <c r="AG56" s="196"/>
      <c r="AH56" s="154"/>
      <c r="AI56" s="154"/>
      <c r="AJ56" s="154"/>
      <c r="AK56" s="196" t="s">
        <v>62</v>
      </c>
      <c r="AL56" s="196"/>
      <c r="AM56" s="196"/>
      <c r="AN56" s="196"/>
      <c r="AO56" s="196"/>
      <c r="AP56" s="196"/>
      <c r="AQ56" s="196"/>
      <c r="AR56" s="196"/>
      <c r="AS56" s="196"/>
      <c r="AT56" s="196"/>
      <c r="AU56" s="196"/>
      <c r="AV56" s="196"/>
      <c r="AW56" s="196"/>
      <c r="AX56" s="196"/>
      <c r="AY56" s="375"/>
      <c r="AZ56" s="375"/>
    </row>
    <row r="57" spans="1:58"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215" t="str">
        <f>IF('Data Entry'!N18="","",'Data Entry'!N18)</f>
        <v/>
      </c>
      <c r="U57" s="215"/>
      <c r="V57" s="215"/>
      <c r="W57" s="215"/>
      <c r="X57" s="215"/>
      <c r="Y57" s="215"/>
      <c r="Z57" s="215"/>
      <c r="AA57" s="215"/>
      <c r="AB57" s="215"/>
      <c r="AC57" s="215"/>
      <c r="AD57" s="215"/>
      <c r="AE57" s="215"/>
      <c r="AF57" s="215"/>
      <c r="AG57" s="215"/>
      <c r="AH57" s="154"/>
      <c r="AI57" s="154"/>
      <c r="AJ57" s="154"/>
      <c r="AK57" s="215" t="str">
        <f>IF('Data Entry'!N9="","",'Data Entry'!N9)</f>
        <v/>
      </c>
      <c r="AL57" s="215"/>
      <c r="AM57" s="215"/>
      <c r="AN57" s="215"/>
      <c r="AO57" s="215"/>
      <c r="AP57" s="215"/>
      <c r="AQ57" s="215"/>
      <c r="AR57" s="215"/>
      <c r="AS57" s="215"/>
      <c r="AT57" s="215"/>
      <c r="AU57" s="215"/>
      <c r="AV57" s="215"/>
      <c r="AW57" s="215"/>
      <c r="AX57" s="215"/>
      <c r="AY57" s="375"/>
      <c r="AZ57" s="375"/>
    </row>
    <row r="58" spans="1:58" ht="12" customHeight="1" x14ac:dyDescent="0.2">
      <c r="A58" s="154"/>
      <c r="B58" s="154"/>
      <c r="C58" s="215"/>
      <c r="D58" s="215"/>
      <c r="E58" s="215"/>
      <c r="F58" s="215"/>
      <c r="G58" s="215"/>
      <c r="H58" s="215"/>
      <c r="I58" s="215"/>
      <c r="J58" s="215"/>
      <c r="K58" s="215"/>
      <c r="L58" s="215"/>
      <c r="M58" s="215"/>
      <c r="N58" s="215"/>
      <c r="O58" s="215"/>
      <c r="P58" s="215"/>
      <c r="Q58" s="154"/>
      <c r="R58" s="154"/>
      <c r="S58" s="154"/>
      <c r="T58" s="215"/>
      <c r="U58" s="215"/>
      <c r="V58" s="215"/>
      <c r="W58" s="215"/>
      <c r="X58" s="215"/>
      <c r="Y58" s="215"/>
      <c r="Z58" s="215"/>
      <c r="AA58" s="215"/>
      <c r="AB58" s="215"/>
      <c r="AC58" s="215"/>
      <c r="AD58" s="215"/>
      <c r="AE58" s="215"/>
      <c r="AF58" s="215"/>
      <c r="AG58" s="215"/>
      <c r="AH58" s="154"/>
      <c r="AI58" s="154"/>
      <c r="AJ58" s="154"/>
      <c r="AK58" s="215"/>
      <c r="AL58" s="215"/>
      <c r="AM58" s="215"/>
      <c r="AN58" s="215"/>
      <c r="AO58" s="215"/>
      <c r="AP58" s="215"/>
      <c r="AQ58" s="215"/>
      <c r="AR58" s="215"/>
      <c r="AS58" s="215"/>
      <c r="AT58" s="215"/>
      <c r="AU58" s="215"/>
      <c r="AV58" s="215"/>
      <c r="AW58" s="215"/>
      <c r="AX58" s="215"/>
      <c r="AY58" s="375"/>
      <c r="AZ58" s="375"/>
    </row>
    <row r="59" spans="1:58" ht="12" customHeight="1" x14ac:dyDescent="0.2">
      <c r="A59" s="154"/>
      <c r="B59" s="154"/>
      <c r="C59" s="216"/>
      <c r="D59" s="216"/>
      <c r="E59" s="216"/>
      <c r="F59" s="216"/>
      <c r="G59" s="216"/>
      <c r="H59" s="216"/>
      <c r="I59" s="216"/>
      <c r="J59" s="216"/>
      <c r="K59" s="216"/>
      <c r="L59" s="216"/>
      <c r="M59" s="216"/>
      <c r="N59" s="216"/>
      <c r="O59" s="216"/>
      <c r="P59" s="216"/>
      <c r="Q59" s="154"/>
      <c r="R59" s="154"/>
      <c r="S59" s="154"/>
      <c r="T59" s="216"/>
      <c r="U59" s="216"/>
      <c r="V59" s="216"/>
      <c r="W59" s="216"/>
      <c r="X59" s="216"/>
      <c r="Y59" s="216"/>
      <c r="Z59" s="216"/>
      <c r="AA59" s="216"/>
      <c r="AB59" s="216"/>
      <c r="AC59" s="216"/>
      <c r="AD59" s="216"/>
      <c r="AE59" s="216"/>
      <c r="AF59" s="216"/>
      <c r="AG59" s="216"/>
      <c r="AH59" s="154"/>
      <c r="AI59" s="154"/>
      <c r="AJ59" s="154"/>
      <c r="AK59" s="216"/>
      <c r="AL59" s="216"/>
      <c r="AM59" s="216"/>
      <c r="AN59" s="216"/>
      <c r="AO59" s="216"/>
      <c r="AP59" s="216"/>
      <c r="AQ59" s="216"/>
      <c r="AR59" s="216"/>
      <c r="AS59" s="216"/>
      <c r="AT59" s="216"/>
      <c r="AU59" s="216"/>
      <c r="AV59" s="216"/>
      <c r="AW59" s="216"/>
      <c r="AX59" s="216"/>
      <c r="AY59" s="375"/>
      <c r="AZ59" s="375"/>
    </row>
    <row r="60" spans="1:58"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211" t="s">
        <v>51</v>
      </c>
      <c r="U60" s="211"/>
      <c r="V60" s="211"/>
      <c r="W60" s="211"/>
      <c r="X60" s="211"/>
      <c r="Y60" s="211"/>
      <c r="Z60" s="211"/>
      <c r="AA60" s="211"/>
      <c r="AB60" s="211"/>
      <c r="AC60" s="211"/>
      <c r="AD60" s="211"/>
      <c r="AE60" s="211"/>
      <c r="AF60" s="211"/>
      <c r="AG60" s="211"/>
      <c r="AH60" s="154"/>
      <c r="AI60" s="154"/>
      <c r="AJ60" s="154"/>
      <c r="AK60" s="211" t="s">
        <v>17</v>
      </c>
      <c r="AL60" s="211"/>
      <c r="AM60" s="211"/>
      <c r="AN60" s="211"/>
      <c r="AO60" s="211"/>
      <c r="AP60" s="211"/>
      <c r="AQ60" s="211"/>
      <c r="AR60" s="211"/>
      <c r="AS60" s="211"/>
      <c r="AT60" s="211"/>
      <c r="AU60" s="211"/>
      <c r="AV60" s="211"/>
      <c r="AW60" s="211"/>
      <c r="AX60" s="211"/>
      <c r="AY60" s="375"/>
      <c r="AZ60" s="375"/>
    </row>
    <row r="61" spans="1:58" ht="13.5" customHeight="1" x14ac:dyDescent="0.2">
      <c r="A61" s="542" t="s">
        <v>477</v>
      </c>
      <c r="B61" s="542"/>
      <c r="C61" s="542"/>
      <c r="D61" s="542"/>
      <c r="E61" s="542"/>
      <c r="F61" s="542"/>
      <c r="G61" s="542"/>
      <c r="H61" s="542"/>
      <c r="I61" s="542"/>
      <c r="J61" s="542"/>
      <c r="K61" s="542"/>
      <c r="L61" s="542"/>
      <c r="M61" s="542"/>
      <c r="N61" s="542"/>
      <c r="O61" s="542"/>
      <c r="P61" s="542"/>
      <c r="Q61" s="542"/>
      <c r="R61" s="542"/>
      <c r="S61" s="542"/>
      <c r="T61" s="542"/>
      <c r="U61" s="542"/>
      <c r="V61" s="542"/>
      <c r="W61" s="542"/>
      <c r="X61" s="542"/>
      <c r="Y61" s="542"/>
      <c r="Z61" s="542"/>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73">
    <mergeCell ref="A61:Z61"/>
    <mergeCell ref="AA61:AZ61"/>
    <mergeCell ref="Q56:S60"/>
    <mergeCell ref="T56:AG56"/>
    <mergeCell ref="AH56:AJ60"/>
    <mergeCell ref="T57:AG59"/>
    <mergeCell ref="T60:AG60"/>
    <mergeCell ref="A49:AZ49"/>
    <mergeCell ref="A50:AZ52"/>
    <mergeCell ref="A53:AZ55"/>
    <mergeCell ref="A56:B60"/>
    <mergeCell ref="C56:P56"/>
    <mergeCell ref="AK56:AX56"/>
    <mergeCell ref="AY56:AZ60"/>
    <mergeCell ref="C57:P59"/>
    <mergeCell ref="AK57:AX59"/>
    <mergeCell ref="C60:P60"/>
    <mergeCell ref="AK60:AX60"/>
    <mergeCell ref="A48:AZ48"/>
    <mergeCell ref="A37:AZ37"/>
    <mergeCell ref="A38:AZ38"/>
    <mergeCell ref="A39:AZ39"/>
    <mergeCell ref="A40:AZ40"/>
    <mergeCell ref="A41:AZ41"/>
    <mergeCell ref="A42:AZ42"/>
    <mergeCell ref="A43:AZ43"/>
    <mergeCell ref="A44:AZ44"/>
    <mergeCell ref="A45:AZ45"/>
    <mergeCell ref="A46:AZ46"/>
    <mergeCell ref="A47:AZ47"/>
    <mergeCell ref="A36:AZ36"/>
    <mergeCell ref="A25:AZ25"/>
    <mergeCell ref="A26:AZ26"/>
    <mergeCell ref="A27:AZ27"/>
    <mergeCell ref="A28:AZ28"/>
    <mergeCell ref="A29:AZ29"/>
    <mergeCell ref="A30:AZ30"/>
    <mergeCell ref="A31:AZ31"/>
    <mergeCell ref="A32:AZ32"/>
    <mergeCell ref="A33:AZ33"/>
    <mergeCell ref="A34:AZ34"/>
    <mergeCell ref="A35:AZ35"/>
    <mergeCell ref="A24:AZ24"/>
    <mergeCell ref="A11:AZ11"/>
    <mergeCell ref="A12:AZ12"/>
    <mergeCell ref="A13:AZ13"/>
    <mergeCell ref="A14:AZ14"/>
    <mergeCell ref="A15:AZ17"/>
    <mergeCell ref="A18:AZ18"/>
    <mergeCell ref="A19:AZ19"/>
    <mergeCell ref="A20:AZ20"/>
    <mergeCell ref="A21:AZ21"/>
    <mergeCell ref="A22:AZ22"/>
    <mergeCell ref="A23:AZ23"/>
    <mergeCell ref="A10:B10"/>
    <mergeCell ref="D10:AZ10"/>
    <mergeCell ref="A4:AZ4"/>
    <mergeCell ref="A5:AZ5"/>
    <mergeCell ref="A6:G6"/>
    <mergeCell ref="I6:AD6"/>
    <mergeCell ref="AE6:AI6"/>
    <mergeCell ref="AK6:AZ6"/>
    <mergeCell ref="A7:G7"/>
    <mergeCell ref="I7:AJ7"/>
    <mergeCell ref="AK7:AZ7"/>
    <mergeCell ref="A8:AZ8"/>
    <mergeCell ref="A9:AZ9"/>
    <mergeCell ref="A1:AD3"/>
    <mergeCell ref="AE1:AI1"/>
    <mergeCell ref="AK1:AZ1"/>
    <mergeCell ref="AE2:AI2"/>
    <mergeCell ref="AK2:AZ2"/>
    <mergeCell ref="AE3:AZ3"/>
  </mergeCells>
  <conditionalFormatting sqref="AK1:AZ2 I6:I7 D10">
    <cfRule type="containsBlanks" dxfId="47" priority="4" stopIfTrue="1">
      <formula>LEN(TRIM(D1))=0</formula>
    </cfRule>
  </conditionalFormatting>
  <conditionalFormatting sqref="A18">
    <cfRule type="containsBlanks" dxfId="46" priority="3" stopIfTrue="1">
      <formula>LEN(TRIM(A18))=0</formula>
    </cfRule>
  </conditionalFormatting>
  <conditionalFormatting sqref="AK57 T57 C57 AK6">
    <cfRule type="containsBlanks" dxfId="45" priority="1" stopIfTrue="1">
      <formula>LEN(TRIM(C6))=0</formula>
    </cfRule>
  </conditionalFormatting>
  <dataValidations count="2">
    <dataValidation allowBlank="1" showInputMessage="1" showErrorMessage="1" prompt="If a statement of facts needs to be issued and is to extensive for the surveyor remarks on the summary report tab, please fill out this section of the report detailing further information._x000a_" sqref="A18:AZ18" xr:uid="{DD659C9B-BD92-467F-8ED3-DA1CC41CF413}"/>
    <dataValidation type="date" allowBlank="1" showInputMessage="1" showErrorMessage="1" error="Must enter date (mm/dd/yyyy)" sqref="AK6" xr:uid="{CC6F39F5-80A2-4077-98E1-AA500E7F914A}">
      <formula1>1</formula1>
      <formula2>73050</formula2>
    </dataValidation>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tabColor rgb="FFFFFF00"/>
  </sheetPr>
  <dimension ref="A1:BF61"/>
  <sheetViews>
    <sheetView zoomScaleNormal="100" workbookViewId="0">
      <selection activeCell="BF30" sqref="BF30"/>
    </sheetView>
  </sheetViews>
  <sheetFormatPr defaultColWidth="9.140625" defaultRowHeight="13.5" customHeight="1" x14ac:dyDescent="0.2"/>
  <cols>
    <col min="1" max="52" width="1.7109375" style="6" customWidth="1"/>
    <col min="53" max="55" width="9.140625" style="6"/>
    <col min="56" max="56" width="9.5703125" style="6" customWidth="1"/>
    <col min="57" max="59" width="9.140625" style="6" customWidth="1"/>
    <col min="60"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58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Entry'!N15="","",'Data Entry'!N15)</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t="str">
        <f>'Bunker Certificate 1'!Y4</f>
        <v/>
      </c>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206"/>
      <c r="B19" s="206"/>
      <c r="C19" s="206"/>
      <c r="D19" s="206"/>
      <c r="E19" s="206"/>
      <c r="F19" s="206"/>
      <c r="G19" s="206"/>
      <c r="H19" s="206"/>
      <c r="I19" s="206"/>
      <c r="J19" s="206"/>
      <c r="K19" s="206"/>
      <c r="L19" s="206"/>
      <c r="M19" s="206"/>
      <c r="N19" s="206"/>
      <c r="O19" s="206"/>
      <c r="P19" s="206"/>
      <c r="Q19" s="206"/>
      <c r="R19" s="206"/>
      <c r="S19" s="206"/>
      <c r="T19" s="206"/>
      <c r="U19" s="206"/>
      <c r="V19" s="206"/>
      <c r="W19" s="206"/>
      <c r="X19" s="206"/>
      <c r="Y19" s="206"/>
      <c r="Z19" s="206"/>
      <c r="AA19" s="206"/>
      <c r="AB19" s="206"/>
      <c r="AC19" s="206"/>
      <c r="AD19" s="206"/>
      <c r="AE19" s="206"/>
      <c r="AF19" s="206"/>
      <c r="AG19" s="206"/>
      <c r="AH19" s="206"/>
      <c r="AI19" s="206"/>
      <c r="AJ19" s="206"/>
      <c r="AK19" s="206"/>
      <c r="AL19" s="206"/>
      <c r="AM19" s="206"/>
      <c r="AN19" s="206"/>
      <c r="AO19" s="206"/>
      <c r="AP19" s="206"/>
      <c r="AQ19" s="206"/>
      <c r="AR19" s="206"/>
      <c r="AS19" s="206"/>
      <c r="AT19" s="206"/>
      <c r="AU19" s="206"/>
      <c r="AV19" s="206"/>
      <c r="AW19" s="206"/>
      <c r="AX19" s="206"/>
      <c r="AY19" s="206"/>
      <c r="AZ19" s="206"/>
    </row>
    <row r="20" spans="1:52" ht="12" customHeight="1" x14ac:dyDescent="0.2">
      <c r="A20" s="206"/>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206"/>
      <c r="B22" s="206"/>
      <c r="C22" s="206"/>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6"/>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row>
    <row r="50" spans="1:58"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row>
    <row r="51" spans="1:58"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58"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58"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58"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8"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8" ht="12" customHeight="1" x14ac:dyDescent="0.2">
      <c r="A56" s="154"/>
      <c r="B56" s="154"/>
      <c r="C56" s="196" t="s">
        <v>63</v>
      </c>
      <c r="D56" s="196"/>
      <c r="E56" s="196"/>
      <c r="F56" s="196"/>
      <c r="G56" s="196"/>
      <c r="H56" s="196"/>
      <c r="I56" s="196"/>
      <c r="J56" s="196"/>
      <c r="K56" s="196"/>
      <c r="L56" s="196"/>
      <c r="M56" s="196"/>
      <c r="N56" s="196"/>
      <c r="O56" s="196"/>
      <c r="P56" s="196"/>
      <c r="Q56" s="154"/>
      <c r="R56" s="154"/>
      <c r="S56" s="154"/>
      <c r="T56" s="196" t="s">
        <v>62</v>
      </c>
      <c r="U56" s="196"/>
      <c r="V56" s="196"/>
      <c r="W56" s="196"/>
      <c r="X56" s="196"/>
      <c r="Y56" s="196"/>
      <c r="Z56" s="196"/>
      <c r="AA56" s="196"/>
      <c r="AB56" s="196"/>
      <c r="AC56" s="196"/>
      <c r="AD56" s="196"/>
      <c r="AE56" s="196"/>
      <c r="AF56" s="196"/>
      <c r="AG56" s="196"/>
      <c r="AH56" s="154"/>
      <c r="AI56" s="154"/>
      <c r="AJ56" s="154"/>
      <c r="AK56" s="196" t="s">
        <v>62</v>
      </c>
      <c r="AL56" s="196"/>
      <c r="AM56" s="196"/>
      <c r="AN56" s="196"/>
      <c r="AO56" s="196"/>
      <c r="AP56" s="196"/>
      <c r="AQ56" s="196"/>
      <c r="AR56" s="196"/>
      <c r="AS56" s="196"/>
      <c r="AT56" s="196"/>
      <c r="AU56" s="196"/>
      <c r="AV56" s="196"/>
      <c r="AW56" s="196"/>
      <c r="AX56" s="196"/>
      <c r="AY56" s="375"/>
      <c r="AZ56" s="375"/>
    </row>
    <row r="57" spans="1:58"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215" t="str">
        <f>IF('Data Entry'!N18="","",'Data Entry'!N18)</f>
        <v/>
      </c>
      <c r="U57" s="215"/>
      <c r="V57" s="215"/>
      <c r="W57" s="215"/>
      <c r="X57" s="215"/>
      <c r="Y57" s="215"/>
      <c r="Z57" s="215"/>
      <c r="AA57" s="215"/>
      <c r="AB57" s="215"/>
      <c r="AC57" s="215"/>
      <c r="AD57" s="215"/>
      <c r="AE57" s="215"/>
      <c r="AF57" s="215"/>
      <c r="AG57" s="215"/>
      <c r="AH57" s="154"/>
      <c r="AI57" s="154"/>
      <c r="AJ57" s="154"/>
      <c r="AK57" s="215" t="str">
        <f>IF('Data Entry'!N9="","",'Data Entry'!N9)</f>
        <v/>
      </c>
      <c r="AL57" s="215"/>
      <c r="AM57" s="215"/>
      <c r="AN57" s="215"/>
      <c r="AO57" s="215"/>
      <c r="AP57" s="215"/>
      <c r="AQ57" s="215"/>
      <c r="AR57" s="215"/>
      <c r="AS57" s="215"/>
      <c r="AT57" s="215"/>
      <c r="AU57" s="215"/>
      <c r="AV57" s="215"/>
      <c r="AW57" s="215"/>
      <c r="AX57" s="215"/>
      <c r="AY57" s="375"/>
      <c r="AZ57" s="375"/>
    </row>
    <row r="58" spans="1:58" ht="12" customHeight="1" x14ac:dyDescent="0.2">
      <c r="A58" s="154"/>
      <c r="B58" s="154"/>
      <c r="C58" s="215"/>
      <c r="D58" s="215"/>
      <c r="E58" s="215"/>
      <c r="F58" s="215"/>
      <c r="G58" s="215"/>
      <c r="H58" s="215"/>
      <c r="I58" s="215"/>
      <c r="J58" s="215"/>
      <c r="K58" s="215"/>
      <c r="L58" s="215"/>
      <c r="M58" s="215"/>
      <c r="N58" s="215"/>
      <c r="O58" s="215"/>
      <c r="P58" s="215"/>
      <c r="Q58" s="154"/>
      <c r="R58" s="154"/>
      <c r="S58" s="154"/>
      <c r="T58" s="215"/>
      <c r="U58" s="215"/>
      <c r="V58" s="215"/>
      <c r="W58" s="215"/>
      <c r="X58" s="215"/>
      <c r="Y58" s="215"/>
      <c r="Z58" s="215"/>
      <c r="AA58" s="215"/>
      <c r="AB58" s="215"/>
      <c r="AC58" s="215"/>
      <c r="AD58" s="215"/>
      <c r="AE58" s="215"/>
      <c r="AF58" s="215"/>
      <c r="AG58" s="215"/>
      <c r="AH58" s="154"/>
      <c r="AI58" s="154"/>
      <c r="AJ58" s="154"/>
      <c r="AK58" s="215"/>
      <c r="AL58" s="215"/>
      <c r="AM58" s="215"/>
      <c r="AN58" s="215"/>
      <c r="AO58" s="215"/>
      <c r="AP58" s="215"/>
      <c r="AQ58" s="215"/>
      <c r="AR58" s="215"/>
      <c r="AS58" s="215"/>
      <c r="AT58" s="215"/>
      <c r="AU58" s="215"/>
      <c r="AV58" s="215"/>
      <c r="AW58" s="215"/>
      <c r="AX58" s="215"/>
      <c r="AY58" s="375"/>
      <c r="AZ58" s="375"/>
    </row>
    <row r="59" spans="1:58" ht="12" customHeight="1" x14ac:dyDescent="0.2">
      <c r="A59" s="154"/>
      <c r="B59" s="154"/>
      <c r="C59" s="216"/>
      <c r="D59" s="216"/>
      <c r="E59" s="216"/>
      <c r="F59" s="216"/>
      <c r="G59" s="216"/>
      <c r="H59" s="216"/>
      <c r="I59" s="216"/>
      <c r="J59" s="216"/>
      <c r="K59" s="216"/>
      <c r="L59" s="216"/>
      <c r="M59" s="216"/>
      <c r="N59" s="216"/>
      <c r="O59" s="216"/>
      <c r="P59" s="216"/>
      <c r="Q59" s="154"/>
      <c r="R59" s="154"/>
      <c r="S59" s="154"/>
      <c r="T59" s="216"/>
      <c r="U59" s="216"/>
      <c r="V59" s="216"/>
      <c r="W59" s="216"/>
      <c r="X59" s="216"/>
      <c r="Y59" s="216"/>
      <c r="Z59" s="216"/>
      <c r="AA59" s="216"/>
      <c r="AB59" s="216"/>
      <c r="AC59" s="216"/>
      <c r="AD59" s="216"/>
      <c r="AE59" s="216"/>
      <c r="AF59" s="216"/>
      <c r="AG59" s="216"/>
      <c r="AH59" s="154"/>
      <c r="AI59" s="154"/>
      <c r="AJ59" s="154"/>
      <c r="AK59" s="216"/>
      <c r="AL59" s="216"/>
      <c r="AM59" s="216"/>
      <c r="AN59" s="216"/>
      <c r="AO59" s="216"/>
      <c r="AP59" s="216"/>
      <c r="AQ59" s="216"/>
      <c r="AR59" s="216"/>
      <c r="AS59" s="216"/>
      <c r="AT59" s="216"/>
      <c r="AU59" s="216"/>
      <c r="AV59" s="216"/>
      <c r="AW59" s="216"/>
      <c r="AX59" s="216"/>
      <c r="AY59" s="375"/>
      <c r="AZ59" s="375"/>
    </row>
    <row r="60" spans="1:58"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211" t="s">
        <v>51</v>
      </c>
      <c r="U60" s="211"/>
      <c r="V60" s="211"/>
      <c r="W60" s="211"/>
      <c r="X60" s="211"/>
      <c r="Y60" s="211"/>
      <c r="Z60" s="211"/>
      <c r="AA60" s="211"/>
      <c r="AB60" s="211"/>
      <c r="AC60" s="211"/>
      <c r="AD60" s="211"/>
      <c r="AE60" s="211"/>
      <c r="AF60" s="211"/>
      <c r="AG60" s="211"/>
      <c r="AH60" s="154"/>
      <c r="AI60" s="154"/>
      <c r="AJ60" s="154"/>
      <c r="AK60" s="211" t="s">
        <v>17</v>
      </c>
      <c r="AL60" s="211"/>
      <c r="AM60" s="211"/>
      <c r="AN60" s="211"/>
      <c r="AO60" s="211"/>
      <c r="AP60" s="211"/>
      <c r="AQ60" s="211"/>
      <c r="AR60" s="211"/>
      <c r="AS60" s="211"/>
      <c r="AT60" s="211"/>
      <c r="AU60" s="211"/>
      <c r="AV60" s="211"/>
      <c r="AW60" s="211"/>
      <c r="AX60" s="211"/>
      <c r="AY60" s="375"/>
      <c r="AZ60" s="375"/>
    </row>
    <row r="61" spans="1:58" ht="13.5" customHeight="1" x14ac:dyDescent="0.2">
      <c r="A61" s="148" t="s">
        <v>274</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73">
    <mergeCell ref="T57:AG59"/>
    <mergeCell ref="T60:AG60"/>
    <mergeCell ref="Q56:S60"/>
    <mergeCell ref="AH56:AJ60"/>
    <mergeCell ref="T56:AG56"/>
    <mergeCell ref="A27:AZ27"/>
    <mergeCell ref="A28:AZ28"/>
    <mergeCell ref="A41:AZ41"/>
    <mergeCell ref="A40:AZ40"/>
    <mergeCell ref="A29:AZ29"/>
    <mergeCell ref="A36:AZ36"/>
    <mergeCell ref="A37:AZ37"/>
    <mergeCell ref="A38:AZ38"/>
    <mergeCell ref="A39:AZ39"/>
    <mergeCell ref="A32:AZ32"/>
    <mergeCell ref="A33:AZ33"/>
    <mergeCell ref="A34:AZ34"/>
    <mergeCell ref="A35:AZ35"/>
    <mergeCell ref="A8:AZ8"/>
    <mergeCell ref="A4:AZ4"/>
    <mergeCell ref="A5:AZ5"/>
    <mergeCell ref="A6:G6"/>
    <mergeCell ref="I6:AD6"/>
    <mergeCell ref="A7:G7"/>
    <mergeCell ref="I7:AJ7"/>
    <mergeCell ref="AK7:AZ7"/>
    <mergeCell ref="AE6:AI6"/>
    <mergeCell ref="AK6:AZ6"/>
    <mergeCell ref="A1:AD3"/>
    <mergeCell ref="AE1:AI1"/>
    <mergeCell ref="AK1:AZ1"/>
    <mergeCell ref="AE2:AI2"/>
    <mergeCell ref="AK2:AZ2"/>
    <mergeCell ref="AE3:AZ3"/>
    <mergeCell ref="A53:AZ55"/>
    <mergeCell ref="A15:AZ17"/>
    <mergeCell ref="A50:AZ52"/>
    <mergeCell ref="A18:AZ18"/>
    <mergeCell ref="A19:AZ19"/>
    <mergeCell ref="A20:AZ20"/>
    <mergeCell ref="A21:AZ21"/>
    <mergeCell ref="A30:AZ30"/>
    <mergeCell ref="A31:AZ31"/>
    <mergeCell ref="A48:AZ48"/>
    <mergeCell ref="A49:AZ49"/>
    <mergeCell ref="A22:AZ22"/>
    <mergeCell ref="A23:AZ23"/>
    <mergeCell ref="A24:AZ24"/>
    <mergeCell ref="A25:AZ25"/>
    <mergeCell ref="A26:AZ26"/>
    <mergeCell ref="A9:AZ9"/>
    <mergeCell ref="A14:AZ14"/>
    <mergeCell ref="A10:B10"/>
    <mergeCell ref="A11:AZ11"/>
    <mergeCell ref="A12:AZ12"/>
    <mergeCell ref="D10:AZ10"/>
    <mergeCell ref="A13:AZ13"/>
    <mergeCell ref="A61:Z61"/>
    <mergeCell ref="AA61:AZ61"/>
    <mergeCell ref="A42:AZ42"/>
    <mergeCell ref="A47:AZ47"/>
    <mergeCell ref="A43:AZ43"/>
    <mergeCell ref="A44:AZ44"/>
    <mergeCell ref="A45:AZ45"/>
    <mergeCell ref="A46:AZ46"/>
    <mergeCell ref="AK57:AX59"/>
    <mergeCell ref="C57:P59"/>
    <mergeCell ref="AY56:AZ60"/>
    <mergeCell ref="A56:B60"/>
    <mergeCell ref="AK60:AX60"/>
    <mergeCell ref="C60:P60"/>
    <mergeCell ref="C56:P56"/>
    <mergeCell ref="AK56:AX56"/>
  </mergeCells>
  <phoneticPr fontId="2" type="noConversion"/>
  <conditionalFormatting sqref="AK1:AZ2 I6:I7 AK6">
    <cfRule type="containsBlanks" dxfId="44" priority="8" stopIfTrue="1">
      <formula>LEN(TRIM(I1))=0</formula>
    </cfRule>
  </conditionalFormatting>
  <conditionalFormatting sqref="D10">
    <cfRule type="containsBlanks" dxfId="43" priority="7" stopIfTrue="1">
      <formula>LEN(TRIM(D10))=0</formula>
    </cfRule>
  </conditionalFormatting>
  <conditionalFormatting sqref="A18">
    <cfRule type="containsBlanks" dxfId="42" priority="6" stopIfTrue="1">
      <formula>LEN(TRIM(A18))=0</formula>
    </cfRule>
  </conditionalFormatting>
  <conditionalFormatting sqref="AK57 T57 C57">
    <cfRule type="containsBlanks" dxfId="41" priority="1" stopIfTrue="1">
      <formula>LEN(TRIM(C57))=0</formula>
    </cfRule>
  </conditionalFormatting>
  <dataValidations count="3">
    <dataValidation type="date" allowBlank="1" showInputMessage="1" showErrorMessage="1" error="Must enter date (mm/dd/yyyy)" sqref="AK6" xr:uid="{00000000-0002-0000-1200-000000000000}">
      <formula1>1</formula1>
      <formula2>73050</formula2>
    </dataValidation>
    <dataValidation allowBlank="1" showInputMessage="1" showErrorMessage="1" prompt="Please advise who the Letter of Protest is being issued to" sqref="D10:AZ10" xr:uid="{00000000-0002-0000-1200-000002000000}"/>
    <dataValidation allowBlank="1" showInputMessage="1" showErrorMessage="1" prompt="If a letter of protest needs to be issued please fill out this section of the report detailing the reasons why." sqref="A18:AZ18" xr:uid="{00000000-0002-0000-1200-000003000000}"/>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theme="7" tint="0.39997558519241921"/>
    <pageSetUpPr fitToPage="1"/>
  </sheetPr>
  <dimension ref="A1:BB44"/>
  <sheetViews>
    <sheetView zoomScaleNormal="100" workbookViewId="0">
      <selection activeCell="BG36" sqref="BG36"/>
    </sheetView>
  </sheetViews>
  <sheetFormatPr defaultColWidth="9.140625" defaultRowHeight="12" customHeight="1" x14ac:dyDescent="0.2"/>
  <cols>
    <col min="1" max="52" width="1.7109375" style="17" customWidth="1"/>
    <col min="53" max="53" width="4.7109375" style="17" customWidth="1"/>
    <col min="54" max="54" width="9.140625" style="17" hidden="1" customWidth="1"/>
    <col min="55" max="16384" width="9.140625" style="17"/>
  </cols>
  <sheetData>
    <row r="1" spans="1:54" ht="17.100000000000001" customHeight="1" x14ac:dyDescent="0.25">
      <c r="A1" s="246"/>
      <c r="B1" s="246"/>
      <c r="C1" s="246"/>
      <c r="D1" s="246"/>
      <c r="E1" s="246"/>
      <c r="F1" s="246"/>
      <c r="G1" s="246"/>
      <c r="H1" s="246"/>
      <c r="I1" s="246"/>
      <c r="J1" s="246"/>
      <c r="K1" s="246"/>
      <c r="L1" s="246"/>
      <c r="M1" s="246"/>
      <c r="N1" s="246"/>
      <c r="O1" s="246"/>
      <c r="P1" s="246"/>
      <c r="Q1" s="246"/>
      <c r="R1" s="246"/>
      <c r="S1" s="246"/>
      <c r="T1" s="246"/>
      <c r="U1" s="246"/>
      <c r="V1" s="246"/>
      <c r="W1" s="246"/>
      <c r="X1" s="246"/>
      <c r="Y1" s="261" t="s">
        <v>254</v>
      </c>
      <c r="Z1" s="261"/>
      <c r="AA1" s="261"/>
      <c r="AB1" s="261"/>
      <c r="AC1" s="261"/>
      <c r="AD1" s="261"/>
      <c r="AE1" s="261"/>
      <c r="AF1" s="261"/>
      <c r="AG1" s="261"/>
      <c r="AH1" s="261"/>
      <c r="AI1" s="261"/>
      <c r="AJ1" s="261"/>
      <c r="AK1" s="261"/>
      <c r="AL1" s="261"/>
      <c r="AM1" s="261"/>
      <c r="AN1" s="261"/>
      <c r="AO1" s="261"/>
      <c r="AP1" s="261"/>
      <c r="AQ1" s="261"/>
      <c r="AR1" s="261"/>
      <c r="AS1" s="261"/>
      <c r="AT1" s="261"/>
      <c r="AU1" s="261"/>
      <c r="AV1" s="261"/>
      <c r="AW1" s="261"/>
      <c r="AX1" s="261"/>
      <c r="AY1" s="261"/>
      <c r="AZ1" s="261"/>
    </row>
    <row r="2" spans="1:54" ht="17.100000000000001" customHeight="1" x14ac:dyDescent="0.2">
      <c r="A2" s="246"/>
      <c r="B2" s="246"/>
      <c r="C2" s="246"/>
      <c r="D2" s="246"/>
      <c r="E2" s="246"/>
      <c r="F2" s="246"/>
      <c r="G2" s="246"/>
      <c r="H2" s="246"/>
      <c r="I2" s="246"/>
      <c r="J2" s="246"/>
      <c r="K2" s="246"/>
      <c r="L2" s="246"/>
      <c r="M2" s="246"/>
      <c r="N2" s="246"/>
      <c r="O2" s="246"/>
      <c r="P2" s="246"/>
      <c r="Q2" s="246"/>
      <c r="R2" s="246"/>
      <c r="S2" s="246"/>
      <c r="T2" s="246"/>
      <c r="U2" s="246"/>
      <c r="V2" s="246"/>
      <c r="W2" s="246"/>
      <c r="X2" s="246"/>
      <c r="Y2" s="241" t="str">
        <f>"of " &amp; 'Data Entry'!N24 &amp; " to the"</f>
        <v>of  to the</v>
      </c>
      <c r="Z2" s="241"/>
      <c r="AA2" s="241"/>
      <c r="AB2" s="241"/>
      <c r="AC2" s="241"/>
      <c r="AD2" s="241"/>
      <c r="AE2" s="241"/>
      <c r="AF2" s="241"/>
      <c r="AG2" s="241"/>
      <c r="AH2" s="241"/>
      <c r="AI2" s="241"/>
      <c r="AJ2" s="241"/>
      <c r="AK2" s="241"/>
      <c r="AL2" s="241"/>
      <c r="AM2" s="241"/>
      <c r="AN2" s="241"/>
      <c r="AO2" s="241"/>
      <c r="AP2" s="241"/>
      <c r="AQ2" s="241"/>
      <c r="AR2" s="241"/>
      <c r="AS2" s="241"/>
      <c r="AT2" s="241"/>
      <c r="AU2" s="241"/>
      <c r="AV2" s="241"/>
      <c r="AW2" s="241"/>
      <c r="AX2" s="241"/>
      <c r="AY2" s="241"/>
      <c r="AZ2" s="241"/>
    </row>
    <row r="3" spans="1:54" ht="17.100000000000001" customHeight="1" x14ac:dyDescent="0.2">
      <c r="A3" s="246"/>
      <c r="B3" s="246"/>
      <c r="C3" s="246"/>
      <c r="D3" s="246"/>
      <c r="E3" s="246"/>
      <c r="F3" s="246"/>
      <c r="G3" s="246"/>
      <c r="H3" s="246"/>
      <c r="I3" s="246"/>
      <c r="J3" s="246"/>
      <c r="K3" s="246"/>
      <c r="L3" s="246"/>
      <c r="M3" s="246"/>
      <c r="N3" s="246"/>
      <c r="O3" s="246"/>
      <c r="P3" s="246"/>
      <c r="Q3" s="246"/>
      <c r="R3" s="246"/>
      <c r="S3" s="246"/>
      <c r="T3" s="246"/>
      <c r="U3" s="246"/>
      <c r="V3" s="246"/>
      <c r="W3" s="246"/>
      <c r="X3" s="246"/>
      <c r="Y3" s="262">
        <f>'Data Entry'!N6</f>
        <v>0</v>
      </c>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row>
    <row r="4" spans="1:54" ht="17.100000000000001" customHeight="1" x14ac:dyDescent="0.2">
      <c r="A4" s="246"/>
      <c r="B4" s="246"/>
      <c r="C4" s="246"/>
      <c r="D4" s="246"/>
      <c r="E4" s="246"/>
      <c r="F4" s="246"/>
      <c r="G4" s="246"/>
      <c r="H4" s="246"/>
      <c r="I4" s="246"/>
      <c r="J4" s="246"/>
      <c r="K4" s="246"/>
      <c r="L4" s="246"/>
      <c r="M4" s="246"/>
      <c r="N4" s="246"/>
      <c r="O4" s="246"/>
      <c r="P4" s="246"/>
      <c r="Q4" s="246"/>
      <c r="R4" s="246"/>
      <c r="S4" s="246"/>
      <c r="T4" s="246"/>
      <c r="U4" s="246"/>
      <c r="V4" s="246"/>
      <c r="W4" s="246"/>
      <c r="X4" s="246"/>
      <c r="Y4" s="246" t="str">
        <f>IF('Data Entry'!G86=0,"","REPORT REVISION # " &amp; 'Data Entry'!G86)</f>
        <v/>
      </c>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row>
    <row r="5" spans="1:54" ht="17.100000000000001" customHeight="1" x14ac:dyDescent="0.2">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row>
    <row r="6" spans="1:54" ht="17.100000000000001" customHeight="1" x14ac:dyDescent="0.2">
      <c r="A6" s="264" t="s">
        <v>64</v>
      </c>
      <c r="B6" s="265"/>
      <c r="C6" s="265"/>
      <c r="D6" s="265" t="str">
        <f>IF('Data Entry'!N32="","",'Data Entry'!N32)</f>
        <v/>
      </c>
      <c r="E6" s="265"/>
      <c r="F6" s="265"/>
      <c r="G6" s="265"/>
      <c r="H6" s="265"/>
      <c r="I6" s="265"/>
      <c r="J6" s="265"/>
      <c r="K6" s="265"/>
      <c r="L6" s="265"/>
      <c r="M6" s="265"/>
      <c r="N6" s="265"/>
      <c r="O6" s="265"/>
      <c r="P6" s="265"/>
      <c r="Q6" s="265"/>
      <c r="R6" s="265"/>
      <c r="S6" s="265"/>
      <c r="T6" s="265"/>
      <c r="U6" s="265"/>
      <c r="V6" s="266"/>
      <c r="W6" s="246"/>
      <c r="X6" s="278"/>
      <c r="Y6" s="264" t="s">
        <v>66</v>
      </c>
      <c r="Z6" s="265"/>
      <c r="AA6" s="265"/>
      <c r="AB6" s="265"/>
      <c r="AC6" s="265"/>
      <c r="AD6" s="265"/>
      <c r="AE6" s="267" t="s">
        <v>0</v>
      </c>
      <c r="AF6" s="267"/>
      <c r="AG6" s="265" t="str">
        <f>IF('Data Entry'!N6="","",'Data Entry'!N6)</f>
        <v/>
      </c>
      <c r="AH6" s="265"/>
      <c r="AI6" s="265"/>
      <c r="AJ6" s="265"/>
      <c r="AK6" s="265"/>
      <c r="AL6" s="265"/>
      <c r="AM6" s="265"/>
      <c r="AN6" s="265"/>
      <c r="AO6" s="265"/>
      <c r="AP6" s="265"/>
      <c r="AQ6" s="265"/>
      <c r="AR6" s="265"/>
      <c r="AS6" s="265"/>
      <c r="AT6" s="265"/>
      <c r="AU6" s="265"/>
      <c r="AV6" s="265"/>
      <c r="AW6" s="265"/>
      <c r="AX6" s="265"/>
      <c r="AY6" s="265"/>
      <c r="AZ6" s="266"/>
    </row>
    <row r="7" spans="1:54" ht="17.100000000000001" customHeight="1" x14ac:dyDescent="0.2">
      <c r="A7" s="251"/>
      <c r="B7" s="242"/>
      <c r="C7" s="242"/>
      <c r="D7" s="242" t="str">
        <f>IF('Data Entry'!N33="","",'Data Entry'!N33)</f>
        <v/>
      </c>
      <c r="E7" s="242"/>
      <c r="F7" s="242"/>
      <c r="G7" s="242"/>
      <c r="H7" s="242"/>
      <c r="I7" s="242"/>
      <c r="J7" s="242"/>
      <c r="K7" s="242"/>
      <c r="L7" s="242"/>
      <c r="M7" s="242"/>
      <c r="N7" s="242"/>
      <c r="O7" s="242"/>
      <c r="P7" s="242"/>
      <c r="Q7" s="242"/>
      <c r="R7" s="242"/>
      <c r="S7" s="242"/>
      <c r="T7" s="242"/>
      <c r="U7" s="242"/>
      <c r="V7" s="252"/>
      <c r="W7" s="246"/>
      <c r="X7" s="278"/>
      <c r="Y7" s="251" t="s">
        <v>246</v>
      </c>
      <c r="Z7" s="242"/>
      <c r="AA7" s="242"/>
      <c r="AB7" s="242"/>
      <c r="AC7" s="242"/>
      <c r="AD7" s="242"/>
      <c r="AE7" s="246" t="s">
        <v>0</v>
      </c>
      <c r="AF7" s="246"/>
      <c r="AG7" s="242" t="str">
        <f>IF('Data Entry'!N7="","",'Data Entry'!N7)</f>
        <v/>
      </c>
      <c r="AH7" s="242"/>
      <c r="AI7" s="242"/>
      <c r="AJ7" s="242"/>
      <c r="AK7" s="242"/>
      <c r="AL7" s="242"/>
      <c r="AM7" s="242"/>
      <c r="AN7" s="242"/>
      <c r="AO7" s="242"/>
      <c r="AP7" s="242"/>
      <c r="AQ7" s="242"/>
      <c r="AR7" s="242"/>
      <c r="AS7" s="242"/>
      <c r="AT7" s="242"/>
      <c r="AU7" s="242"/>
      <c r="AV7" s="242"/>
      <c r="AW7" s="242"/>
      <c r="AX7" s="242"/>
      <c r="AY7" s="242"/>
      <c r="AZ7" s="252"/>
    </row>
    <row r="8" spans="1:54" ht="17.100000000000001" customHeight="1" x14ac:dyDescent="0.2">
      <c r="A8" s="251"/>
      <c r="B8" s="242"/>
      <c r="C8" s="242"/>
      <c r="D8" s="242" t="str">
        <f>IF('Data Entry'!N34="","",'Data Entry'!N34)</f>
        <v/>
      </c>
      <c r="E8" s="242"/>
      <c r="F8" s="242"/>
      <c r="G8" s="242"/>
      <c r="H8" s="242"/>
      <c r="I8" s="242"/>
      <c r="J8" s="242"/>
      <c r="K8" s="242"/>
      <c r="L8" s="242"/>
      <c r="M8" s="242"/>
      <c r="N8" s="242"/>
      <c r="O8" s="242"/>
      <c r="P8" s="242"/>
      <c r="Q8" s="242"/>
      <c r="R8" s="242"/>
      <c r="S8" s="242"/>
      <c r="T8" s="242"/>
      <c r="U8" s="242"/>
      <c r="V8" s="252"/>
      <c r="W8" s="246"/>
      <c r="X8" s="278"/>
      <c r="Y8" s="251" t="s">
        <v>177</v>
      </c>
      <c r="Z8" s="242"/>
      <c r="AA8" s="242"/>
      <c r="AB8" s="242"/>
      <c r="AC8" s="242"/>
      <c r="AD8" s="242"/>
      <c r="AE8" s="246" t="s">
        <v>0</v>
      </c>
      <c r="AF8" s="246"/>
      <c r="AG8" s="242" t="str">
        <f>IF('Data Entry'!N39="","",'Data Entry'!N39)</f>
        <v>SC17124</v>
      </c>
      <c r="AH8" s="242"/>
      <c r="AI8" s="242"/>
      <c r="AJ8" s="242"/>
      <c r="AK8" s="242"/>
      <c r="AL8" s="242"/>
      <c r="AM8" s="242"/>
      <c r="AN8" s="242"/>
      <c r="AO8" s="242"/>
      <c r="AP8" s="242"/>
      <c r="AQ8" s="242"/>
      <c r="AR8" s="242"/>
      <c r="AS8" s="242"/>
      <c r="AT8" s="242"/>
      <c r="AU8" s="242"/>
      <c r="AV8" s="242"/>
      <c r="AW8" s="242"/>
      <c r="AX8" s="242"/>
      <c r="AY8" s="242"/>
      <c r="AZ8" s="252"/>
    </row>
    <row r="9" spans="1:54" ht="17.100000000000001" customHeight="1" x14ac:dyDescent="0.2">
      <c r="A9" s="251"/>
      <c r="B9" s="242"/>
      <c r="C9" s="242"/>
      <c r="D9" s="242"/>
      <c r="E9" s="242"/>
      <c r="F9" s="242"/>
      <c r="G9" s="242"/>
      <c r="H9" s="242"/>
      <c r="I9" s="242"/>
      <c r="J9" s="242"/>
      <c r="K9" s="242"/>
      <c r="L9" s="242"/>
      <c r="M9" s="242"/>
      <c r="N9" s="242"/>
      <c r="O9" s="242"/>
      <c r="P9" s="242"/>
      <c r="Q9" s="242"/>
      <c r="R9" s="242"/>
      <c r="S9" s="242"/>
      <c r="T9" s="242"/>
      <c r="U9" s="242"/>
      <c r="V9" s="252"/>
      <c r="W9" s="246"/>
      <c r="X9" s="278"/>
      <c r="Y9" s="251" t="s">
        <v>247</v>
      </c>
      <c r="Z9" s="242"/>
      <c r="AA9" s="242"/>
      <c r="AB9" s="242"/>
      <c r="AC9" s="242"/>
      <c r="AD9" s="242"/>
      <c r="AE9" s="246" t="s">
        <v>0</v>
      </c>
      <c r="AF9" s="246"/>
      <c r="AG9" s="242" t="str">
        <f>IF('Data Entry'!N21="","",'Data Entry'!N21)</f>
        <v/>
      </c>
      <c r="AH9" s="242"/>
      <c r="AI9" s="242"/>
      <c r="AJ9" s="242"/>
      <c r="AK9" s="242"/>
      <c r="AL9" s="242"/>
      <c r="AM9" s="242"/>
      <c r="AN9" s="242"/>
      <c r="AO9" s="242"/>
      <c r="AP9" s="242"/>
      <c r="AQ9" s="242"/>
      <c r="AR9" s="242"/>
      <c r="AS9" s="242"/>
      <c r="AT9" s="242"/>
      <c r="AU9" s="242"/>
      <c r="AV9" s="242"/>
      <c r="AW9" s="242"/>
      <c r="AX9" s="242"/>
      <c r="AY9" s="242"/>
      <c r="AZ9" s="252"/>
    </row>
    <row r="10" spans="1:54" ht="17.100000000000001" customHeight="1" x14ac:dyDescent="0.2">
      <c r="A10" s="251"/>
      <c r="B10" s="242"/>
      <c r="C10" s="242"/>
      <c r="D10" s="242"/>
      <c r="E10" s="242"/>
      <c r="F10" s="242"/>
      <c r="G10" s="242"/>
      <c r="H10" s="242"/>
      <c r="I10" s="242"/>
      <c r="J10" s="242"/>
      <c r="K10" s="242"/>
      <c r="L10" s="242"/>
      <c r="M10" s="242"/>
      <c r="N10" s="242"/>
      <c r="O10" s="242"/>
      <c r="P10" s="242"/>
      <c r="Q10" s="242"/>
      <c r="R10" s="242"/>
      <c r="S10" s="242"/>
      <c r="T10" s="242"/>
      <c r="U10" s="242"/>
      <c r="V10" s="252"/>
      <c r="W10" s="246"/>
      <c r="X10" s="278"/>
      <c r="Y10" s="251" t="s">
        <v>69</v>
      </c>
      <c r="Z10" s="242"/>
      <c r="AA10" s="242"/>
      <c r="AB10" s="242"/>
      <c r="AC10" s="242"/>
      <c r="AD10" s="242"/>
      <c r="AE10" s="246" t="s">
        <v>0</v>
      </c>
      <c r="AF10" s="246"/>
      <c r="AG10" s="242" t="str">
        <f>IF('Data Entry'!N22="","",'Data Entry'!N22)</f>
        <v/>
      </c>
      <c r="AH10" s="242"/>
      <c r="AI10" s="242"/>
      <c r="AJ10" s="242"/>
      <c r="AK10" s="242"/>
      <c r="AL10" s="242"/>
      <c r="AM10" s="242"/>
      <c r="AN10" s="242"/>
      <c r="AO10" s="242"/>
      <c r="AP10" s="242"/>
      <c r="AQ10" s="242"/>
      <c r="AR10" s="242"/>
      <c r="AS10" s="242"/>
      <c r="AT10" s="242"/>
      <c r="AU10" s="242"/>
      <c r="AV10" s="242"/>
      <c r="AW10" s="242"/>
      <c r="AX10" s="242"/>
      <c r="AY10" s="242"/>
      <c r="AZ10" s="252"/>
    </row>
    <row r="11" spans="1:54" ht="17.100000000000001" customHeight="1" x14ac:dyDescent="0.2">
      <c r="A11" s="251" t="s">
        <v>65</v>
      </c>
      <c r="B11" s="242"/>
      <c r="C11" s="242"/>
      <c r="D11" s="242" t="str">
        <f>IF('Data Entry'!N35="","",'Data Entry'!N35)</f>
        <v/>
      </c>
      <c r="E11" s="242"/>
      <c r="F11" s="242"/>
      <c r="G11" s="242"/>
      <c r="H11" s="242"/>
      <c r="I11" s="242"/>
      <c r="J11" s="242"/>
      <c r="K11" s="242"/>
      <c r="L11" s="242"/>
      <c r="M11" s="242"/>
      <c r="N11" s="242"/>
      <c r="O11" s="242"/>
      <c r="P11" s="242"/>
      <c r="Q11" s="242"/>
      <c r="R11" s="242"/>
      <c r="S11" s="242"/>
      <c r="T11" s="242"/>
      <c r="U11" s="242"/>
      <c r="V11" s="252"/>
      <c r="W11" s="246"/>
      <c r="X11" s="278"/>
      <c r="Y11" s="251" t="s">
        <v>320</v>
      </c>
      <c r="Z11" s="242"/>
      <c r="AA11" s="242"/>
      <c r="AB11" s="242"/>
      <c r="AC11" s="242"/>
      <c r="AD11" s="242"/>
      <c r="AE11" s="246" t="s">
        <v>0</v>
      </c>
      <c r="AF11" s="246"/>
      <c r="AG11" s="242" t="str">
        <f>IF('Data Entry'!N24="","",'Data Entry'!N24)</f>
        <v/>
      </c>
      <c r="AH11" s="242"/>
      <c r="AI11" s="242"/>
      <c r="AJ11" s="242"/>
      <c r="AK11" s="242"/>
      <c r="AL11" s="242"/>
      <c r="AM11" s="242"/>
      <c r="AN11" s="242"/>
      <c r="AO11" s="242"/>
      <c r="AP11" s="242"/>
      <c r="AQ11" s="242"/>
      <c r="AR11" s="242"/>
      <c r="AS11" s="242"/>
      <c r="AT11" s="242"/>
      <c r="AU11" s="242"/>
      <c r="AV11" s="242"/>
      <c r="AW11" s="242"/>
      <c r="AX11" s="242"/>
      <c r="AY11" s="242"/>
      <c r="AZ11" s="252"/>
    </row>
    <row r="12" spans="1:54" ht="17.100000000000001" customHeight="1" x14ac:dyDescent="0.2">
      <c r="A12" s="251"/>
      <c r="B12" s="242"/>
      <c r="C12" s="242"/>
      <c r="D12" s="242" t="str">
        <f>IF('Data Entry'!N36="","",'Data Entry'!N36)</f>
        <v/>
      </c>
      <c r="E12" s="242"/>
      <c r="F12" s="242"/>
      <c r="G12" s="242"/>
      <c r="H12" s="242"/>
      <c r="I12" s="242"/>
      <c r="J12" s="242"/>
      <c r="K12" s="242"/>
      <c r="L12" s="242"/>
      <c r="M12" s="242"/>
      <c r="N12" s="242"/>
      <c r="O12" s="242"/>
      <c r="P12" s="242"/>
      <c r="Q12" s="242"/>
      <c r="R12" s="242"/>
      <c r="S12" s="242"/>
      <c r="T12" s="242"/>
      <c r="U12" s="242"/>
      <c r="V12" s="252"/>
      <c r="W12" s="246"/>
      <c r="X12" s="278"/>
      <c r="Y12" s="251" t="s">
        <v>67</v>
      </c>
      <c r="Z12" s="242"/>
      <c r="AA12" s="242"/>
      <c r="AB12" s="242"/>
      <c r="AC12" s="242"/>
      <c r="AD12" s="242"/>
      <c r="AE12" s="246" t="s">
        <v>0</v>
      </c>
      <c r="AF12" s="246"/>
      <c r="AG12" s="268" t="str">
        <f>IF('Data Entry'!N20="","",'Data Entry'!N20)</f>
        <v/>
      </c>
      <c r="AH12" s="268"/>
      <c r="AI12" s="268"/>
      <c r="AJ12" s="268"/>
      <c r="AK12" s="268"/>
      <c r="AL12" s="268"/>
      <c r="AM12" s="268"/>
      <c r="AN12" s="268"/>
      <c r="AO12" s="268"/>
      <c r="AP12" s="268"/>
      <c r="AQ12" s="268"/>
      <c r="AR12" s="268"/>
      <c r="AS12" s="268"/>
      <c r="AT12" s="268"/>
      <c r="AU12" s="268"/>
      <c r="AV12" s="268"/>
      <c r="AW12" s="268"/>
      <c r="AX12" s="268"/>
      <c r="AY12" s="268"/>
      <c r="AZ12" s="269"/>
    </row>
    <row r="13" spans="1:54" ht="17.100000000000001" customHeight="1" x14ac:dyDescent="0.2">
      <c r="A13" s="251"/>
      <c r="B13" s="242"/>
      <c r="C13" s="242"/>
      <c r="D13" s="242" t="str">
        <f>IF('Data Entry'!N37="","",'Data Entry'!N37)</f>
        <v/>
      </c>
      <c r="E13" s="242"/>
      <c r="F13" s="242"/>
      <c r="G13" s="242"/>
      <c r="H13" s="242"/>
      <c r="I13" s="242"/>
      <c r="J13" s="242"/>
      <c r="K13" s="242"/>
      <c r="L13" s="242"/>
      <c r="M13" s="242"/>
      <c r="N13" s="242"/>
      <c r="O13" s="242"/>
      <c r="P13" s="242"/>
      <c r="Q13" s="242"/>
      <c r="R13" s="242"/>
      <c r="S13" s="242"/>
      <c r="T13" s="242"/>
      <c r="U13" s="242"/>
      <c r="V13" s="252"/>
      <c r="W13" s="246"/>
      <c r="X13" s="278"/>
      <c r="Y13" s="251" t="s">
        <v>68</v>
      </c>
      <c r="Z13" s="242"/>
      <c r="AA13" s="242"/>
      <c r="AB13" s="242"/>
      <c r="AC13" s="242"/>
      <c r="AD13" s="242"/>
      <c r="AE13" s="246" t="s">
        <v>0</v>
      </c>
      <c r="AF13" s="246"/>
      <c r="AG13" s="242" t="str">
        <f>IF('Data Entry'!N27="","",'Data Entry'!N27)</f>
        <v>İSTANBUL</v>
      </c>
      <c r="AH13" s="242"/>
      <c r="AI13" s="242"/>
      <c r="AJ13" s="242"/>
      <c r="AK13" s="242"/>
      <c r="AL13" s="242"/>
      <c r="AM13" s="242"/>
      <c r="AN13" s="242"/>
      <c r="AO13" s="242"/>
      <c r="AP13" s="242"/>
      <c r="AQ13" s="242"/>
      <c r="AR13" s="242"/>
      <c r="AS13" s="242"/>
      <c r="AT13" s="242"/>
      <c r="AU13" s="242"/>
      <c r="AV13" s="242"/>
      <c r="AW13" s="242"/>
      <c r="AX13" s="242"/>
      <c r="AY13" s="242"/>
      <c r="AZ13" s="252"/>
      <c r="BB13" s="17" t="s">
        <v>95</v>
      </c>
    </row>
    <row r="14" spans="1:54" ht="17.100000000000001" customHeight="1" x14ac:dyDescent="0.2">
      <c r="A14" s="251"/>
      <c r="B14" s="242"/>
      <c r="C14" s="242"/>
      <c r="D14" s="242" t="str">
        <f>IF('Data Entry'!N38="","",'Data Entry'!N38)</f>
        <v/>
      </c>
      <c r="E14" s="242"/>
      <c r="F14" s="242"/>
      <c r="G14" s="242"/>
      <c r="H14" s="242"/>
      <c r="I14" s="242"/>
      <c r="J14" s="242"/>
      <c r="K14" s="242"/>
      <c r="L14" s="242"/>
      <c r="M14" s="242"/>
      <c r="N14" s="242"/>
      <c r="O14" s="242"/>
      <c r="P14" s="242"/>
      <c r="Q14" s="242"/>
      <c r="R14" s="242"/>
      <c r="S14" s="242"/>
      <c r="T14" s="242"/>
      <c r="U14" s="242"/>
      <c r="V14" s="252"/>
      <c r="W14" s="246"/>
      <c r="X14" s="278"/>
      <c r="Y14" s="251" t="s">
        <v>70</v>
      </c>
      <c r="Z14" s="242"/>
      <c r="AA14" s="242"/>
      <c r="AB14" s="242"/>
      <c r="AC14" s="242"/>
      <c r="AD14" s="242"/>
      <c r="AE14" s="246" t="s">
        <v>71</v>
      </c>
      <c r="AF14" s="246"/>
      <c r="AG14" s="242" t="s">
        <v>73</v>
      </c>
      <c r="AH14" s="242"/>
      <c r="AI14" s="242"/>
      <c r="AJ14" s="242"/>
      <c r="AK14" s="242"/>
      <c r="AL14" s="242"/>
      <c r="AM14" s="242"/>
      <c r="AN14" s="246" t="s">
        <v>0</v>
      </c>
      <c r="AO14" s="246"/>
      <c r="AP14" s="549">
        <f>'Bunker Certificate 1'!AP14</f>
        <v>40</v>
      </c>
      <c r="AQ14" s="549"/>
      <c r="AR14" s="549"/>
      <c r="AS14" s="17" t="str">
        <f>"°"</f>
        <v>°</v>
      </c>
      <c r="AT14" s="547">
        <f>'Bunker Certificate 1'!AT14</f>
        <v>56.6</v>
      </c>
      <c r="AU14" s="547"/>
      <c r="AV14" s="547"/>
      <c r="AW14" s="17" t="str">
        <f>"'"</f>
        <v>'</v>
      </c>
      <c r="AX14" s="544" t="str">
        <f>'Bunker Certificate 1'!AX14</f>
        <v>N</v>
      </c>
      <c r="AY14" s="242"/>
      <c r="AZ14" s="252"/>
      <c r="BB14" s="17" t="s">
        <v>96</v>
      </c>
    </row>
    <row r="15" spans="1:54" ht="17.100000000000001" customHeight="1" x14ac:dyDescent="0.2">
      <c r="A15" s="287"/>
      <c r="B15" s="247"/>
      <c r="C15" s="247"/>
      <c r="D15" s="247"/>
      <c r="E15" s="247"/>
      <c r="F15" s="247"/>
      <c r="G15" s="247"/>
      <c r="H15" s="247"/>
      <c r="I15" s="247"/>
      <c r="J15" s="247"/>
      <c r="K15" s="247"/>
      <c r="L15" s="247"/>
      <c r="M15" s="247"/>
      <c r="N15" s="247"/>
      <c r="O15" s="247"/>
      <c r="P15" s="247"/>
      <c r="Q15" s="247"/>
      <c r="R15" s="247"/>
      <c r="S15" s="247"/>
      <c r="T15" s="247"/>
      <c r="U15" s="247"/>
      <c r="V15" s="288"/>
      <c r="W15" s="246"/>
      <c r="X15" s="278"/>
      <c r="Y15" s="248"/>
      <c r="Z15" s="249"/>
      <c r="AA15" s="249"/>
      <c r="AB15" s="249"/>
      <c r="AC15" s="249"/>
      <c r="AD15" s="249"/>
      <c r="AE15" s="249"/>
      <c r="AF15" s="249"/>
      <c r="AG15" s="250" t="s">
        <v>72</v>
      </c>
      <c r="AH15" s="250"/>
      <c r="AI15" s="250"/>
      <c r="AJ15" s="250"/>
      <c r="AK15" s="250"/>
      <c r="AL15" s="250"/>
      <c r="AM15" s="250"/>
      <c r="AN15" s="247" t="s">
        <v>0</v>
      </c>
      <c r="AO15" s="247"/>
      <c r="AP15" s="543">
        <f>'Bunker Certificate 1'!AP15</f>
        <v>28</v>
      </c>
      <c r="AQ15" s="543"/>
      <c r="AR15" s="543"/>
      <c r="AS15" s="18" t="str">
        <f>"°"</f>
        <v>°</v>
      </c>
      <c r="AT15" s="548">
        <f>'Bunker Certificate 1'!AT15</f>
        <v>52.9</v>
      </c>
      <c r="AU15" s="548"/>
      <c r="AV15" s="548"/>
      <c r="AW15" s="18" t="str">
        <f>"'"</f>
        <v>'</v>
      </c>
      <c r="AX15" s="545" t="str">
        <f>'Bunker Certificate 1'!AX15</f>
        <v>E</v>
      </c>
      <c r="AY15" s="249"/>
      <c r="AZ15" s="546"/>
      <c r="BB15" s="17" t="s">
        <v>97</v>
      </c>
    </row>
    <row r="16" spans="1:54" ht="17.100000000000001" customHeight="1" x14ac:dyDescent="0.2">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B16" s="17" t="s">
        <v>98</v>
      </c>
    </row>
    <row r="17" spans="1:54" ht="17.100000000000001" customHeight="1" x14ac:dyDescent="0.2">
      <c r="A17" s="242" t="s">
        <v>255</v>
      </c>
      <c r="B17" s="242"/>
      <c r="C17" s="242"/>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2"/>
      <c r="AI17" s="242"/>
      <c r="AJ17" s="242"/>
      <c r="AK17" s="242"/>
      <c r="AL17" s="242"/>
      <c r="AM17" s="242"/>
      <c r="AN17" s="242"/>
      <c r="AO17" s="242"/>
      <c r="AP17" s="242"/>
      <c r="AQ17" s="242"/>
      <c r="AR17" s="242"/>
      <c r="AS17" s="242"/>
      <c r="AT17" s="242"/>
      <c r="AU17" s="242"/>
      <c r="AV17" s="242"/>
      <c r="AW17" s="242"/>
      <c r="AX17" s="242"/>
      <c r="AY17" s="242"/>
      <c r="AZ17" s="242"/>
    </row>
    <row r="18" spans="1:54" ht="17.100000000000001" customHeight="1" x14ac:dyDescent="0.2">
      <c r="A18" s="242" t="str">
        <f>"This is to certify that the " &amp; AG6 &amp; " has been bunkered with"</f>
        <v>This is to certify that the  has been bunkered with</v>
      </c>
      <c r="B18" s="242"/>
      <c r="C18" s="242"/>
      <c r="D18" s="242"/>
      <c r="E18" s="242"/>
      <c r="F18" s="242"/>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242"/>
      <c r="AU18" s="242"/>
      <c r="AV18" s="242"/>
      <c r="AW18" s="242"/>
      <c r="AX18" s="242"/>
      <c r="AY18" s="242"/>
      <c r="AZ18" s="242"/>
    </row>
    <row r="19" spans="1:54" ht="17.100000000000001" customHeight="1" x14ac:dyDescent="0.2">
      <c r="A19" s="242" t="str">
        <f>AG11 &amp; " from the " &amp; AG8 &amp; " at " &amp; AG13 &amp; "."</f>
        <v xml:space="preserve"> from the SC17124 at İSTANBUL.</v>
      </c>
      <c r="B19" s="242"/>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2"/>
      <c r="AI19" s="242"/>
      <c r="AJ19" s="242"/>
      <c r="AK19" s="242"/>
      <c r="AL19" s="242"/>
      <c r="AM19" s="242"/>
      <c r="AN19" s="242"/>
      <c r="AO19" s="242"/>
      <c r="AP19" s="242"/>
      <c r="AQ19" s="242"/>
      <c r="AR19" s="242"/>
      <c r="AS19" s="242"/>
      <c r="AT19" s="242"/>
      <c r="AU19" s="242"/>
      <c r="AV19" s="242"/>
      <c r="AW19" s="242"/>
      <c r="AX19" s="242"/>
      <c r="AY19" s="242"/>
      <c r="AZ19" s="242"/>
    </row>
    <row r="20" spans="1:54" ht="17.100000000000001" customHeight="1" x14ac:dyDescent="0.2">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row>
    <row r="21" spans="1:54" ht="17.100000000000001" customHeight="1" x14ac:dyDescent="0.2">
      <c r="A21" s="241" t="str">
        <f>"CUSTODY TRANSFER  -  BUNKER RECEIPT FOR " &amp; AG11</f>
        <v xml:space="preserve">CUSTODY TRANSFER  -  BUNKER RECEIPT FOR </v>
      </c>
      <c r="B21" s="241"/>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W21" s="241"/>
      <c r="AX21" s="241"/>
      <c r="AY21" s="241"/>
      <c r="AZ21" s="241"/>
    </row>
    <row r="22" spans="1:54" ht="17.100000000000001" customHeight="1" x14ac:dyDescent="0.2">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row>
    <row r="23" spans="1:54" ht="17.100000000000001" customHeight="1" x14ac:dyDescent="0.2">
      <c r="A23" s="243" t="s">
        <v>79</v>
      </c>
      <c r="B23" s="243"/>
      <c r="C23" s="243"/>
      <c r="D23" s="243"/>
      <c r="E23" s="243"/>
      <c r="F23" s="243"/>
      <c r="G23" s="243"/>
      <c r="H23" s="243"/>
      <c r="I23" s="243"/>
      <c r="J23" s="243"/>
      <c r="K23" s="243"/>
      <c r="L23" s="243"/>
      <c r="M23" s="244" t="s">
        <v>357</v>
      </c>
      <c r="N23" s="244"/>
      <c r="O23" s="244"/>
      <c r="P23" s="244"/>
      <c r="Q23" s="244"/>
      <c r="R23" s="244"/>
      <c r="S23" s="244"/>
      <c r="T23" s="244"/>
      <c r="U23" s="244" t="s">
        <v>86</v>
      </c>
      <c r="V23" s="244"/>
      <c r="W23" s="244"/>
      <c r="X23" s="244"/>
      <c r="Y23" s="244"/>
      <c r="Z23" s="244"/>
      <c r="AA23" s="244"/>
      <c r="AB23" s="244"/>
      <c r="AC23" s="244" t="s">
        <v>76</v>
      </c>
      <c r="AD23" s="244"/>
      <c r="AE23" s="244"/>
      <c r="AF23" s="244"/>
      <c r="AG23" s="244"/>
      <c r="AH23" s="244"/>
      <c r="AI23" s="244"/>
      <c r="AJ23" s="244"/>
      <c r="AK23" s="244" t="s">
        <v>78</v>
      </c>
      <c r="AL23" s="244"/>
      <c r="AM23" s="244"/>
      <c r="AN23" s="244"/>
      <c r="AO23" s="244"/>
      <c r="AP23" s="244"/>
      <c r="AQ23" s="244"/>
      <c r="AR23" s="244"/>
      <c r="AS23" s="244" t="s">
        <v>77</v>
      </c>
      <c r="AT23" s="244"/>
      <c r="AU23" s="244"/>
      <c r="AV23" s="244"/>
      <c r="AW23" s="244"/>
      <c r="AX23" s="244"/>
      <c r="AY23" s="244"/>
      <c r="AZ23" s="244"/>
    </row>
    <row r="24" spans="1:54" ht="17.100000000000001" customHeight="1" x14ac:dyDescent="0.2">
      <c r="A24" s="243"/>
      <c r="B24" s="243"/>
      <c r="C24" s="243"/>
      <c r="D24" s="243"/>
      <c r="E24" s="243"/>
      <c r="F24" s="243"/>
      <c r="G24" s="243"/>
      <c r="H24" s="243"/>
      <c r="I24" s="243"/>
      <c r="J24" s="243"/>
      <c r="K24" s="243"/>
      <c r="L24" s="243"/>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c r="AM24" s="244"/>
      <c r="AN24" s="244"/>
      <c r="AO24" s="244"/>
      <c r="AP24" s="244"/>
      <c r="AQ24" s="244"/>
      <c r="AR24" s="244"/>
      <c r="AS24" s="245"/>
      <c r="AT24" s="245"/>
      <c r="AU24" s="245"/>
      <c r="AV24" s="245"/>
      <c r="AW24" s="245"/>
      <c r="AX24" s="245"/>
      <c r="AY24" s="245"/>
      <c r="AZ24" s="245"/>
    </row>
    <row r="25" spans="1:54" ht="17.100000000000001" customHeight="1" x14ac:dyDescent="0.2">
      <c r="A25" s="243" t="s">
        <v>249</v>
      </c>
      <c r="B25" s="243"/>
      <c r="C25" s="243"/>
      <c r="D25" s="243"/>
      <c r="E25" s="243"/>
      <c r="F25" s="243"/>
      <c r="G25" s="243"/>
      <c r="H25" s="243"/>
      <c r="I25" s="243"/>
      <c r="J25" s="243"/>
      <c r="K25" s="243"/>
      <c r="L25" s="243"/>
      <c r="M25" s="256"/>
      <c r="N25" s="256"/>
      <c r="O25" s="256"/>
      <c r="P25" s="256"/>
      <c r="Q25" s="256"/>
      <c r="R25" s="256"/>
      <c r="S25" s="256"/>
      <c r="T25" s="256"/>
      <c r="U25" s="260"/>
      <c r="V25" s="260"/>
      <c r="W25" s="260"/>
      <c r="X25" s="260"/>
      <c r="Y25" s="260"/>
      <c r="Z25" s="260"/>
      <c r="AA25" s="260"/>
      <c r="AB25" s="260"/>
      <c r="AC25" s="256"/>
      <c r="AD25" s="256"/>
      <c r="AE25" s="256"/>
      <c r="AF25" s="256"/>
      <c r="AG25" s="256"/>
      <c r="AH25" s="256"/>
      <c r="AI25" s="256"/>
      <c r="AJ25" s="256"/>
      <c r="AK25" s="258" t="str">
        <f>IF(U25="","",U25-0.0011)</f>
        <v/>
      </c>
      <c r="AL25" s="258"/>
      <c r="AM25" s="258"/>
      <c r="AN25" s="258"/>
      <c r="AO25" s="258"/>
      <c r="AP25" s="258"/>
      <c r="AQ25" s="258"/>
      <c r="AR25" s="259"/>
      <c r="AS25" s="256"/>
      <c r="AT25" s="256"/>
      <c r="AU25" s="256"/>
      <c r="AV25" s="256"/>
      <c r="AW25" s="256"/>
      <c r="AX25" s="256"/>
      <c r="AY25" s="256"/>
      <c r="AZ25" s="256"/>
    </row>
    <row r="26" spans="1:54" ht="17.100000000000001" customHeight="1" x14ac:dyDescent="0.2">
      <c r="A26" s="243"/>
      <c r="B26" s="243"/>
      <c r="C26" s="243"/>
      <c r="D26" s="243"/>
      <c r="E26" s="243"/>
      <c r="F26" s="243"/>
      <c r="G26" s="243"/>
      <c r="H26" s="243"/>
      <c r="I26" s="243"/>
      <c r="J26" s="243"/>
      <c r="K26" s="243"/>
      <c r="L26" s="243"/>
      <c r="M26" s="256"/>
      <c r="N26" s="256"/>
      <c r="O26" s="256"/>
      <c r="P26" s="256"/>
      <c r="Q26" s="256"/>
      <c r="R26" s="256"/>
      <c r="S26" s="256"/>
      <c r="T26" s="256"/>
      <c r="U26" s="260"/>
      <c r="V26" s="260"/>
      <c r="W26" s="260"/>
      <c r="X26" s="260"/>
      <c r="Y26" s="260"/>
      <c r="Z26" s="260"/>
      <c r="AA26" s="260"/>
      <c r="AB26" s="260"/>
      <c r="AC26" s="256"/>
      <c r="AD26" s="256"/>
      <c r="AE26" s="256"/>
      <c r="AF26" s="256"/>
      <c r="AG26" s="256"/>
      <c r="AH26" s="256"/>
      <c r="AI26" s="256"/>
      <c r="AJ26" s="256"/>
      <c r="AK26" s="258"/>
      <c r="AL26" s="258"/>
      <c r="AM26" s="258"/>
      <c r="AN26" s="258"/>
      <c r="AO26" s="258"/>
      <c r="AP26" s="258"/>
      <c r="AQ26" s="258"/>
      <c r="AR26" s="259"/>
      <c r="AS26" s="256"/>
      <c r="AT26" s="256"/>
      <c r="AU26" s="256"/>
      <c r="AV26" s="256"/>
      <c r="AW26" s="256"/>
      <c r="AX26" s="256"/>
      <c r="AY26" s="256"/>
      <c r="AZ26" s="256"/>
    </row>
    <row r="27" spans="1:54" ht="17.100000000000001" customHeight="1" x14ac:dyDescent="0.2">
      <c r="A27" s="243" t="s">
        <v>250</v>
      </c>
      <c r="B27" s="243"/>
      <c r="C27" s="243"/>
      <c r="D27" s="243"/>
      <c r="E27" s="243"/>
      <c r="F27" s="243"/>
      <c r="G27" s="243"/>
      <c r="H27" s="243"/>
      <c r="I27" s="243"/>
      <c r="J27" s="243"/>
      <c r="K27" s="243"/>
      <c r="L27" s="243"/>
      <c r="M27" s="255" t="str">
        <f>IF(OR(AS27="",AK27=""),"",AS27/AK27)</f>
        <v/>
      </c>
      <c r="N27" s="255"/>
      <c r="O27" s="255"/>
      <c r="P27" s="255"/>
      <c r="Q27" s="255"/>
      <c r="R27" s="255"/>
      <c r="S27" s="255"/>
      <c r="T27" s="255"/>
      <c r="U27" s="258" t="str">
        <f>IF(U25="","",U25)</f>
        <v/>
      </c>
      <c r="V27" s="258"/>
      <c r="W27" s="258"/>
      <c r="X27" s="258"/>
      <c r="Y27" s="258"/>
      <c r="Z27" s="258"/>
      <c r="AA27" s="258"/>
      <c r="AB27" s="258"/>
      <c r="AC27" s="255" t="str">
        <f>IF(OR(M27="",U27=""),"",M27*U27)</f>
        <v/>
      </c>
      <c r="AD27" s="255"/>
      <c r="AE27" s="255"/>
      <c r="AF27" s="255"/>
      <c r="AG27" s="255"/>
      <c r="AH27" s="255"/>
      <c r="AI27" s="255"/>
      <c r="AJ27" s="255"/>
      <c r="AK27" s="258" t="str">
        <f>IF(U27="","",U27-0.0011)</f>
        <v/>
      </c>
      <c r="AL27" s="258"/>
      <c r="AM27" s="258"/>
      <c r="AN27" s="258"/>
      <c r="AO27" s="258"/>
      <c r="AP27" s="258"/>
      <c r="AQ27" s="258"/>
      <c r="AR27" s="259"/>
      <c r="AS27" s="254" t="str">
        <f>IF('Barge Survey 3'!BR11="","",'Barge Survey 3'!BR11)</f>
        <v/>
      </c>
      <c r="AT27" s="254"/>
      <c r="AU27" s="254"/>
      <c r="AV27" s="254"/>
      <c r="AW27" s="254"/>
      <c r="AX27" s="254"/>
      <c r="AY27" s="254"/>
      <c r="AZ27" s="254"/>
    </row>
    <row r="28" spans="1:54" ht="17.100000000000001" customHeight="1" x14ac:dyDescent="0.2">
      <c r="A28" s="243"/>
      <c r="B28" s="243"/>
      <c r="C28" s="243"/>
      <c r="D28" s="243"/>
      <c r="E28" s="243"/>
      <c r="F28" s="243"/>
      <c r="G28" s="243"/>
      <c r="H28" s="243"/>
      <c r="I28" s="243"/>
      <c r="J28" s="243"/>
      <c r="K28" s="243"/>
      <c r="L28" s="243"/>
      <c r="M28" s="255"/>
      <c r="N28" s="255"/>
      <c r="O28" s="255"/>
      <c r="P28" s="255"/>
      <c r="Q28" s="255"/>
      <c r="R28" s="255"/>
      <c r="S28" s="255"/>
      <c r="T28" s="255"/>
      <c r="U28" s="258"/>
      <c r="V28" s="258"/>
      <c r="W28" s="258"/>
      <c r="X28" s="258"/>
      <c r="Y28" s="258"/>
      <c r="Z28" s="258"/>
      <c r="AA28" s="258"/>
      <c r="AB28" s="258"/>
      <c r="AC28" s="255"/>
      <c r="AD28" s="255"/>
      <c r="AE28" s="255"/>
      <c r="AF28" s="255"/>
      <c r="AG28" s="255"/>
      <c r="AH28" s="255"/>
      <c r="AI28" s="255"/>
      <c r="AJ28" s="255"/>
      <c r="AK28" s="258"/>
      <c r="AL28" s="258"/>
      <c r="AM28" s="258"/>
      <c r="AN28" s="258"/>
      <c r="AO28" s="258"/>
      <c r="AP28" s="258"/>
      <c r="AQ28" s="258"/>
      <c r="AR28" s="259"/>
      <c r="AS28" s="255"/>
      <c r="AT28" s="255"/>
      <c r="AU28" s="255"/>
      <c r="AV28" s="255"/>
      <c r="AW28" s="255"/>
      <c r="AX28" s="255"/>
      <c r="AY28" s="255"/>
      <c r="AZ28" s="255"/>
    </row>
    <row r="29" spans="1:54" ht="17.100000000000001" customHeight="1" x14ac:dyDescent="0.2">
      <c r="A29" s="243" t="s">
        <v>251</v>
      </c>
      <c r="B29" s="243"/>
      <c r="C29" s="243"/>
      <c r="D29" s="243"/>
      <c r="E29" s="243"/>
      <c r="F29" s="243"/>
      <c r="G29" s="243"/>
      <c r="H29" s="243"/>
      <c r="I29" s="243"/>
      <c r="J29" s="243"/>
      <c r="K29" s="243"/>
      <c r="L29" s="243"/>
      <c r="M29" s="255" t="str">
        <f>IF(OR(AS29="",AK29=""),"",AS29/AK29)</f>
        <v/>
      </c>
      <c r="N29" s="255"/>
      <c r="O29" s="255"/>
      <c r="P29" s="255"/>
      <c r="Q29" s="255"/>
      <c r="R29" s="255"/>
      <c r="S29" s="255"/>
      <c r="T29" s="255"/>
      <c r="U29" s="258" t="str">
        <f>IF(U25="","",U25)</f>
        <v/>
      </c>
      <c r="V29" s="258"/>
      <c r="W29" s="258"/>
      <c r="X29" s="258"/>
      <c r="Y29" s="258"/>
      <c r="Z29" s="258"/>
      <c r="AA29" s="258"/>
      <c r="AB29" s="258"/>
      <c r="AC29" s="255" t="str">
        <f>IF(OR(M29="",U29=""),"",M29*U29)</f>
        <v/>
      </c>
      <c r="AD29" s="255"/>
      <c r="AE29" s="255"/>
      <c r="AF29" s="255"/>
      <c r="AG29" s="255"/>
      <c r="AH29" s="255"/>
      <c r="AI29" s="255"/>
      <c r="AJ29" s="255"/>
      <c r="AK29" s="258" t="str">
        <f>IF(U29="","",U29-0.0011)</f>
        <v/>
      </c>
      <c r="AL29" s="258"/>
      <c r="AM29" s="258"/>
      <c r="AN29" s="258"/>
      <c r="AO29" s="258"/>
      <c r="AP29" s="258"/>
      <c r="AQ29" s="258"/>
      <c r="AR29" s="259"/>
      <c r="AS29" s="254" t="str">
        <f>IF('Vessel Survey 3'!BR11="","",'Vessel Survey 3'!BR11)</f>
        <v/>
      </c>
      <c r="AT29" s="254"/>
      <c r="AU29" s="254"/>
      <c r="AV29" s="254"/>
      <c r="AW29" s="254"/>
      <c r="AX29" s="254"/>
      <c r="AY29" s="254"/>
      <c r="AZ29" s="254"/>
    </row>
    <row r="30" spans="1:54" ht="17.100000000000001" customHeight="1" x14ac:dyDescent="0.2">
      <c r="A30" s="243"/>
      <c r="B30" s="243"/>
      <c r="C30" s="243"/>
      <c r="D30" s="243"/>
      <c r="E30" s="243"/>
      <c r="F30" s="243"/>
      <c r="G30" s="243"/>
      <c r="H30" s="243"/>
      <c r="I30" s="243"/>
      <c r="J30" s="243"/>
      <c r="K30" s="243"/>
      <c r="L30" s="243"/>
      <c r="M30" s="255"/>
      <c r="N30" s="255"/>
      <c r="O30" s="255"/>
      <c r="P30" s="255"/>
      <c r="Q30" s="255"/>
      <c r="R30" s="255"/>
      <c r="S30" s="255"/>
      <c r="T30" s="255"/>
      <c r="U30" s="258"/>
      <c r="V30" s="258"/>
      <c r="W30" s="258"/>
      <c r="X30" s="258"/>
      <c r="Y30" s="258"/>
      <c r="Z30" s="258"/>
      <c r="AA30" s="258"/>
      <c r="AB30" s="258"/>
      <c r="AC30" s="255"/>
      <c r="AD30" s="255"/>
      <c r="AE30" s="255"/>
      <c r="AF30" s="255"/>
      <c r="AG30" s="255"/>
      <c r="AH30" s="255"/>
      <c r="AI30" s="255"/>
      <c r="AJ30" s="255"/>
      <c r="AK30" s="258"/>
      <c r="AL30" s="258"/>
      <c r="AM30" s="258"/>
      <c r="AN30" s="258"/>
      <c r="AO30" s="258"/>
      <c r="AP30" s="258"/>
      <c r="AQ30" s="258"/>
      <c r="AR30" s="259"/>
      <c r="AS30" s="255"/>
      <c r="AT30" s="255"/>
      <c r="AU30" s="255"/>
      <c r="AV30" s="255"/>
      <c r="AW30" s="255"/>
      <c r="AX30" s="255"/>
      <c r="AY30" s="255"/>
      <c r="AZ30" s="255"/>
      <c r="BB30" s="17" t="s">
        <v>248</v>
      </c>
    </row>
    <row r="31" spans="1:54" ht="17.100000000000001" customHeight="1" x14ac:dyDescent="0.2">
      <c r="A31" s="243" t="s">
        <v>252</v>
      </c>
      <c r="B31" s="243"/>
      <c r="C31" s="243"/>
      <c r="D31" s="243"/>
      <c r="E31" s="243"/>
      <c r="F31" s="243"/>
      <c r="G31" s="243"/>
      <c r="H31" s="243"/>
      <c r="I31" s="243"/>
      <c r="J31" s="243"/>
      <c r="K31" s="243"/>
      <c r="L31" s="243"/>
      <c r="M31" s="255" t="str">
        <f>IF(OR(M29="",M25=""),"",M29-M25)</f>
        <v/>
      </c>
      <c r="N31" s="255"/>
      <c r="O31" s="255"/>
      <c r="P31" s="255"/>
      <c r="Q31" s="255"/>
      <c r="R31" s="255"/>
      <c r="S31" s="255"/>
      <c r="T31" s="255"/>
      <c r="U31" s="257"/>
      <c r="V31" s="257"/>
      <c r="W31" s="257"/>
      <c r="X31" s="257"/>
      <c r="Y31" s="257"/>
      <c r="Z31" s="257"/>
      <c r="AA31" s="257"/>
      <c r="AB31" s="257"/>
      <c r="AC31" s="255" t="str">
        <f>IF(OR(AC29="",AC25=""),"",AC29-AC25)</f>
        <v/>
      </c>
      <c r="AD31" s="255"/>
      <c r="AE31" s="255"/>
      <c r="AF31" s="255"/>
      <c r="AG31" s="255"/>
      <c r="AH31" s="255"/>
      <c r="AI31" s="255"/>
      <c r="AJ31" s="255"/>
      <c r="AK31" s="257"/>
      <c r="AL31" s="257"/>
      <c r="AM31" s="257"/>
      <c r="AN31" s="257"/>
      <c r="AO31" s="257"/>
      <c r="AP31" s="257"/>
      <c r="AQ31" s="257"/>
      <c r="AR31" s="257"/>
      <c r="AS31" s="254" t="str">
        <f>IF(OR(AS29="",AS25=""),"",AS29-AS25)</f>
        <v/>
      </c>
      <c r="AT31" s="254"/>
      <c r="AU31" s="254"/>
      <c r="AV31" s="254"/>
      <c r="AW31" s="254"/>
      <c r="AX31" s="254"/>
      <c r="AY31" s="254"/>
      <c r="AZ31" s="254"/>
      <c r="BB31" s="17" t="s">
        <v>186</v>
      </c>
    </row>
    <row r="32" spans="1:54" ht="17.100000000000001" customHeight="1" x14ac:dyDescent="0.2">
      <c r="A32" s="243"/>
      <c r="B32" s="243"/>
      <c r="C32" s="243"/>
      <c r="D32" s="243"/>
      <c r="E32" s="243"/>
      <c r="F32" s="243"/>
      <c r="G32" s="243"/>
      <c r="H32" s="243"/>
      <c r="I32" s="243"/>
      <c r="J32" s="243"/>
      <c r="K32" s="243"/>
      <c r="L32" s="243"/>
      <c r="M32" s="255"/>
      <c r="N32" s="255"/>
      <c r="O32" s="255"/>
      <c r="P32" s="255"/>
      <c r="Q32" s="255"/>
      <c r="R32" s="255"/>
      <c r="S32" s="255"/>
      <c r="T32" s="255"/>
      <c r="U32" s="257"/>
      <c r="V32" s="257"/>
      <c r="W32" s="257"/>
      <c r="X32" s="257"/>
      <c r="Y32" s="257"/>
      <c r="Z32" s="257"/>
      <c r="AA32" s="257"/>
      <c r="AB32" s="257"/>
      <c r="AC32" s="255"/>
      <c r="AD32" s="255"/>
      <c r="AE32" s="255"/>
      <c r="AF32" s="255"/>
      <c r="AG32" s="255"/>
      <c r="AH32" s="255"/>
      <c r="AI32" s="255"/>
      <c r="AJ32" s="255"/>
      <c r="AK32" s="257"/>
      <c r="AL32" s="257"/>
      <c r="AM32" s="257"/>
      <c r="AN32" s="257"/>
      <c r="AO32" s="257"/>
      <c r="AP32" s="257"/>
      <c r="AQ32" s="257"/>
      <c r="AR32" s="257"/>
      <c r="AS32" s="255"/>
      <c r="AT32" s="255"/>
      <c r="AU32" s="255"/>
      <c r="AV32" s="255"/>
      <c r="AW32" s="255"/>
      <c r="AX32" s="255"/>
      <c r="AY32" s="255"/>
      <c r="AZ32" s="255"/>
      <c r="BB32" s="17" t="s">
        <v>187</v>
      </c>
    </row>
    <row r="33" spans="1:54" ht="17.100000000000001" customHeight="1" x14ac:dyDescent="0.2">
      <c r="A33" s="243" t="s">
        <v>253</v>
      </c>
      <c r="B33" s="243"/>
      <c r="C33" s="243"/>
      <c r="D33" s="243"/>
      <c r="E33" s="243"/>
      <c r="F33" s="243"/>
      <c r="G33" s="243"/>
      <c r="H33" s="243"/>
      <c r="I33" s="243"/>
      <c r="J33" s="243"/>
      <c r="K33" s="243"/>
      <c r="L33" s="243"/>
      <c r="M33" s="255" t="str">
        <f>IF(OR(M25="",M29=""),"",((M31/M25)*100))</f>
        <v/>
      </c>
      <c r="N33" s="255"/>
      <c r="O33" s="255"/>
      <c r="P33" s="255"/>
      <c r="Q33" s="255"/>
      <c r="R33" s="255"/>
      <c r="S33" s="255"/>
      <c r="T33" s="255"/>
      <c r="U33" s="257"/>
      <c r="V33" s="257"/>
      <c r="W33" s="257"/>
      <c r="X33" s="257"/>
      <c r="Y33" s="257"/>
      <c r="Z33" s="257"/>
      <c r="AA33" s="257"/>
      <c r="AB33" s="257"/>
      <c r="AC33" s="255" t="str">
        <f>IF(OR(AC25="",AC29=""),"",((AC31/AC25)*100))</f>
        <v/>
      </c>
      <c r="AD33" s="255"/>
      <c r="AE33" s="255"/>
      <c r="AF33" s="255"/>
      <c r="AG33" s="255"/>
      <c r="AH33" s="255"/>
      <c r="AI33" s="255"/>
      <c r="AJ33" s="255"/>
      <c r="AK33" s="257"/>
      <c r="AL33" s="257"/>
      <c r="AM33" s="257"/>
      <c r="AN33" s="257"/>
      <c r="AO33" s="257"/>
      <c r="AP33" s="257"/>
      <c r="AQ33" s="257"/>
      <c r="AR33" s="257"/>
      <c r="AS33" s="255" t="str">
        <f>IF(OR(AS25="",AS29=""),"",((AS31/AS25)*100))</f>
        <v/>
      </c>
      <c r="AT33" s="255"/>
      <c r="AU33" s="255"/>
      <c r="AV33" s="255"/>
      <c r="AW33" s="255"/>
      <c r="AX33" s="255"/>
      <c r="AY33" s="255"/>
      <c r="AZ33" s="255"/>
      <c r="BB33" s="17" t="s">
        <v>188</v>
      </c>
    </row>
    <row r="34" spans="1:54" ht="17.100000000000001" customHeight="1" x14ac:dyDescent="0.2">
      <c r="A34" s="243"/>
      <c r="B34" s="243"/>
      <c r="C34" s="243"/>
      <c r="D34" s="243"/>
      <c r="E34" s="243"/>
      <c r="F34" s="243"/>
      <c r="G34" s="243"/>
      <c r="H34" s="243"/>
      <c r="I34" s="243"/>
      <c r="J34" s="243"/>
      <c r="K34" s="243"/>
      <c r="L34" s="243"/>
      <c r="M34" s="255"/>
      <c r="N34" s="255"/>
      <c r="O34" s="255"/>
      <c r="P34" s="255"/>
      <c r="Q34" s="255"/>
      <c r="R34" s="255"/>
      <c r="S34" s="255"/>
      <c r="T34" s="255"/>
      <c r="U34" s="257"/>
      <c r="V34" s="257"/>
      <c r="W34" s="257"/>
      <c r="X34" s="257"/>
      <c r="Y34" s="257"/>
      <c r="Z34" s="257"/>
      <c r="AA34" s="257"/>
      <c r="AB34" s="257"/>
      <c r="AC34" s="255"/>
      <c r="AD34" s="255"/>
      <c r="AE34" s="255"/>
      <c r="AF34" s="255"/>
      <c r="AG34" s="255"/>
      <c r="AH34" s="255"/>
      <c r="AI34" s="255"/>
      <c r="AJ34" s="255"/>
      <c r="AK34" s="257"/>
      <c r="AL34" s="257"/>
      <c r="AM34" s="257"/>
      <c r="AN34" s="257"/>
      <c r="AO34" s="257"/>
      <c r="AP34" s="257"/>
      <c r="AQ34" s="257"/>
      <c r="AR34" s="257"/>
      <c r="AS34" s="255"/>
      <c r="AT34" s="255"/>
      <c r="AU34" s="255"/>
      <c r="AV34" s="255"/>
      <c r="AW34" s="255"/>
      <c r="AX34" s="255"/>
      <c r="AY34" s="255"/>
      <c r="AZ34" s="255"/>
      <c r="BB34" s="17" t="s">
        <v>248</v>
      </c>
    </row>
    <row r="35" spans="1:54" ht="17.100000000000001" customHeight="1" x14ac:dyDescent="0.2">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B35" s="17" t="s">
        <v>90</v>
      </c>
    </row>
    <row r="36" spans="1:54" ht="17.100000000000001" customHeight="1" x14ac:dyDescent="0.2">
      <c r="A36" s="242" t="s">
        <v>89</v>
      </c>
      <c r="B36" s="242"/>
      <c r="C36" s="242"/>
      <c r="D36" s="242"/>
      <c r="E36" s="242"/>
      <c r="F36" s="242"/>
      <c r="G36" s="242"/>
      <c r="H36" s="242"/>
      <c r="I36" s="242"/>
      <c r="J36" s="242"/>
      <c r="K36" s="242"/>
      <c r="L36" s="242"/>
      <c r="M36" s="242"/>
      <c r="N36" s="242"/>
      <c r="O36" s="242"/>
      <c r="P36" s="253" t="s">
        <v>248</v>
      </c>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c r="AT36" s="253"/>
      <c r="AU36" s="253"/>
      <c r="AV36" s="253"/>
      <c r="AW36" s="253"/>
      <c r="AX36" s="253"/>
      <c r="AY36" s="253"/>
      <c r="AZ36" s="253"/>
      <c r="BB36" s="17" t="s">
        <v>91</v>
      </c>
    </row>
    <row r="37" spans="1:54" ht="17.100000000000001" customHeight="1" x14ac:dyDescent="0.2">
      <c r="A37" s="242" t="s">
        <v>88</v>
      </c>
      <c r="B37" s="242"/>
      <c r="C37" s="242"/>
      <c r="D37" s="242"/>
      <c r="E37" s="242"/>
      <c r="F37" s="242"/>
      <c r="G37" s="242"/>
      <c r="H37" s="242"/>
      <c r="I37" s="242"/>
      <c r="J37" s="242"/>
      <c r="K37" s="242"/>
      <c r="L37" s="242"/>
      <c r="M37" s="242"/>
      <c r="N37" s="242"/>
      <c r="O37" s="242"/>
      <c r="P37" s="253" t="s">
        <v>248</v>
      </c>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c r="AT37" s="253"/>
      <c r="AU37" s="253"/>
      <c r="AV37" s="253"/>
      <c r="AW37" s="253"/>
      <c r="AX37" s="253"/>
      <c r="AY37" s="253"/>
      <c r="AZ37" s="253"/>
      <c r="BB37" s="17" t="s">
        <v>92</v>
      </c>
    </row>
    <row r="38" spans="1:54" ht="17.100000000000001" customHeight="1" x14ac:dyDescent="0.2">
      <c r="A38" s="253"/>
      <c r="B38" s="253"/>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row>
    <row r="39" spans="1:54" ht="17.100000000000001" customHeight="1" x14ac:dyDescent="0.2">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64" t="s">
        <v>80</v>
      </c>
      <c r="Z39" s="265"/>
      <c r="AA39" s="265"/>
      <c r="AB39" s="265"/>
      <c r="AC39" s="265"/>
      <c r="AD39" s="265"/>
      <c r="AE39" s="265"/>
      <c r="AF39" s="267" t="s">
        <v>0</v>
      </c>
      <c r="AG39" s="267"/>
      <c r="AH39" s="281" t="s">
        <v>185</v>
      </c>
      <c r="AI39" s="281"/>
      <c r="AJ39" s="281"/>
      <c r="AK39" s="281"/>
      <c r="AL39" s="281"/>
      <c r="AM39" s="281"/>
      <c r="AN39" s="281"/>
      <c r="AO39" s="281"/>
      <c r="AP39" s="281"/>
      <c r="AQ39" s="281"/>
      <c r="AR39" s="281"/>
      <c r="AS39" s="281"/>
      <c r="AT39" s="281"/>
      <c r="AU39" s="281"/>
      <c r="AV39" s="281"/>
      <c r="AW39" s="281"/>
      <c r="AX39" s="281"/>
      <c r="AY39" s="281"/>
      <c r="AZ39" s="282"/>
    </row>
    <row r="40" spans="1:54" ht="17.100000000000001" customHeight="1" x14ac:dyDescent="0.2">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51" t="s">
        <v>74</v>
      </c>
      <c r="Z40" s="242"/>
      <c r="AA40" s="242"/>
      <c r="AB40" s="242"/>
      <c r="AC40" s="242"/>
      <c r="AD40" s="242"/>
      <c r="AE40" s="242"/>
      <c r="AF40" s="246" t="s">
        <v>0</v>
      </c>
      <c r="AG40" s="246"/>
      <c r="AH40" s="253" t="str">
        <f>IF('Data Entry'!N29="","",'Data Entry'!N29)&amp;IF(OR('Data Entry'!N29="",'Data Entry'!N30=""),""," / Licence No")&amp; IF('Data Entry'!N30="","",'Data Entry'!N30)</f>
        <v>MEHMET EROĞLU</v>
      </c>
      <c r="AI40" s="253"/>
      <c r="AJ40" s="253"/>
      <c r="AK40" s="253"/>
      <c r="AL40" s="253"/>
      <c r="AM40" s="253"/>
      <c r="AN40" s="253"/>
      <c r="AO40" s="253"/>
      <c r="AP40" s="253"/>
      <c r="AQ40" s="253"/>
      <c r="AR40" s="253"/>
      <c r="AS40" s="253"/>
      <c r="AT40" s="253"/>
      <c r="AU40" s="253"/>
      <c r="AV40" s="253"/>
      <c r="AW40" s="253"/>
      <c r="AX40" s="253"/>
      <c r="AY40" s="253"/>
      <c r="AZ40" s="280"/>
    </row>
    <row r="41" spans="1:54" ht="17.100000000000001" customHeight="1" x14ac:dyDescent="0.2">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84"/>
      <c r="Z41" s="246"/>
      <c r="AA41" s="246"/>
      <c r="AB41" s="246"/>
      <c r="AC41" s="246"/>
      <c r="AD41" s="246"/>
      <c r="AE41" s="246"/>
      <c r="AF41" s="246"/>
      <c r="AG41" s="246"/>
      <c r="AH41" s="285"/>
      <c r="AI41" s="285"/>
      <c r="AJ41" s="285"/>
      <c r="AK41" s="285"/>
      <c r="AL41" s="285"/>
      <c r="AM41" s="285"/>
      <c r="AN41" s="285"/>
      <c r="AO41" s="285"/>
      <c r="AP41" s="285"/>
      <c r="AQ41" s="285"/>
      <c r="AR41" s="285"/>
      <c r="AS41" s="285"/>
      <c r="AT41" s="285"/>
      <c r="AU41" s="285"/>
      <c r="AV41" s="285"/>
      <c r="AW41" s="285"/>
      <c r="AX41" s="285"/>
      <c r="AY41" s="285"/>
      <c r="AZ41" s="278"/>
      <c r="BB41" s="19"/>
    </row>
    <row r="42" spans="1:54" ht="17.100000000000001" customHeight="1" x14ac:dyDescent="0.2">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51" t="s">
        <v>75</v>
      </c>
      <c r="Z42" s="242"/>
      <c r="AA42" s="242"/>
      <c r="AB42" s="242"/>
      <c r="AC42" s="242"/>
      <c r="AD42" s="242"/>
      <c r="AE42" s="242"/>
      <c r="AF42" s="246" t="s">
        <v>0</v>
      </c>
      <c r="AG42" s="246"/>
      <c r="AH42" s="286"/>
      <c r="AI42" s="286"/>
      <c r="AJ42" s="286"/>
      <c r="AK42" s="286"/>
      <c r="AL42" s="286"/>
      <c r="AM42" s="286"/>
      <c r="AN42" s="286"/>
      <c r="AO42" s="286"/>
      <c r="AP42" s="286"/>
      <c r="AQ42" s="286"/>
      <c r="AR42" s="286"/>
      <c r="AS42" s="286"/>
      <c r="AT42" s="286"/>
      <c r="AU42" s="286"/>
      <c r="AV42" s="286"/>
      <c r="AW42" s="286"/>
      <c r="AX42" s="286"/>
      <c r="AY42" s="286"/>
      <c r="AZ42" s="278"/>
    </row>
    <row r="43" spans="1:54" ht="17.100000000000001" customHeight="1" x14ac:dyDescent="0.2">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8" t="s">
        <v>67</v>
      </c>
      <c r="Z43" s="249"/>
      <c r="AA43" s="249"/>
      <c r="AB43" s="249"/>
      <c r="AC43" s="249"/>
      <c r="AD43" s="249"/>
      <c r="AE43" s="249"/>
      <c r="AF43" s="247" t="s">
        <v>0</v>
      </c>
      <c r="AG43" s="247"/>
      <c r="AH43" s="283" t="str">
        <f>IF('Data Entry'!N20="","",'Data Entry'!N20)</f>
        <v/>
      </c>
      <c r="AI43" s="283"/>
      <c r="AJ43" s="283"/>
      <c r="AK43" s="283"/>
      <c r="AL43" s="283"/>
      <c r="AM43" s="283"/>
      <c r="AN43" s="283"/>
      <c r="AO43" s="283"/>
      <c r="AP43" s="249"/>
      <c r="AQ43" s="249"/>
      <c r="AR43" s="249"/>
      <c r="AS43" s="249"/>
      <c r="AT43" s="247"/>
      <c r="AU43" s="247"/>
      <c r="AV43" s="279"/>
      <c r="AW43" s="279"/>
      <c r="AX43" s="279"/>
      <c r="AY43" s="279"/>
      <c r="AZ43" s="275"/>
    </row>
    <row r="44" spans="1:54" ht="12" customHeight="1" x14ac:dyDescent="0.2">
      <c r="A44" s="148" t="s">
        <v>158</v>
      </c>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t="str">
        <f>'Data Entry'!AK9</f>
        <v>LTS-CUS-F-01 rev 2.0</v>
      </c>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row>
  </sheetData>
  <sheetProtection selectLockedCells="1"/>
  <mergeCells count="133">
    <mergeCell ref="A44:Z44"/>
    <mergeCell ref="AA44:AZ44"/>
    <mergeCell ref="A36:O36"/>
    <mergeCell ref="A37:O37"/>
    <mergeCell ref="P36:AZ36"/>
    <mergeCell ref="P37:AZ37"/>
    <mergeCell ref="AP43:AS43"/>
    <mergeCell ref="AF42:AG42"/>
    <mergeCell ref="AF39:AG39"/>
    <mergeCell ref="AF40:AG40"/>
    <mergeCell ref="AH41:AY42"/>
    <mergeCell ref="Y39:AE39"/>
    <mergeCell ref="AZ41:AZ42"/>
    <mergeCell ref="Y40:AE40"/>
    <mergeCell ref="Y43:AE43"/>
    <mergeCell ref="AH43:AO43"/>
    <mergeCell ref="U23:AB24"/>
    <mergeCell ref="D15:V15"/>
    <mergeCell ref="AC23:AJ24"/>
    <mergeCell ref="AK23:AR24"/>
    <mergeCell ref="AS23:AZ24"/>
    <mergeCell ref="AC27:AJ28"/>
    <mergeCell ref="A9:C9"/>
    <mergeCell ref="D9:V9"/>
    <mergeCell ref="AE6:AF6"/>
    <mergeCell ref="Y7:AD7"/>
    <mergeCell ref="AP15:AR15"/>
    <mergeCell ref="AX14:AZ14"/>
    <mergeCell ref="AX15:AZ15"/>
    <mergeCell ref="A18:AZ18"/>
    <mergeCell ref="W6:X15"/>
    <mergeCell ref="AG6:AZ6"/>
    <mergeCell ref="AG8:AZ8"/>
    <mergeCell ref="AG11:AZ11"/>
    <mergeCell ref="AG12:AZ12"/>
    <mergeCell ref="A20:AZ20"/>
    <mergeCell ref="A12:C12"/>
    <mergeCell ref="A21:AZ21"/>
    <mergeCell ref="A19:AZ19"/>
    <mergeCell ref="AT15:AV15"/>
    <mergeCell ref="A35:AZ35"/>
    <mergeCell ref="A22:AZ22"/>
    <mergeCell ref="A39:X43"/>
    <mergeCell ref="AV43:AZ43"/>
    <mergeCell ref="AF43:AG43"/>
    <mergeCell ref="AT43:AU43"/>
    <mergeCell ref="AH40:AZ40"/>
    <mergeCell ref="AH39:AZ39"/>
    <mergeCell ref="Y41:AG41"/>
    <mergeCell ref="Y42:AE42"/>
    <mergeCell ref="A23:L24"/>
    <mergeCell ref="A38:AZ38"/>
    <mergeCell ref="AS31:AZ32"/>
    <mergeCell ref="M31:T32"/>
    <mergeCell ref="U31:AB32"/>
    <mergeCell ref="M23:T24"/>
    <mergeCell ref="AK27:AR28"/>
    <mergeCell ref="M33:T34"/>
    <mergeCell ref="U33:AB34"/>
    <mergeCell ref="AC33:AJ34"/>
    <mergeCell ref="AK33:AR34"/>
    <mergeCell ref="AS33:AZ34"/>
    <mergeCell ref="A25:L26"/>
    <mergeCell ref="A27:L28"/>
    <mergeCell ref="A1:X4"/>
    <mergeCell ref="Y8:AD8"/>
    <mergeCell ref="Y6:AD6"/>
    <mergeCell ref="AG13:AZ13"/>
    <mergeCell ref="AE11:AF11"/>
    <mergeCell ref="D8:V8"/>
    <mergeCell ref="D11:V11"/>
    <mergeCell ref="Y13:AD13"/>
    <mergeCell ref="AE14:AF14"/>
    <mergeCell ref="AN14:AO14"/>
    <mergeCell ref="Y1:AZ1"/>
    <mergeCell ref="Y2:AZ2"/>
    <mergeCell ref="Y3:AZ3"/>
    <mergeCell ref="Y4:AZ4"/>
    <mergeCell ref="AE7:AF7"/>
    <mergeCell ref="AG7:AZ7"/>
    <mergeCell ref="A5:AZ5"/>
    <mergeCell ref="AE8:AF8"/>
    <mergeCell ref="A6:C6"/>
    <mergeCell ref="A8:C8"/>
    <mergeCell ref="A11:C11"/>
    <mergeCell ref="D6:V6"/>
    <mergeCell ref="A7:C7"/>
    <mergeCell ref="D7:V7"/>
    <mergeCell ref="A16:AZ16"/>
    <mergeCell ref="A17:AZ17"/>
    <mergeCell ref="AE13:AF13"/>
    <mergeCell ref="A15:C15"/>
    <mergeCell ref="D13:V13"/>
    <mergeCell ref="D12:V12"/>
    <mergeCell ref="AE12:AF12"/>
    <mergeCell ref="A13:C13"/>
    <mergeCell ref="A14:C14"/>
    <mergeCell ref="Y14:AD14"/>
    <mergeCell ref="AN15:AO15"/>
    <mergeCell ref="Y15:AF15"/>
    <mergeCell ref="AG14:AM14"/>
    <mergeCell ref="AG15:AM15"/>
    <mergeCell ref="A10:C10"/>
    <mergeCell ref="D10:V10"/>
    <mergeCell ref="Y9:AD9"/>
    <mergeCell ref="AE9:AF9"/>
    <mergeCell ref="AG9:AZ9"/>
    <mergeCell ref="Y10:AD10"/>
    <mergeCell ref="AE10:AF10"/>
    <mergeCell ref="AG10:AZ10"/>
    <mergeCell ref="AP14:AR14"/>
    <mergeCell ref="Y12:AD12"/>
    <mergeCell ref="Y11:AD11"/>
    <mergeCell ref="D14:V14"/>
    <mergeCell ref="AT14:AV14"/>
    <mergeCell ref="A29:L30"/>
    <mergeCell ref="A31:L32"/>
    <mergeCell ref="A33:L34"/>
    <mergeCell ref="AC25:AJ26"/>
    <mergeCell ref="AK25:AR26"/>
    <mergeCell ref="U27:AB28"/>
    <mergeCell ref="AS25:AZ26"/>
    <mergeCell ref="M25:T26"/>
    <mergeCell ref="U25:AB26"/>
    <mergeCell ref="AK31:AR32"/>
    <mergeCell ref="AS27:AZ28"/>
    <mergeCell ref="M29:T30"/>
    <mergeCell ref="U29:AB30"/>
    <mergeCell ref="AC29:AJ30"/>
    <mergeCell ref="AK29:AR30"/>
    <mergeCell ref="AS29:AZ30"/>
    <mergeCell ref="M27:T28"/>
    <mergeCell ref="AC31:AJ32"/>
  </mergeCells>
  <phoneticPr fontId="2" type="noConversion"/>
  <conditionalFormatting sqref="M25:AJ26 AS25:AZ26">
    <cfRule type="cellIs" dxfId="40" priority="2" stopIfTrue="1" operator="equal">
      <formula>""</formula>
    </cfRule>
  </conditionalFormatting>
  <conditionalFormatting sqref="D6 AG6:AZ13 AK25:AR30 M27:AZ30 AS31:AZ34 AC31:AJ34 M31:T34 AK27 AK29 AK29 AH43 AH40">
    <cfRule type="containsBlanks" dxfId="39" priority="1" stopIfTrue="1">
      <formula>LEN(TRIM(D6))=0</formula>
    </cfRule>
  </conditionalFormatting>
  <dataValidations count="6">
    <dataValidation type="list" allowBlank="1" showInputMessage="1" showErrorMessage="1" sqref="M38:AZ38" xr:uid="{00000000-0002-0000-1300-000000000000}">
      <formula1>$BB$31:$BB$35</formula1>
    </dataValidation>
    <dataValidation type="list" allowBlank="1" showInputMessage="1" showErrorMessage="1" sqref="P37:AZ37" xr:uid="{00000000-0002-0000-1300-000001000000}">
      <formula1>$BB$34:$BB$37</formula1>
    </dataValidation>
    <dataValidation type="list" allowBlank="1" showInputMessage="1" showErrorMessage="1" sqref="P36:AZ36" xr:uid="{00000000-0002-0000-1300-000002000000}">
      <formula1>$BB$30:$BB$33</formula1>
    </dataValidation>
    <dataValidation allowBlank="1" showInputMessage="1" showErrorMessage="1" promptTitle="Metric Tons in Air" prompt="Please enter the Metric Tons in Air as per the bunker receipt" sqref="AS25:AZ26" xr:uid="{00000000-0002-0000-1300-000003000000}"/>
    <dataValidation allowBlank="1" showInputMessage="1" showErrorMessage="1" promptTitle="Density (kg/L @ 15°C)" prompt="Please enter the density as stated on the bunker receipt in kg/L at 15°C" sqref="U25:AJ26" xr:uid="{00000000-0002-0000-1300-000004000000}"/>
    <dataValidation allowBlank="1" showInputMessage="1" showErrorMessage="1" promptTitle="Volume (m³ @ 15°C)" prompt="Please enter the volume as stated on the bunker receipt in m³ at 15°C" sqref="M25:T26" xr:uid="{00000000-0002-0000-1300-000005000000}"/>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tabColor theme="7" tint="0.39997558519241921"/>
    <pageSetUpPr fitToPage="1"/>
  </sheetPr>
  <dimension ref="A1:EB71"/>
  <sheetViews>
    <sheetView zoomScaleNormal="100" workbookViewId="0">
      <selection activeCell="BG36" sqref="BG36"/>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5" t="s">
        <v>280</v>
      </c>
      <c r="BM1" s="155"/>
      <c r="BN1" s="155"/>
      <c r="BO1" s="155"/>
      <c r="BP1" s="155"/>
      <c r="BQ1" s="90" t="s">
        <v>0</v>
      </c>
      <c r="BR1" s="155" t="str">
        <f>IF('Data Entry'!N28="","",'Data Entry'!N28)</f>
        <v/>
      </c>
      <c r="BS1" s="155"/>
      <c r="BT1" s="155"/>
      <c r="BU1" s="155"/>
      <c r="BV1" s="155"/>
      <c r="BW1" s="155"/>
      <c r="BX1" s="155"/>
      <c r="BY1" s="155"/>
      <c r="BZ1" s="155"/>
      <c r="CA1" s="155"/>
      <c r="CB1" s="155"/>
      <c r="CC1" s="155"/>
      <c r="CD1" s="155"/>
      <c r="CE1" s="155"/>
      <c r="CF1" s="155"/>
      <c r="CG1" s="155"/>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164" t="s">
        <v>232</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55" t="s">
        <v>281</v>
      </c>
      <c r="BM2" s="155"/>
      <c r="BN2" s="155"/>
      <c r="BO2" s="155"/>
      <c r="BP2" s="155"/>
      <c r="BQ2" s="90" t="s">
        <v>0</v>
      </c>
      <c r="BR2" s="155" t="str">
        <f>IF('Data Entry'!N39="","",'Data Entry'!N39)</f>
        <v>SC17124</v>
      </c>
      <c r="BS2" s="155"/>
      <c r="BT2" s="155"/>
      <c r="BU2" s="155"/>
      <c r="BV2" s="155"/>
      <c r="BW2" s="155"/>
      <c r="BX2" s="155"/>
      <c r="BY2" s="155"/>
      <c r="BZ2" s="155"/>
      <c r="CA2" s="155"/>
      <c r="CB2" s="155"/>
      <c r="CC2" s="155"/>
      <c r="CD2" s="155"/>
      <c r="CE2" s="155"/>
      <c r="CF2" s="155"/>
      <c r="CG2" s="155"/>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92" t="str">
        <f>IF('Data Entry'!N20="","",'Data Entry'!N20)</f>
        <v/>
      </c>
      <c r="Z4" s="392"/>
      <c r="AA4" s="392"/>
      <c r="AB4" s="392"/>
      <c r="AC4" s="392"/>
      <c r="AD4" s="392"/>
      <c r="AE4" s="155" t="s">
        <v>25</v>
      </c>
      <c r="AF4" s="155"/>
      <c r="AG4" s="155"/>
      <c r="AH4" s="90" t="s">
        <v>0</v>
      </c>
      <c r="AI4" s="155" t="str">
        <f>IF('Data Entry'!N24="","",'Data Entry'!N24)</f>
        <v/>
      </c>
      <c r="AJ4" s="155"/>
      <c r="AK4" s="155"/>
      <c r="AL4" s="155"/>
      <c r="AM4" s="155"/>
      <c r="AN4" s="155"/>
      <c r="AO4" s="155"/>
      <c r="AP4" s="155"/>
      <c r="AQ4" s="155" t="s">
        <v>421</v>
      </c>
      <c r="AR4" s="155"/>
      <c r="AS4" s="155"/>
      <c r="AT4" s="155"/>
      <c r="AU4" s="155"/>
      <c r="AV4" s="155"/>
      <c r="AW4" s="155"/>
      <c r="AX4" s="155"/>
      <c r="AY4" s="155"/>
      <c r="AZ4" s="155"/>
      <c r="BA4" s="90" t="s">
        <v>0</v>
      </c>
      <c r="BB4" s="155"/>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Entry'!N22="","",'Data Entry'!N22)</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92"/>
      <c r="BC5" s="392"/>
      <c r="BD5" s="392"/>
      <c r="BE5" s="392"/>
      <c r="BF5" s="392"/>
      <c r="BG5" s="392"/>
      <c r="BH5" s="392"/>
      <c r="BI5" s="392"/>
      <c r="BJ5" s="392"/>
      <c r="BK5" s="392"/>
      <c r="BL5" s="392"/>
      <c r="BM5" s="155" t="s">
        <v>424</v>
      </c>
      <c r="BN5" s="155"/>
      <c r="BO5" s="155"/>
      <c r="BP5" s="155"/>
      <c r="BQ5" s="155"/>
      <c r="BR5" s="155"/>
      <c r="BS5" s="155"/>
      <c r="BT5" s="155"/>
      <c r="BU5" s="155"/>
      <c r="BV5" s="155"/>
      <c r="BW5" s="90" t="s">
        <v>0</v>
      </c>
      <c r="BX5" s="155"/>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219" t="s">
        <v>3</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I7" s="323" t="s">
        <v>169</v>
      </c>
      <c r="CJ7" s="324"/>
      <c r="CK7" s="324"/>
      <c r="CL7" s="325"/>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367"/>
      <c r="AC8" s="195" t="s">
        <v>515</v>
      </c>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367"/>
      <c r="BC8" s="195" t="s">
        <v>348</v>
      </c>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I8" s="326"/>
      <c r="CJ8" s="327"/>
      <c r="CK8" s="327"/>
      <c r="CL8" s="328"/>
      <c r="CN8" s="107" t="s">
        <v>192</v>
      </c>
    </row>
    <row r="9" spans="1:132" ht="11.45" customHeight="1" x14ac:dyDescent="0.2">
      <c r="A9" s="155" t="s">
        <v>4</v>
      </c>
      <c r="B9" s="155"/>
      <c r="C9" s="155"/>
      <c r="D9" s="155"/>
      <c r="E9" s="155"/>
      <c r="F9" s="155"/>
      <c r="G9" s="155"/>
      <c r="H9" s="155"/>
      <c r="I9" s="155"/>
      <c r="J9" s="155"/>
      <c r="K9" s="91" t="s">
        <v>0</v>
      </c>
      <c r="L9" s="182"/>
      <c r="M9" s="182"/>
      <c r="N9" s="182"/>
      <c r="O9" s="182"/>
      <c r="P9" s="182"/>
      <c r="Q9" s="182"/>
      <c r="R9" s="182"/>
      <c r="S9" s="182"/>
      <c r="T9" s="182"/>
      <c r="U9" s="182"/>
      <c r="V9" s="182"/>
      <c r="W9" s="182"/>
      <c r="X9" s="182"/>
      <c r="Y9" s="182"/>
      <c r="Z9" s="182"/>
      <c r="AA9" s="182"/>
      <c r="AB9" s="182"/>
      <c r="AC9" s="330" t="s">
        <v>189</v>
      </c>
      <c r="AD9" s="155"/>
      <c r="AE9" s="155"/>
      <c r="AF9" s="155"/>
      <c r="AG9" s="155"/>
      <c r="AH9" s="155"/>
      <c r="AI9" s="155"/>
      <c r="AJ9" s="155"/>
      <c r="AK9" s="155"/>
      <c r="AL9" s="155"/>
      <c r="AM9" s="155"/>
      <c r="AN9" s="155"/>
      <c r="AO9" s="155"/>
      <c r="AP9" s="91" t="s">
        <v>0</v>
      </c>
      <c r="AQ9" s="364"/>
      <c r="AR9" s="364"/>
      <c r="AS9" s="364"/>
      <c r="AT9" s="364"/>
      <c r="AU9" s="364"/>
      <c r="AV9" s="364"/>
      <c r="AW9" s="364"/>
      <c r="AX9" s="364"/>
      <c r="AY9" s="155" t="s">
        <v>173</v>
      </c>
      <c r="AZ9" s="155"/>
      <c r="BA9" s="155"/>
      <c r="BB9" s="366"/>
      <c r="BC9" s="330" t="s">
        <v>231</v>
      </c>
      <c r="BD9" s="155"/>
      <c r="BE9" s="155"/>
      <c r="BF9" s="155"/>
      <c r="BG9" s="155"/>
      <c r="BH9" s="155"/>
      <c r="BI9" s="155"/>
      <c r="BJ9" s="155"/>
      <c r="BK9" s="155"/>
      <c r="BL9" s="155"/>
      <c r="BM9" s="155"/>
      <c r="BN9" s="155"/>
      <c r="BO9" s="155"/>
      <c r="BP9" s="155"/>
      <c r="BQ9" s="91" t="s">
        <v>0</v>
      </c>
      <c r="BR9" s="335" t="str">
        <f>IF(OR(BX30="",BX49=""),"",ABS(ROUND(BX30-BX49,3)))</f>
        <v/>
      </c>
      <c r="BS9" s="335"/>
      <c r="BT9" s="335"/>
      <c r="BU9" s="335"/>
      <c r="BV9" s="335"/>
      <c r="BW9" s="335"/>
      <c r="BX9" s="335"/>
      <c r="BY9" s="335"/>
      <c r="BZ9" s="155" t="s">
        <v>173</v>
      </c>
      <c r="CA9" s="155"/>
      <c r="CB9" s="155"/>
      <c r="CC9" s="155"/>
      <c r="CD9" s="155"/>
      <c r="CE9" s="155"/>
      <c r="CF9" s="155"/>
      <c r="CG9" s="155"/>
      <c r="CI9" s="329" t="s">
        <v>168</v>
      </c>
      <c r="CJ9" s="159"/>
      <c r="CK9" s="20" t="e">
        <f>((AP32+BB32)-(AP13+BB13))*24</f>
        <v>#VALUE!</v>
      </c>
      <c r="CL9" s="21" t="s">
        <v>172</v>
      </c>
      <c r="CN9" s="2" t="s">
        <v>193</v>
      </c>
    </row>
    <row r="10" spans="1:132" ht="11.45" customHeight="1" x14ac:dyDescent="0.2">
      <c r="A10" s="155" t="s">
        <v>26</v>
      </c>
      <c r="B10" s="155"/>
      <c r="C10" s="155"/>
      <c r="D10" s="155"/>
      <c r="E10" s="155"/>
      <c r="F10" s="155"/>
      <c r="G10" s="155"/>
      <c r="H10" s="155"/>
      <c r="I10" s="155"/>
      <c r="J10" s="155"/>
      <c r="K10" s="91" t="s">
        <v>0</v>
      </c>
      <c r="L10" s="236"/>
      <c r="M10" s="236"/>
      <c r="N10" s="236"/>
      <c r="O10" s="236"/>
      <c r="P10" s="236"/>
      <c r="Q10" s="236"/>
      <c r="R10" s="236"/>
      <c r="S10" s="315" t="s">
        <v>16</v>
      </c>
      <c r="T10" s="315"/>
      <c r="U10" s="315"/>
      <c r="V10" s="91" t="s">
        <v>0</v>
      </c>
      <c r="W10" s="156"/>
      <c r="X10" s="156"/>
      <c r="Y10" s="156"/>
      <c r="Z10" s="156"/>
      <c r="AA10" s="156"/>
      <c r="AB10" s="156"/>
      <c r="AC10" s="330" t="s">
        <v>190</v>
      </c>
      <c r="AD10" s="155"/>
      <c r="AE10" s="155"/>
      <c r="AF10" s="155"/>
      <c r="AG10" s="155"/>
      <c r="AH10" s="155"/>
      <c r="AI10" s="155"/>
      <c r="AJ10" s="155"/>
      <c r="AK10" s="155"/>
      <c r="AL10" s="155"/>
      <c r="AM10" s="155"/>
      <c r="AN10" s="155"/>
      <c r="AO10" s="155"/>
      <c r="AP10" s="91" t="s">
        <v>0</v>
      </c>
      <c r="AQ10" s="364"/>
      <c r="AR10" s="364"/>
      <c r="AS10" s="364"/>
      <c r="AT10" s="364"/>
      <c r="AU10" s="364"/>
      <c r="AV10" s="364"/>
      <c r="AW10" s="364"/>
      <c r="AX10" s="364"/>
      <c r="AY10" s="155" t="s">
        <v>173</v>
      </c>
      <c r="AZ10" s="155"/>
      <c r="BA10" s="155"/>
      <c r="BB10" s="366"/>
      <c r="BC10" s="330" t="s">
        <v>194</v>
      </c>
      <c r="BD10" s="155"/>
      <c r="BE10" s="155"/>
      <c r="BF10" s="155"/>
      <c r="BG10" s="155"/>
      <c r="BH10" s="155"/>
      <c r="BI10" s="155"/>
      <c r="BJ10" s="155"/>
      <c r="BK10" s="155"/>
      <c r="BL10" s="155"/>
      <c r="BM10" s="155"/>
      <c r="BN10" s="155"/>
      <c r="BO10" s="155"/>
      <c r="BP10" s="155"/>
      <c r="BQ10" s="91" t="s">
        <v>0</v>
      </c>
      <c r="BR10" s="364"/>
      <c r="BS10" s="364"/>
      <c r="BT10" s="364"/>
      <c r="BU10" s="364"/>
      <c r="BV10" s="364"/>
      <c r="BW10" s="364"/>
      <c r="BX10" s="364"/>
      <c r="BY10" s="364"/>
      <c r="BZ10" s="155" t="s">
        <v>173</v>
      </c>
      <c r="CA10" s="155"/>
      <c r="CB10" s="155"/>
      <c r="CC10" s="155"/>
      <c r="CD10" s="155"/>
      <c r="CE10" s="155"/>
      <c r="CF10" s="155"/>
      <c r="CG10" s="155"/>
      <c r="CI10" s="330" t="s">
        <v>178</v>
      </c>
      <c r="CJ10" s="155"/>
      <c r="CK10" s="22">
        <f>AQ11</f>
        <v>0</v>
      </c>
      <c r="CL10" s="7" t="s">
        <v>173</v>
      </c>
    </row>
    <row r="11" spans="1:132" ht="11.45" customHeight="1" x14ac:dyDescent="0.2">
      <c r="A11" s="155" t="s">
        <v>5</v>
      </c>
      <c r="B11" s="155"/>
      <c r="C11" s="155"/>
      <c r="D11" s="155"/>
      <c r="E11" s="155"/>
      <c r="F11" s="155"/>
      <c r="G11" s="155"/>
      <c r="H11" s="155"/>
      <c r="I11" s="155"/>
      <c r="J11" s="155"/>
      <c r="K11" s="155"/>
      <c r="L11" s="155"/>
      <c r="M11" s="155"/>
      <c r="N11" s="91" t="s">
        <v>0</v>
      </c>
      <c r="O11" s="364"/>
      <c r="P11" s="364"/>
      <c r="Q11" s="364"/>
      <c r="R11" s="364"/>
      <c r="S11" s="364"/>
      <c r="T11" s="364"/>
      <c r="U11" s="364"/>
      <c r="V11" s="364"/>
      <c r="W11" s="155" t="s">
        <v>173</v>
      </c>
      <c r="X11" s="155"/>
      <c r="Y11" s="155"/>
      <c r="Z11" s="155"/>
      <c r="AA11" s="155"/>
      <c r="AB11" s="366"/>
      <c r="AC11" s="330" t="s">
        <v>191</v>
      </c>
      <c r="AD11" s="155"/>
      <c r="AE11" s="155"/>
      <c r="AF11" s="155"/>
      <c r="AG11" s="155"/>
      <c r="AH11" s="155"/>
      <c r="AI11" s="155"/>
      <c r="AJ11" s="155"/>
      <c r="AK11" s="155"/>
      <c r="AL11" s="155"/>
      <c r="AM11" s="155"/>
      <c r="AN11" s="155"/>
      <c r="AO11" s="155"/>
      <c r="AP11" s="91" t="s">
        <v>0</v>
      </c>
      <c r="AQ11" s="364"/>
      <c r="AR11" s="364"/>
      <c r="AS11" s="364"/>
      <c r="AT11" s="364"/>
      <c r="AU11" s="364"/>
      <c r="AV11" s="364"/>
      <c r="AW11" s="364"/>
      <c r="AX11" s="364"/>
      <c r="AY11" s="155" t="s">
        <v>173</v>
      </c>
      <c r="AZ11" s="155"/>
      <c r="BA11" s="155"/>
      <c r="BB11" s="366"/>
      <c r="BC11" s="330" t="s">
        <v>195</v>
      </c>
      <c r="BD11" s="155"/>
      <c r="BE11" s="155"/>
      <c r="BF11" s="155"/>
      <c r="BG11" s="155"/>
      <c r="BH11" s="155"/>
      <c r="BI11" s="155"/>
      <c r="BJ11" s="155"/>
      <c r="BK11" s="155"/>
      <c r="BL11" s="155"/>
      <c r="BM11" s="155"/>
      <c r="BN11" s="155"/>
      <c r="BO11" s="155"/>
      <c r="BP11" s="155"/>
      <c r="BQ11" s="91" t="s">
        <v>0</v>
      </c>
      <c r="BR11" s="382" t="str">
        <f>IF(OR(BR9="",BR10=""),"",ROUND(BR9+BR10,3))</f>
        <v/>
      </c>
      <c r="BS11" s="383"/>
      <c r="BT11" s="383"/>
      <c r="BU11" s="383"/>
      <c r="BV11" s="383"/>
      <c r="BW11" s="383"/>
      <c r="BX11" s="383"/>
      <c r="BY11" s="383"/>
      <c r="BZ11" s="155" t="s">
        <v>173</v>
      </c>
      <c r="CA11" s="155"/>
      <c r="CB11" s="155"/>
      <c r="CC11" s="155"/>
      <c r="CD11" s="155"/>
      <c r="CE11" s="155"/>
      <c r="CF11" s="155"/>
      <c r="CG11" s="155"/>
      <c r="CI11" s="331" t="s">
        <v>167</v>
      </c>
      <c r="CJ11" s="162"/>
      <c r="CK11" s="23" t="e">
        <f>CK10*(CK9/24)</f>
        <v>#VALUE!</v>
      </c>
      <c r="CL11" s="11" t="s">
        <v>173</v>
      </c>
    </row>
    <row r="12" spans="1:132" ht="11.45" customHeight="1" thickBot="1" x14ac:dyDescent="0.25">
      <c r="A12" s="381"/>
      <c r="B12" s="381"/>
      <c r="C12" s="381"/>
      <c r="D12" s="381"/>
      <c r="E12" s="381"/>
      <c r="F12" s="381"/>
      <c r="G12" s="381"/>
      <c r="H12" s="381"/>
      <c r="I12" s="381"/>
      <c r="J12" s="381"/>
      <c r="K12" s="381"/>
      <c r="L12" s="381"/>
      <c r="M12" s="381"/>
      <c r="N12" s="381"/>
      <c r="O12" s="381"/>
      <c r="P12" s="381"/>
      <c r="Q12" s="381"/>
      <c r="R12" s="381"/>
      <c r="S12" s="381"/>
      <c r="T12" s="381"/>
      <c r="U12" s="381"/>
      <c r="V12" s="381"/>
      <c r="W12" s="381"/>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381"/>
      <c r="BB12" s="381"/>
      <c r="BC12" s="381"/>
      <c r="BD12" s="381"/>
      <c r="BE12" s="381"/>
      <c r="BF12" s="381"/>
      <c r="BG12" s="381"/>
      <c r="BH12" s="381"/>
      <c r="BI12" s="381"/>
      <c r="BJ12" s="381"/>
      <c r="BK12" s="381"/>
      <c r="BL12" s="381"/>
      <c r="BM12" s="381"/>
      <c r="BN12" s="381"/>
      <c r="BO12" s="381"/>
      <c r="BP12" s="381"/>
      <c r="BQ12" s="381"/>
      <c r="BR12" s="381"/>
      <c r="BS12" s="381"/>
      <c r="BT12" s="381"/>
      <c r="BU12" s="381"/>
      <c r="BV12" s="381"/>
      <c r="BW12" s="381"/>
      <c r="BX12" s="381"/>
      <c r="BY12" s="381"/>
      <c r="BZ12" s="381"/>
      <c r="CA12" s="381"/>
      <c r="CB12" s="381"/>
      <c r="CC12" s="381"/>
      <c r="CD12" s="381"/>
      <c r="CE12" s="381"/>
      <c r="CF12" s="381"/>
      <c r="CG12" s="381"/>
      <c r="CN12" s="1" t="s">
        <v>224</v>
      </c>
      <c r="CO12" s="91"/>
    </row>
    <row r="13" spans="1:132" ht="11.45" customHeight="1" x14ac:dyDescent="0.2">
      <c r="A13" s="336" t="s">
        <v>27</v>
      </c>
      <c r="B13" s="336"/>
      <c r="C13" s="336"/>
      <c r="D13" s="336"/>
      <c r="E13" s="336"/>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6"/>
      <c r="AH13" s="336"/>
      <c r="AI13" s="336"/>
      <c r="AJ13" s="336"/>
      <c r="AK13" s="336"/>
      <c r="AL13" s="343" t="s">
        <v>2</v>
      </c>
      <c r="AM13" s="343"/>
      <c r="AN13" s="343"/>
      <c r="AO13" s="95" t="s">
        <v>0</v>
      </c>
      <c r="AP13" s="393" t="str">
        <f>IF('Data Entry'!N20="","",'Data Entry'!N20)</f>
        <v/>
      </c>
      <c r="AQ13" s="393"/>
      <c r="AR13" s="393"/>
      <c r="AS13" s="393"/>
      <c r="AT13" s="393"/>
      <c r="AU13" s="393"/>
      <c r="AV13" s="393"/>
      <c r="AW13" s="393"/>
      <c r="AX13" s="343" t="s">
        <v>16</v>
      </c>
      <c r="AY13" s="343"/>
      <c r="AZ13" s="343"/>
      <c r="BA13" s="95" t="s">
        <v>0</v>
      </c>
      <c r="BB13" s="365"/>
      <c r="BC13" s="365"/>
      <c r="BD13" s="365"/>
      <c r="BE13" s="365"/>
      <c r="BF13" s="365"/>
      <c r="BG13" s="365"/>
      <c r="BH13" s="365"/>
      <c r="BI13" s="365"/>
      <c r="BJ13" s="343" t="s">
        <v>425</v>
      </c>
      <c r="BK13" s="343"/>
      <c r="BL13" s="343"/>
      <c r="BM13" s="343"/>
      <c r="BN13" s="343"/>
      <c r="BO13" s="343"/>
      <c r="BP13" s="343"/>
      <c r="BQ13" s="95" t="s">
        <v>0</v>
      </c>
      <c r="BR13" s="343"/>
      <c r="BS13" s="343"/>
      <c r="BT13" s="343"/>
      <c r="BU13" s="343"/>
      <c r="BV13" s="343"/>
      <c r="BW13" s="343"/>
      <c r="BX13" s="343"/>
      <c r="BY13" s="343"/>
      <c r="BZ13" s="343"/>
      <c r="CA13" s="343"/>
      <c r="CB13" s="343"/>
      <c r="CC13" s="343"/>
      <c r="CD13" s="343"/>
      <c r="CE13" s="343"/>
      <c r="CF13" s="343"/>
      <c r="CG13" s="343"/>
      <c r="CN13" s="107" t="s">
        <v>93</v>
      </c>
      <c r="CO13" s="91"/>
      <c r="CP13" s="91"/>
      <c r="CQ13" s="91"/>
    </row>
    <row r="14" spans="1:132" ht="11.45" customHeight="1" x14ac:dyDescent="0.2">
      <c r="A14" s="155"/>
      <c r="B14" s="155"/>
      <c r="C14" s="155"/>
      <c r="D14" s="155"/>
      <c r="E14" s="155"/>
      <c r="F14" s="155"/>
      <c r="G14" s="155" t="s">
        <v>196</v>
      </c>
      <c r="H14" s="155"/>
      <c r="I14" s="155"/>
      <c r="J14" s="155"/>
      <c r="K14" s="155"/>
      <c r="L14" s="155"/>
      <c r="M14" s="90" t="s">
        <v>0</v>
      </c>
      <c r="N14" s="340"/>
      <c r="O14" s="340"/>
      <c r="P14" s="340"/>
      <c r="Q14" s="340"/>
      <c r="R14" s="340"/>
      <c r="S14" s="340"/>
      <c r="T14" s="340" t="s">
        <v>192</v>
      </c>
      <c r="U14" s="340"/>
      <c r="V14" s="340"/>
      <c r="W14" s="340"/>
      <c r="X14" s="350"/>
      <c r="Y14" s="350"/>
      <c r="Z14" s="350"/>
      <c r="AA14" s="350"/>
      <c r="AB14" s="350"/>
      <c r="AC14" s="350"/>
      <c r="AD14" s="352" t="s">
        <v>427</v>
      </c>
      <c r="AE14" s="352"/>
      <c r="AF14" s="352"/>
      <c r="AG14" s="90" t="s">
        <v>0</v>
      </c>
      <c r="AH14" s="340" t="str">
        <f>IF(OR(N14="",N15=""),"",(N15-N14))</f>
        <v/>
      </c>
      <c r="AI14" s="340"/>
      <c r="AJ14" s="340"/>
      <c r="AK14" s="340"/>
      <c r="AL14" s="340"/>
      <c r="AM14" s="342" t="str">
        <f>T14</f>
        <v xml:space="preserve"> M</v>
      </c>
      <c r="AN14" s="342"/>
      <c r="AO14" s="342"/>
      <c r="AP14" s="342"/>
      <c r="AQ14" s="155"/>
      <c r="AR14" s="155"/>
      <c r="AS14" s="155"/>
      <c r="AT14" s="155"/>
      <c r="AU14" s="155"/>
      <c r="AV14" s="155"/>
      <c r="AW14" s="340" t="s">
        <v>434</v>
      </c>
      <c r="AX14" s="340"/>
      <c r="AY14" s="340"/>
      <c r="AZ14" s="340"/>
      <c r="BA14" s="340"/>
      <c r="BB14" s="340"/>
      <c r="BC14" s="340"/>
      <c r="BD14" s="340"/>
      <c r="BE14" s="340"/>
      <c r="BF14" s="340"/>
      <c r="BG14" s="340"/>
      <c r="BH14" s="340"/>
      <c r="BI14" s="340"/>
      <c r="BJ14" s="340"/>
      <c r="BK14" s="340"/>
      <c r="BL14" s="340"/>
      <c r="BM14" s="103" t="s">
        <v>0</v>
      </c>
      <c r="BN14" s="155"/>
      <c r="BO14" s="155"/>
      <c r="BP14" s="155"/>
      <c r="BQ14" s="155"/>
      <c r="BR14" s="155"/>
      <c r="BS14" s="155"/>
      <c r="BT14" s="155"/>
      <c r="BU14" s="155"/>
      <c r="BV14" s="155"/>
      <c r="BW14" s="155"/>
      <c r="BX14" s="155"/>
      <c r="BY14" s="155"/>
      <c r="BZ14" s="155"/>
      <c r="CA14" s="155"/>
      <c r="CB14" s="155"/>
      <c r="CC14" s="155"/>
      <c r="CD14" s="155"/>
      <c r="CE14" s="155"/>
      <c r="CF14" s="155"/>
      <c r="CG14" s="155"/>
      <c r="CN14" s="2" t="s">
        <v>94</v>
      </c>
      <c r="CZ14" s="91"/>
      <c r="DA14" s="91"/>
      <c r="DB14" s="91"/>
      <c r="DC14" s="91"/>
      <c r="DD14" s="91"/>
    </row>
    <row r="15" spans="1:132" ht="11.45" customHeight="1" x14ac:dyDescent="0.2">
      <c r="A15" s="162"/>
      <c r="B15" s="162"/>
      <c r="C15" s="162"/>
      <c r="D15" s="162"/>
      <c r="E15" s="162"/>
      <c r="F15" s="162"/>
      <c r="G15" s="162" t="s">
        <v>426</v>
      </c>
      <c r="H15" s="162"/>
      <c r="I15" s="162"/>
      <c r="J15" s="162"/>
      <c r="K15" s="162"/>
      <c r="L15" s="162"/>
      <c r="M15" s="90" t="s">
        <v>0</v>
      </c>
      <c r="N15" s="355"/>
      <c r="O15" s="355"/>
      <c r="P15" s="355"/>
      <c r="Q15" s="355"/>
      <c r="R15" s="355"/>
      <c r="S15" s="355"/>
      <c r="T15" s="358" t="str">
        <f>T14</f>
        <v xml:space="preserve"> M</v>
      </c>
      <c r="U15" s="358"/>
      <c r="V15" s="358"/>
      <c r="W15" s="358"/>
      <c r="X15" s="351"/>
      <c r="Y15" s="351"/>
      <c r="Z15" s="351"/>
      <c r="AA15" s="351"/>
      <c r="AB15" s="351"/>
      <c r="AC15" s="351"/>
      <c r="AD15" s="353" t="s">
        <v>428</v>
      </c>
      <c r="AE15" s="353"/>
      <c r="AF15" s="353"/>
      <c r="AG15" s="90" t="s">
        <v>0</v>
      </c>
      <c r="AH15" s="162"/>
      <c r="AI15" s="162"/>
      <c r="AJ15" s="162"/>
      <c r="AK15" s="162"/>
      <c r="AL15" s="162"/>
      <c r="AM15" s="162"/>
      <c r="AN15" s="162"/>
      <c r="AO15" s="162"/>
      <c r="AP15" s="162"/>
      <c r="AQ15" s="162"/>
      <c r="AR15" s="162"/>
      <c r="AS15" s="162"/>
      <c r="AT15" s="162"/>
      <c r="AU15" s="162"/>
      <c r="AV15" s="162"/>
      <c r="AW15" s="355" t="s">
        <v>435</v>
      </c>
      <c r="AX15" s="355"/>
      <c r="AY15" s="355"/>
      <c r="AZ15" s="355"/>
      <c r="BA15" s="355"/>
      <c r="BB15" s="355"/>
      <c r="BC15" s="355"/>
      <c r="BD15" s="355"/>
      <c r="BE15" s="355"/>
      <c r="BF15" s="355"/>
      <c r="BG15" s="355"/>
      <c r="BH15" s="355"/>
      <c r="BI15" s="355"/>
      <c r="BJ15" s="355"/>
      <c r="BK15" s="355"/>
      <c r="BL15" s="355"/>
      <c r="BM15" s="103" t="s">
        <v>0</v>
      </c>
      <c r="BN15" s="162"/>
      <c r="BO15" s="162"/>
      <c r="BP15" s="162"/>
      <c r="BQ15" s="162"/>
      <c r="BR15" s="162"/>
      <c r="BS15" s="162"/>
      <c r="BT15" s="162"/>
      <c r="BU15" s="162"/>
      <c r="BV15" s="162"/>
      <c r="BW15" s="162"/>
      <c r="BX15" s="162"/>
      <c r="BY15" s="162"/>
      <c r="BZ15" s="162"/>
      <c r="CA15" s="162"/>
      <c r="CB15" s="162"/>
      <c r="CC15" s="162"/>
      <c r="CD15" s="162"/>
      <c r="CE15" s="162"/>
      <c r="CF15" s="162"/>
      <c r="CG15" s="162"/>
    </row>
    <row r="16" spans="1:132" ht="11.45" customHeight="1" x14ac:dyDescent="0.2">
      <c r="A16" s="359" t="s">
        <v>7</v>
      </c>
      <c r="B16" s="360"/>
      <c r="C16" s="360"/>
      <c r="D16" s="360"/>
      <c r="E16" s="360"/>
      <c r="F16" s="360"/>
      <c r="G16" s="360"/>
      <c r="H16" s="388"/>
      <c r="I16" s="329" t="s">
        <v>197</v>
      </c>
      <c r="J16" s="376"/>
      <c r="K16" s="376"/>
      <c r="L16" s="376"/>
      <c r="M16" s="376"/>
      <c r="N16" s="376"/>
      <c r="O16" s="377"/>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378"/>
      <c r="J17" s="379"/>
      <c r="K17" s="379"/>
      <c r="L17" s="379"/>
      <c r="M17" s="379"/>
      <c r="N17" s="379"/>
      <c r="O17" s="380"/>
      <c r="P17" s="333" t="str">
        <f>IF(P16=$CN$18,"@ 60°F",IF(P16=$CN$19,"@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c r="B18" s="317"/>
      <c r="C18" s="317"/>
      <c r="D18" s="317"/>
      <c r="E18" s="317"/>
      <c r="F18" s="317"/>
      <c r="G18" s="317"/>
      <c r="H18" s="317"/>
      <c r="I18" s="345"/>
      <c r="J18" s="345"/>
      <c r="K18" s="345"/>
      <c r="L18" s="345"/>
      <c r="M18" s="345"/>
      <c r="N18" s="345"/>
      <c r="O18" s="345"/>
      <c r="P18" s="313"/>
      <c r="Q18" s="313"/>
      <c r="R18" s="313"/>
      <c r="S18" s="313"/>
      <c r="T18" s="313"/>
      <c r="U18" s="308"/>
      <c r="V18" s="308"/>
      <c r="W18" s="308"/>
      <c r="X18" s="308"/>
      <c r="Y18" s="308"/>
      <c r="Z18" s="308"/>
      <c r="AA18" s="308"/>
      <c r="AB18" s="308"/>
      <c r="AC18" s="309"/>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12"/>
      <c r="AZ18" s="312"/>
      <c r="BA18" s="312"/>
      <c r="BB18" s="312"/>
      <c r="BC18" s="312"/>
      <c r="BD18" s="311" t="str">
        <f>IF(OR(AJ18="",AT18=""),"",AJ18-AT18)</f>
        <v/>
      </c>
      <c r="BE18" s="311"/>
      <c r="BF18" s="311"/>
      <c r="BG18" s="311"/>
      <c r="BH18" s="311"/>
      <c r="BI18" s="310" t="str">
        <f t="shared" ref="BI18:BI29" si="0">IF(OR(AY18="",P18=""),"",IF($CN$53=1,DW18,IF($CN$53=2,DY18,IF($CN$53=3,EA18,IF($CN$53=4,DX18,IF($CN$53=5,DZ18,IF($CN$53=6,EB18)))))))</f>
        <v/>
      </c>
      <c r="BJ18" s="310"/>
      <c r="BK18" s="310"/>
      <c r="BL18" s="310"/>
      <c r="BM18" s="310"/>
      <c r="BN18" s="311" t="str">
        <f t="shared" ref="BN18:BN29" si="1">IF(OR(BD18="",BI18=""),"",BD18*BI18)</f>
        <v/>
      </c>
      <c r="BO18" s="311"/>
      <c r="BP18" s="311"/>
      <c r="BQ18" s="311"/>
      <c r="BR18" s="311"/>
      <c r="BS18" s="332" t="str">
        <f t="shared" ref="BS18:BS29" si="2">IF(OR(BD18="",P18="",BI18=""),"",ROUND((DS18-0.0011),4))</f>
        <v/>
      </c>
      <c r="BT18" s="332"/>
      <c r="BU18" s="332"/>
      <c r="BV18" s="332"/>
      <c r="BW18" s="332"/>
      <c r="BX18" s="311" t="str">
        <f t="shared" ref="BX18:BX29" si="3">IF(OR(BD18="",P18="",BI18=""),"",IF($AJ$17=$CN$34,ROUND(BN18*BS18,3),ROUND(CS18*BI18*BS18,3)))</f>
        <v/>
      </c>
      <c r="BY18" s="311"/>
      <c r="BZ18" s="311"/>
      <c r="CA18" s="311"/>
      <c r="CB18" s="311"/>
      <c r="CC18" s="311" t="str">
        <f t="shared" ref="CC18:CC29" si="4">IF(OR(BD18="",P18="",BI18=""),"",IF($AJ$17=$CN$34,ROUND(BN18*DQ18,3),ROUND(CS18*BI18*DQ18,3)))</f>
        <v/>
      </c>
      <c r="CD18" s="311"/>
      <c r="CE18" s="311"/>
      <c r="CF18" s="311"/>
      <c r="CG18" s="311"/>
      <c r="CN18" s="107" t="s">
        <v>13</v>
      </c>
      <c r="CP18" s="107">
        <f t="shared" ref="CP18:CP29" si="5">IF(OR(AY18="",BD18=""),0,AY18*BD18)</f>
        <v>0</v>
      </c>
      <c r="CR18" s="28" t="e">
        <f t="shared" ref="CR18:CR29" si="6">IF($BD$17=$CN$35,BD18,(BD18*6.28981))</f>
        <v>#VALUE!</v>
      </c>
      <c r="CS18" s="29" t="str">
        <f t="shared" ref="CS18:CS29" si="7">IF($BD$17=$CN$34,BD18,(BD18/6.28981))</f>
        <v/>
      </c>
      <c r="CU18" s="30">
        <f t="shared" ref="CU18:CU29" si="8">IF($AY$17=$CN$40,AY18,(AY18*1.8+32))</f>
        <v>32</v>
      </c>
      <c r="CV18" s="31">
        <f t="shared" ref="CV18:CV29" si="9">ROUND(CU18*2,0)/2</f>
        <v>32</v>
      </c>
      <c r="CW18" s="32">
        <f>ROUND(CU18,1)</f>
        <v>32</v>
      </c>
      <c r="CX18" s="33">
        <f>(1.8*((((CW18-32)/1.8)-((-0.148759+((-0.267408+((1.08076+((1.269056+((-4.089591+((-1.871251+((7.438081+(-3.536296*(((CW18-32)/1.8)/630)))*(((CW18-32)/1.8)/630)))*(((CW18-32)/1.8)/630)))*(((CW18-32)/1.8)/630)))*(((CW18-32)/1.8)/630)))*(((CW18-32)/1.8)/630)))*(((CW18-32)/1.8)/630)))*(((CW18-32)/1.8)/630)))))+32</f>
        <v>32</v>
      </c>
      <c r="CY18" s="26"/>
      <c r="CZ18" s="30">
        <f t="shared" ref="CZ18:CZ29" si="10">IF($AY$17=$CN$39,AY18,(AY18-32)/1.8)</f>
        <v>0</v>
      </c>
      <c r="DA18" s="28">
        <f t="shared" ref="DA18:DA29" si="11">ROUND(CZ18*4,0)/4</f>
        <v>0</v>
      </c>
      <c r="DB18" s="34">
        <f>ROUND(CZ18,1)</f>
        <v>0</v>
      </c>
      <c r="DC18" s="33">
        <f>DB18-((-0.148759+((-0.267408+((1.08076+((1.269056+((-4.089591+((-1.871251+((7.438081+(-3.536296*(DB18/630)))*(DB18/630)))*(DB18/630)))*(DB18/630)))*(DB18/630)))*(DB18/630)))*(DB18/630)))*(DB18/630))</f>
        <v>0</v>
      </c>
      <c r="DD18" s="35"/>
      <c r="DE18" s="30" t="e">
        <f t="shared" ref="DE18:DE29" si="12">IF($P$16=$CN$18,P18,(141.5/DK18)-131.5)</f>
        <v>#DIV/0!</v>
      </c>
      <c r="DF18" s="31" t="e">
        <f t="shared" ref="DF18:DF29" si="13">ROUND(DE18*2,0)/2</f>
        <v>#DIV/0!</v>
      </c>
      <c r="DG18" s="32" t="e">
        <f>ROUND(DE18,1)</f>
        <v>#DIV/0!</v>
      </c>
      <c r="DH18" s="33" t="e">
        <f>(141.5/(DG18+131.5))*999.016</f>
        <v>#DIV/0!</v>
      </c>
      <c r="DI18" s="33" t="e">
        <f>DH18*(1+((EXP(((0.01374979547/2)*(((103.872/DH18)+0.2701)*(1/DH18)))*(1+(0.8*((0.01374979547/2)*(((103.872/DH18)+0.2701)*(1/DH18))))))-1)/(1+(((0.01374979547/2)*(((103.872/DH18)+0.2701)*(1/DH18)))*(1+(1.6*((0.01374979547/2)*(((103.872/DH18)+0.2701)*(1/DH18)))))*(((2*103.872)+(0.2701+DH18))/(103.872+(0.2701*DH18)))))))</f>
        <v>#DIV/0!</v>
      </c>
      <c r="DK18" s="36" t="e">
        <f t="shared" ref="DK18:DK29" si="14">IF($P$16=$CN$19,P18,IF($P$16=$CN$18,141.5/(P18+131.5),DQ18*ROUND(EXP(-(186.9696/(((TRUNC(5*(DQ18*100)+0.5)/5)*0.01)*1000)^2+0.4862/(((TRUNC(5*(DQ18*100)+0.5)/5)*0.01)*1000))*(0.56)*(1+0.8*(186.9696/(((TRUNC(5*(DQ18*100)+0.5)/5)*0.01)*1000)^2+0.4862/(((TRUNC(5*(DQ18*100)+0.5)/5)*0.01)*1000))*0.56)),4)/0.999012))</f>
        <v>#DIV/0!</v>
      </c>
      <c r="DL18" s="37" t="e">
        <f>ROUND(DK18*5,2)/5</f>
        <v>#DIV/0!</v>
      </c>
      <c r="DM18" s="38" t="e">
        <f>ROUND(DK18,4)</f>
        <v>#DIV/0!</v>
      </c>
      <c r="DN18" s="33" t="e">
        <f>DM18*999.016</f>
        <v>#DIV/0!</v>
      </c>
      <c r="DO18" s="33" t="e">
        <f>DN18*(1+((EXP(((0.01374979547/2)*(((103.872/DN18)+0.2701)*(1/DN18)))*(1+(0.8*((0.01374979547/2)*(((103.872/DN18)+0.2701)*(1/DN18))))))-1)/(1+(((0.01374979547/2)*(((103.872/DN18)+0.2701)*(1/DN18)))*(1+(1.6*((0.01374979547/2)*(((103.872/DN18)+0.2701)*(1/DN18)))))*(((2*103.872)+(0.2701+DN18))/(103.872+(0.2701*DN18)))))))</f>
        <v>#DIV/0!</v>
      </c>
      <c r="DQ18" s="36">
        <f t="shared" ref="DQ18:DQ29" si="15">IF($P$16=$CN$20,P18,DK18*0.999012*ROUND(EXP(-((103.872/((((TRUNC(5*(DK18*100)+0.5)/5)*0.01)*999.012)^2))+(0.2701/(((TRUNC(5*(DK18*100)+0.5)/5)*0.01)*999.012)))*(-1)*(1+(0.8*((103.872/((((TRUNC(5*(DK18*100)+0.5)/5)*0.01)*999.012)^2))+(0.2701/(((TRUNC(5*(DK18*100)+0.5)/5)*0.01)*999.012)))*(-1)))),4))</f>
        <v>0</v>
      </c>
      <c r="DR18" s="39">
        <f>ROUND(DQ18*5,2)/5</f>
        <v>0</v>
      </c>
      <c r="DS18" s="38">
        <f>ROUND(DQ18,4)</f>
        <v>0</v>
      </c>
      <c r="DT18" s="33">
        <f>DS18*1000</f>
        <v>0</v>
      </c>
      <c r="DU18" s="33" t="e">
        <f>DT18*(1+((EXP(((0.01374979547/2)*(((186.9696/DT18)+0.4862)*(1/DT18)))*(1+(0.8*((0.01374979547/2)*(((186.9696/DT18)+0.4862)*(1/DT18))))))-1)/(1+(((0.01374979547/2)*(((186.9696/DT18)+0.4862)*(1/DT18)))*(1+(1.6*((0.01374979547/2)*(((186.9696/DT18)+0.4862)*(1/DT18)))))*(((2*186.9696)+(0.4862+DT18))/(186.9696+(0.4862*DT18)))))))</f>
        <v>#DIV/0!</v>
      </c>
      <c r="DW18" s="38" t="e">
        <f>ROUND(EXP(-((103.872/(((141.5/(DF18+131.5))*999.012)^2))+(0.2701/((141.5/(DF18+131.5))*999.012)))*(CV18-60)*(1+(0.8*((103.872/(((141.5/(DF18+131.5))*999.012)^2))+(0.2701/((141.5/(DF18+131.5))*999.012)))*(CV18-60)))),4)</f>
        <v>#DIV/0!</v>
      </c>
      <c r="DX18" s="40" t="e">
        <f>ROUND(EXP(-(((103.872/DI18)+0.2701)*(1/DI18))*(CX18-60.0068749)*(1+(0.8*(((103.872/DI18)+0.2701)*(1/DI18))*((CX18-60.0068749)+0.01374979547)))),5)</f>
        <v>#DIV/0!</v>
      </c>
      <c r="DY18" s="36" t="e">
        <f>ROUND(EXP(-((103.872/((DL18*999.012)^2))+(0.2701/(DL18*999.012)))*(CV18-60)*(1+(0.8*((103.872/((DL18*999.012)^2))+(0.2701/(DL18*999.012)))*(CV18-60)))),4)</f>
        <v>#DIV/0!</v>
      </c>
      <c r="DZ18" s="40" t="e">
        <f>ROUND(EXP(-(((103.872/DO18)+0.2701)*(1/DO18))*(CX18-60.0068749)*(1+(0.8*(((103.872/DO18)+0.2701)*(1/DO18))*((CX18-60.0068749)+0.01374979547)))),5)</f>
        <v>#DIV/0!</v>
      </c>
      <c r="EA18" s="36" t="e">
        <f>ROUND(EXP(-((186.9696/((DR18*1000)^2))+(0.4862/(DR18*1000)))*(DA18-15)*(1+(0.8*((186.9696/((DR18*1000)^2))+(0.4862/(DR18*1000)))*(DA18-15)))),4)</f>
        <v>#DIV/0!</v>
      </c>
      <c r="EB18" s="40" t="e">
        <f>ROUND(EXP(-((((186.9696/DU18)+0.4862)*(1/DU18)))*(DC18-15.00367851)*(1+(0.8*((((186.9696/DU18)+0.4862)*(1/DU18)))*((DC18-15.00367851)+0.01374979547)))),5)</f>
        <v>#DIV/0!</v>
      </c>
    </row>
    <row r="19" spans="1:132" ht="11.45" customHeight="1" x14ac:dyDescent="0.2">
      <c r="A19" s="317"/>
      <c r="B19" s="317"/>
      <c r="C19" s="317"/>
      <c r="D19" s="317"/>
      <c r="E19" s="317"/>
      <c r="F19" s="317"/>
      <c r="G19" s="317"/>
      <c r="H19" s="317"/>
      <c r="I19" s="345"/>
      <c r="J19" s="345"/>
      <c r="K19" s="345"/>
      <c r="L19" s="345"/>
      <c r="M19" s="345"/>
      <c r="N19" s="345"/>
      <c r="O19" s="345"/>
      <c r="P19" s="313"/>
      <c r="Q19" s="313"/>
      <c r="R19" s="313"/>
      <c r="S19" s="313"/>
      <c r="T19" s="313"/>
      <c r="U19" s="308"/>
      <c r="V19" s="308"/>
      <c r="W19" s="308"/>
      <c r="X19" s="308"/>
      <c r="Y19" s="308"/>
      <c r="Z19" s="308"/>
      <c r="AA19" s="308"/>
      <c r="AB19" s="308"/>
      <c r="AC19" s="309"/>
      <c r="AD19" s="308"/>
      <c r="AE19" s="308"/>
      <c r="AF19" s="308"/>
      <c r="AG19" s="308"/>
      <c r="AH19" s="308"/>
      <c r="AI19" s="308"/>
      <c r="AJ19" s="308"/>
      <c r="AK19" s="308"/>
      <c r="AL19" s="308"/>
      <c r="AM19" s="308"/>
      <c r="AN19" s="308"/>
      <c r="AO19" s="308"/>
      <c r="AP19" s="308"/>
      <c r="AQ19" s="308"/>
      <c r="AR19" s="308"/>
      <c r="AS19" s="308"/>
      <c r="AT19" s="308"/>
      <c r="AU19" s="308"/>
      <c r="AV19" s="308"/>
      <c r="AW19" s="308"/>
      <c r="AX19" s="308"/>
      <c r="AY19" s="312"/>
      <c r="AZ19" s="312"/>
      <c r="BA19" s="312"/>
      <c r="BB19" s="312"/>
      <c r="BC19" s="312"/>
      <c r="BD19" s="311" t="str">
        <f t="shared" ref="BD19:BD29" si="16">IF(OR(AJ19="",AT19=""),"",AJ19-AT19)</f>
        <v/>
      </c>
      <c r="BE19" s="311"/>
      <c r="BF19" s="311"/>
      <c r="BG19" s="311"/>
      <c r="BH19" s="311"/>
      <c r="BI19" s="310" t="str">
        <f t="shared" si="0"/>
        <v/>
      </c>
      <c r="BJ19" s="310"/>
      <c r="BK19" s="310"/>
      <c r="BL19" s="310"/>
      <c r="BM19" s="310"/>
      <c r="BN19" s="311" t="str">
        <f t="shared" si="1"/>
        <v/>
      </c>
      <c r="BO19" s="311"/>
      <c r="BP19" s="311"/>
      <c r="BQ19" s="311"/>
      <c r="BR19" s="311"/>
      <c r="BS19" s="332" t="str">
        <f t="shared" si="2"/>
        <v/>
      </c>
      <c r="BT19" s="332"/>
      <c r="BU19" s="332"/>
      <c r="BV19" s="332"/>
      <c r="BW19" s="332"/>
      <c r="BX19" s="311" t="str">
        <f t="shared" si="3"/>
        <v/>
      </c>
      <c r="BY19" s="311"/>
      <c r="BZ19" s="311"/>
      <c r="CA19" s="311"/>
      <c r="CB19" s="311"/>
      <c r="CC19" s="311" t="str">
        <f t="shared" si="4"/>
        <v/>
      </c>
      <c r="CD19" s="311"/>
      <c r="CE19" s="311"/>
      <c r="CF19" s="311"/>
      <c r="CG19" s="311"/>
      <c r="CN19" s="87" t="s">
        <v>85</v>
      </c>
      <c r="CP19" s="87">
        <f t="shared" si="5"/>
        <v>0</v>
      </c>
      <c r="CR19" s="28" t="e">
        <f t="shared" si="6"/>
        <v>#VALUE!</v>
      </c>
      <c r="CS19" s="29" t="str">
        <f t="shared" si="7"/>
        <v/>
      </c>
      <c r="CU19" s="28">
        <f t="shared" si="8"/>
        <v>32</v>
      </c>
      <c r="CV19" s="31">
        <f t="shared" si="9"/>
        <v>32</v>
      </c>
      <c r="CW19" s="32">
        <f>ROUND(CU19,1)</f>
        <v>32</v>
      </c>
      <c r="CX19" s="32">
        <f t="shared" ref="CX19:CX29" si="17">(1.8*((((CW19-32)/1.8)-((-0.148759+((-0.267408+((1.08076+((1.269056+((-4.089591+((-1.871251+((7.438081+(-3.536296*(((CW19-32)/1.8)/630)))*(((CW19-32)/1.8)/630)))*(((CW19-32)/1.8)/630)))*(((CW19-32)/1.8)/630)))*(((CW19-32)/1.8)/630)))*(((CW19-32)/1.8)/630)))*(((CW19-32)/1.8)/630)))*(((CW19-32)/1.8)/630)))))+32</f>
        <v>32</v>
      </c>
      <c r="CY19" s="26"/>
      <c r="CZ19" s="28">
        <f t="shared" si="10"/>
        <v>0</v>
      </c>
      <c r="DA19" s="28">
        <f t="shared" si="11"/>
        <v>0</v>
      </c>
      <c r="DB19" s="34">
        <f>ROUND(CZ19,1)</f>
        <v>0</v>
      </c>
      <c r="DC19" s="32">
        <f t="shared" ref="DC19:DC29" si="18">DB19-((-0.148759+((-0.267408+((1.08076+((1.269056+((-4.089591+((-1.871251+((7.438081+(-3.536296*(DB19/630)))*(DB19/630)))*(DB19/630)))*(DB19/630)))*(DB19/630)))*(DB19/630)))*(DB19/630)))*(DB19/630))</f>
        <v>0</v>
      </c>
      <c r="DD19" s="35"/>
      <c r="DE19" s="28" t="e">
        <f t="shared" si="12"/>
        <v>#DIV/0!</v>
      </c>
      <c r="DF19" s="31" t="e">
        <f t="shared" si="13"/>
        <v>#DIV/0!</v>
      </c>
      <c r="DG19" s="32" t="e">
        <f>ROUND(DE19,1)</f>
        <v>#DIV/0!</v>
      </c>
      <c r="DH19" s="32" t="e">
        <f t="shared" ref="DH19:DH29" si="19">(141.5/(DG19+131.5))*999.016</f>
        <v>#DIV/0!</v>
      </c>
      <c r="DI19" s="32" t="e">
        <f t="shared" ref="DI19:DI29" si="20">DH19*(1+((EXP(((0.01374979547/2)*(((103.872/DH19)+0.2701)*(1/DH19)))*(1+(0.8*((0.01374979547/2)*(((103.872/DH19)+0.2701)*(1/DH19))))))-1)/(1+(((0.01374979547/2)*(((103.872/DH19)+0.2701)*(1/DH19)))*(1+(1.6*((0.01374979547/2)*(((103.872/DH19)+0.2701)*(1/DH19)))))*(((2*103.872)+(0.2701+DH19))/(103.872+(0.2701*DH19)))))))</f>
        <v>#DIV/0!</v>
      </c>
      <c r="DK19" s="38" t="e">
        <f t="shared" si="14"/>
        <v>#DIV/0!</v>
      </c>
      <c r="DL19" s="41" t="e">
        <f>ROUND(DK19*5,2)/5</f>
        <v>#DIV/0!</v>
      </c>
      <c r="DM19" s="38" t="e">
        <f>ROUND(DK19,4)</f>
        <v>#DIV/0!</v>
      </c>
      <c r="DN19" s="32" t="e">
        <f t="shared" ref="DN19:DN29" si="21">DM19*999.016</f>
        <v>#DIV/0!</v>
      </c>
      <c r="DO19" s="32" t="e">
        <f>DN19*(1+((EXP(((0.01374979547/2)*(((103.872/DN19)+0.2701)*(1/DN19)))*(1+(0.8*((0.01374979547/2)*(((103.872/DN19)+0.2701)*(1/DN19))))))-1)/(1+(((0.01374979547/2)*(((103.872/DN19)+0.2701)*(1/DN19)))*(1+(1.6*((0.01374979547/2)*(((103.872/DN19)+0.2701)*(1/DN19)))))*(((2*103.872)+(0.2701+DN19))/(103.872+(0.2701*DN19)))))))</f>
        <v>#DIV/0!</v>
      </c>
      <c r="DQ19" s="38">
        <f t="shared" si="15"/>
        <v>0</v>
      </c>
      <c r="DR19" s="29">
        <f>ROUND(DQ19*5,2)/5</f>
        <v>0</v>
      </c>
      <c r="DS19" s="38">
        <f>ROUND(DQ19,4)</f>
        <v>0</v>
      </c>
      <c r="DT19" s="32">
        <f t="shared" ref="DT19:DT29" si="22">DS19*1000</f>
        <v>0</v>
      </c>
      <c r="DU19" s="32" t="e">
        <f t="shared" ref="DU19:DU29" si="23">DT19*(1+((EXP(((0.01374979547/2)*(((186.9696/DT19)+0.4862)*(1/DT19)))*(1+(0.8*((0.01374979547/2)*(((186.9696/DT19)+0.4862)*(1/DT19))))))-1)/(1+(((0.01374979547/2)*(((186.9696/DT19)+0.4862)*(1/DT19)))*(1+(1.6*((0.01374979547/2)*(((186.9696/DT19)+0.4862)*(1/DT19)))))*(((2*186.9696)+(0.4862+DT19))/(186.9696+(0.4862*DT19)))))))</f>
        <v>#DIV/0!</v>
      </c>
      <c r="DW19" s="38" t="e">
        <f>ROUND(EXP(-((103.872/(((141.5/(DF19+131.5))*999.012)^2))+(0.2701/((141.5/(DF19+131.5))*999.012)))*(CV19-60)*(1+(0.8*((103.872/(((141.5/(DF19+131.5))*999.012)^2))+(0.2701/((141.5/(DF19+131.5))*999.012)))*(CV19-60)))),4)</f>
        <v>#DIV/0!</v>
      </c>
      <c r="DX19" s="42" t="e">
        <f>ROUND(EXP(-(((103.872/DI19)+0.2701)*(1/DI19))*(CX19-60.0068749)*(1+(0.8*(((103.872/DI19)+0.2701)*(1/DI19))*((CX19-60.0068749)+0.01374979547)))),5)</f>
        <v>#DIV/0!</v>
      </c>
      <c r="DY19" s="38" t="e">
        <f>ROUND(EXP(-((103.872/((DL19*999.012)^2))+(0.2701/(DL19*999.012)))*(CV19-60)*(1+(0.8*((103.872/((DL19*999.012)^2))+(0.2701/(DL19*999.012)))*(CV19-60)))),4)</f>
        <v>#DIV/0!</v>
      </c>
      <c r="DZ19" s="42" t="e">
        <f>ROUND(EXP(-(((103.872/DO19)+0.2701)*(1/DO19))*(CX19-60.0068749)*(1+(0.8*(((103.872/DO19)+0.2701)*(1/DO19))*((CX19-60.0068749)+0.01374979547)))),5)</f>
        <v>#DIV/0!</v>
      </c>
      <c r="EA19" s="38" t="e">
        <f>ROUND(EXP(-((186.9696/((DR19*1000)^2))+(0.4862/(DR19*1000)))*(DA19-15)*(1+(0.8*((186.9696/((DR19*1000)^2))+(0.4862/(DR19*1000)))*(DA19-15)))),4)</f>
        <v>#DIV/0!</v>
      </c>
      <c r="EB19" s="42" t="e">
        <f>ROUND(EXP(-((((186.9696/DU19)+0.4862)*(1/DU19)))*(DC19-15.00367851)*(1+(0.8*((((186.9696/DU19)+0.4862)*(1/DU19)))*((DC19-15.00367851)+0.01374979547)))),5)</f>
        <v>#DIV/0!</v>
      </c>
    </row>
    <row r="20" spans="1:132" ht="11.45" customHeight="1" x14ac:dyDescent="0.2">
      <c r="A20" s="317"/>
      <c r="B20" s="317"/>
      <c r="C20" s="317"/>
      <c r="D20" s="317"/>
      <c r="E20" s="317"/>
      <c r="F20" s="317"/>
      <c r="G20" s="317"/>
      <c r="H20" s="317"/>
      <c r="I20" s="345"/>
      <c r="J20" s="345"/>
      <c r="K20" s="345"/>
      <c r="L20" s="345"/>
      <c r="M20" s="345"/>
      <c r="N20" s="345"/>
      <c r="O20" s="345"/>
      <c r="P20" s="313"/>
      <c r="Q20" s="313"/>
      <c r="R20" s="313"/>
      <c r="S20" s="313"/>
      <c r="T20" s="313"/>
      <c r="U20" s="308"/>
      <c r="V20" s="308"/>
      <c r="W20" s="308"/>
      <c r="X20" s="308"/>
      <c r="Y20" s="308"/>
      <c r="Z20" s="308"/>
      <c r="AA20" s="308"/>
      <c r="AB20" s="308"/>
      <c r="AC20" s="309"/>
      <c r="AD20" s="308"/>
      <c r="AE20" s="308"/>
      <c r="AF20" s="308"/>
      <c r="AG20" s="308"/>
      <c r="AH20" s="308"/>
      <c r="AI20" s="308"/>
      <c r="AJ20" s="308"/>
      <c r="AK20" s="308"/>
      <c r="AL20" s="308"/>
      <c r="AM20" s="308"/>
      <c r="AN20" s="308"/>
      <c r="AO20" s="308"/>
      <c r="AP20" s="308"/>
      <c r="AQ20" s="308"/>
      <c r="AR20" s="308"/>
      <c r="AS20" s="308"/>
      <c r="AT20" s="308"/>
      <c r="AU20" s="308"/>
      <c r="AV20" s="308"/>
      <c r="AW20" s="308"/>
      <c r="AX20" s="308"/>
      <c r="AY20" s="312"/>
      <c r="AZ20" s="312"/>
      <c r="BA20" s="312"/>
      <c r="BB20" s="312"/>
      <c r="BC20" s="312"/>
      <c r="BD20" s="311" t="str">
        <f t="shared" si="16"/>
        <v/>
      </c>
      <c r="BE20" s="311"/>
      <c r="BF20" s="311"/>
      <c r="BG20" s="311"/>
      <c r="BH20" s="311"/>
      <c r="BI20" s="310" t="str">
        <f t="shared" si="0"/>
        <v/>
      </c>
      <c r="BJ20" s="310"/>
      <c r="BK20" s="310"/>
      <c r="BL20" s="310"/>
      <c r="BM20" s="310"/>
      <c r="BN20" s="311" t="str">
        <f t="shared" si="1"/>
        <v/>
      </c>
      <c r="BO20" s="311"/>
      <c r="BP20" s="311"/>
      <c r="BQ20" s="311"/>
      <c r="BR20" s="311"/>
      <c r="BS20" s="332" t="str">
        <f t="shared" si="2"/>
        <v/>
      </c>
      <c r="BT20" s="332"/>
      <c r="BU20" s="332"/>
      <c r="BV20" s="332"/>
      <c r="BW20" s="332"/>
      <c r="BX20" s="311" t="str">
        <f t="shared" si="3"/>
        <v/>
      </c>
      <c r="BY20" s="311"/>
      <c r="BZ20" s="311"/>
      <c r="CA20" s="311"/>
      <c r="CB20" s="311"/>
      <c r="CC20" s="311" t="str">
        <f t="shared" si="4"/>
        <v/>
      </c>
      <c r="CD20" s="311"/>
      <c r="CE20" s="311"/>
      <c r="CF20" s="311"/>
      <c r="CG20" s="311"/>
      <c r="CN20" s="2" t="s">
        <v>84</v>
      </c>
      <c r="CP20" s="87">
        <f t="shared" si="5"/>
        <v>0</v>
      </c>
      <c r="CR20" s="28" t="e">
        <f t="shared" si="6"/>
        <v>#VALUE!</v>
      </c>
      <c r="CS20" s="29" t="str">
        <f t="shared" si="7"/>
        <v/>
      </c>
      <c r="CU20" s="28">
        <f t="shared" si="8"/>
        <v>32</v>
      </c>
      <c r="CV20" s="31">
        <f t="shared" si="9"/>
        <v>32</v>
      </c>
      <c r="CW20" s="32">
        <f t="shared" ref="CW20:CW28" si="24">ROUND(CU20,1)</f>
        <v>32</v>
      </c>
      <c r="CX20" s="32">
        <f t="shared" si="17"/>
        <v>32</v>
      </c>
      <c r="CY20" s="26"/>
      <c r="CZ20" s="28">
        <f t="shared" si="10"/>
        <v>0</v>
      </c>
      <c r="DA20" s="28">
        <f t="shared" si="11"/>
        <v>0</v>
      </c>
      <c r="DB20" s="34">
        <f t="shared" ref="DB20:DB28" si="25">ROUND(CZ20,1)</f>
        <v>0</v>
      </c>
      <c r="DC20" s="32">
        <f t="shared" si="18"/>
        <v>0</v>
      </c>
      <c r="DD20" s="35"/>
      <c r="DE20" s="28" t="e">
        <f t="shared" si="12"/>
        <v>#DIV/0!</v>
      </c>
      <c r="DF20" s="31" t="e">
        <f t="shared" si="13"/>
        <v>#DIV/0!</v>
      </c>
      <c r="DG20" s="32" t="e">
        <f t="shared" ref="DG20:DG28" si="26">ROUND(DE20,1)</f>
        <v>#DIV/0!</v>
      </c>
      <c r="DH20" s="32" t="e">
        <f t="shared" si="19"/>
        <v>#DIV/0!</v>
      </c>
      <c r="DI20" s="32" t="e">
        <f t="shared" si="20"/>
        <v>#DIV/0!</v>
      </c>
      <c r="DK20" s="38" t="e">
        <f t="shared" si="14"/>
        <v>#DIV/0!</v>
      </c>
      <c r="DL20" s="41" t="e">
        <f t="shared" ref="DL20:DL28" si="27">ROUND(DK20*5,2)/5</f>
        <v>#DIV/0!</v>
      </c>
      <c r="DM20" s="38" t="e">
        <f t="shared" ref="DM20:DM28" si="28">ROUND(DK20,4)</f>
        <v>#DIV/0!</v>
      </c>
      <c r="DN20" s="32" t="e">
        <f t="shared" si="21"/>
        <v>#DIV/0!</v>
      </c>
      <c r="DO20" s="32" t="e">
        <f t="shared" ref="DO20:DO28" si="29">DN20*(1+((EXP(((0.01374979547/2)*(((103.872/DN20)+0.2701)*(1/DN20)))*(1+(0.8*((0.01374979547/2)*(((103.872/DN20)+0.2701)*(1/DN20))))))-1)/(1+(((0.01374979547/2)*(((103.872/DN20)+0.2701)*(1/DN20)))*(1+(1.6*((0.01374979547/2)*(((103.872/DN20)+0.2701)*(1/DN20)))))*(((2*103.872)+(0.2701+DN20))/(103.872+(0.2701*DN20)))))))</f>
        <v>#DIV/0!</v>
      </c>
      <c r="DQ20" s="38">
        <f t="shared" si="15"/>
        <v>0</v>
      </c>
      <c r="DR20" s="29">
        <f t="shared" ref="DR20:DR28" si="30">ROUND(DQ20*5,2)/5</f>
        <v>0</v>
      </c>
      <c r="DS20" s="38">
        <f t="shared" ref="DS20:DS28" si="31">ROUND(DQ20,4)</f>
        <v>0</v>
      </c>
      <c r="DT20" s="32">
        <f t="shared" si="22"/>
        <v>0</v>
      </c>
      <c r="DU20" s="32" t="e">
        <f t="shared" si="23"/>
        <v>#DIV/0!</v>
      </c>
      <c r="DW20" s="38" t="e">
        <f t="shared" ref="DW20:DW28" si="32">ROUND(EXP(-((103.872/(((141.5/(DF20+131.5))*999.012)^2))+(0.2701/((141.5/(DF20+131.5))*999.012)))*(CV20-60)*(1+(0.8*((103.872/(((141.5/(DF20+131.5))*999.012)^2))+(0.2701/((141.5/(DF20+131.5))*999.012)))*(CV20-60)))),4)</f>
        <v>#DIV/0!</v>
      </c>
      <c r="DX20" s="42" t="e">
        <f t="shared" ref="DX20:DX28" si="33">ROUND(EXP(-(((103.872/DI20)+0.2701)*(1/DI20))*(CX20-60.0068749)*(1+(0.8*(((103.872/DI20)+0.2701)*(1/DI20))*((CX20-60.0068749)+0.01374979547)))),5)</f>
        <v>#DIV/0!</v>
      </c>
      <c r="DY20" s="38" t="e">
        <f t="shared" ref="DY20:DY28" si="34">ROUND(EXP(-((103.872/((DL20*999.012)^2))+(0.2701/(DL20*999.012)))*(CV20-60)*(1+(0.8*((103.872/((DL20*999.012)^2))+(0.2701/(DL20*999.012)))*(CV20-60)))),4)</f>
        <v>#DIV/0!</v>
      </c>
      <c r="DZ20" s="42" t="e">
        <f t="shared" ref="DZ20:DZ28" si="35">ROUND(EXP(-(((103.872/DO20)+0.2701)*(1/DO20))*(CX20-60.0068749)*(1+(0.8*(((103.872/DO20)+0.2701)*(1/DO20))*((CX20-60.0068749)+0.01374979547)))),5)</f>
        <v>#DIV/0!</v>
      </c>
      <c r="EA20" s="38" t="e">
        <f t="shared" ref="EA20:EA28" si="36">ROUND(EXP(-((186.9696/((DR20*1000)^2))+(0.4862/(DR20*1000)))*(DA20-15)*(1+(0.8*((186.9696/((DR20*1000)^2))+(0.4862/(DR20*1000)))*(DA20-15)))),4)</f>
        <v>#DIV/0!</v>
      </c>
      <c r="EB20" s="42" t="e">
        <f t="shared" ref="EB20:EB28" si="37">ROUND(EXP(-((((186.9696/DU20)+0.4862)*(1/DU20)))*(DC20-15.00367851)*(1+(0.8*((((186.9696/DU20)+0.4862)*(1/DU20)))*((DC20-15.00367851)+0.01374979547)))),5)</f>
        <v>#DIV/0!</v>
      </c>
    </row>
    <row r="21" spans="1:132" ht="11.45" customHeight="1" x14ac:dyDescent="0.2">
      <c r="A21" s="317"/>
      <c r="B21" s="317"/>
      <c r="C21" s="317"/>
      <c r="D21" s="317"/>
      <c r="E21" s="317"/>
      <c r="F21" s="317"/>
      <c r="G21" s="317"/>
      <c r="H21" s="317"/>
      <c r="I21" s="345"/>
      <c r="J21" s="345"/>
      <c r="K21" s="345"/>
      <c r="L21" s="345"/>
      <c r="M21" s="345"/>
      <c r="N21" s="345"/>
      <c r="O21" s="345"/>
      <c r="P21" s="313"/>
      <c r="Q21" s="313"/>
      <c r="R21" s="313"/>
      <c r="S21" s="313"/>
      <c r="T21" s="313"/>
      <c r="U21" s="308"/>
      <c r="V21" s="308"/>
      <c r="W21" s="308"/>
      <c r="X21" s="308"/>
      <c r="Y21" s="308"/>
      <c r="Z21" s="308"/>
      <c r="AA21" s="308"/>
      <c r="AB21" s="308"/>
      <c r="AC21" s="309"/>
      <c r="AD21" s="308"/>
      <c r="AE21" s="308"/>
      <c r="AF21" s="308"/>
      <c r="AG21" s="308"/>
      <c r="AH21" s="308"/>
      <c r="AI21" s="308"/>
      <c r="AJ21" s="308"/>
      <c r="AK21" s="308"/>
      <c r="AL21" s="308"/>
      <c r="AM21" s="308"/>
      <c r="AN21" s="308"/>
      <c r="AO21" s="308"/>
      <c r="AP21" s="308"/>
      <c r="AQ21" s="308"/>
      <c r="AR21" s="308"/>
      <c r="AS21" s="308"/>
      <c r="AT21" s="308"/>
      <c r="AU21" s="308"/>
      <c r="AV21" s="308"/>
      <c r="AW21" s="308"/>
      <c r="AX21" s="308"/>
      <c r="AY21" s="312"/>
      <c r="AZ21" s="312"/>
      <c r="BA21" s="312"/>
      <c r="BB21" s="312"/>
      <c r="BC21" s="312"/>
      <c r="BD21" s="311" t="str">
        <f t="shared" si="16"/>
        <v/>
      </c>
      <c r="BE21" s="311"/>
      <c r="BF21" s="311"/>
      <c r="BG21" s="311"/>
      <c r="BH21" s="311"/>
      <c r="BI21" s="310" t="str">
        <f t="shared" si="0"/>
        <v/>
      </c>
      <c r="BJ21" s="310"/>
      <c r="BK21" s="310"/>
      <c r="BL21" s="310"/>
      <c r="BM21" s="310"/>
      <c r="BN21" s="311" t="str">
        <f t="shared" si="1"/>
        <v/>
      </c>
      <c r="BO21" s="311"/>
      <c r="BP21" s="311"/>
      <c r="BQ21" s="311"/>
      <c r="BR21" s="311"/>
      <c r="BS21" s="332" t="str">
        <f t="shared" si="2"/>
        <v/>
      </c>
      <c r="BT21" s="332"/>
      <c r="BU21" s="332"/>
      <c r="BV21" s="332"/>
      <c r="BW21" s="332"/>
      <c r="BX21" s="311" t="str">
        <f t="shared" si="3"/>
        <v/>
      </c>
      <c r="BY21" s="311"/>
      <c r="BZ21" s="311"/>
      <c r="CA21" s="311"/>
      <c r="CB21" s="311"/>
      <c r="CC21" s="311" t="str">
        <f t="shared" si="4"/>
        <v/>
      </c>
      <c r="CD21" s="311"/>
      <c r="CE21" s="311"/>
      <c r="CF21" s="311"/>
      <c r="CG21" s="311"/>
      <c r="CI21" s="323" t="s">
        <v>175</v>
      </c>
      <c r="CJ21" s="324"/>
      <c r="CK21" s="324"/>
      <c r="CL21" s="325"/>
      <c r="CP21" s="87">
        <f t="shared" si="5"/>
        <v>0</v>
      </c>
      <c r="CR21" s="28" t="e">
        <f t="shared" si="6"/>
        <v>#VALUE!</v>
      </c>
      <c r="CS21" s="29" t="str">
        <f t="shared" si="7"/>
        <v/>
      </c>
      <c r="CU21" s="28">
        <f t="shared" si="8"/>
        <v>32</v>
      </c>
      <c r="CV21" s="31">
        <f t="shared" si="9"/>
        <v>32</v>
      </c>
      <c r="CW21" s="32">
        <f t="shared" si="24"/>
        <v>32</v>
      </c>
      <c r="CX21" s="32">
        <f t="shared" si="17"/>
        <v>32</v>
      </c>
      <c r="CY21" s="26"/>
      <c r="CZ21" s="28">
        <f t="shared" si="10"/>
        <v>0</v>
      </c>
      <c r="DA21" s="28">
        <f t="shared" si="11"/>
        <v>0</v>
      </c>
      <c r="DB21" s="34">
        <f t="shared" si="25"/>
        <v>0</v>
      </c>
      <c r="DC21" s="32">
        <f t="shared" si="18"/>
        <v>0</v>
      </c>
      <c r="DD21" s="35"/>
      <c r="DE21" s="28" t="e">
        <f t="shared" si="12"/>
        <v>#DIV/0!</v>
      </c>
      <c r="DF21" s="31" t="e">
        <f t="shared" si="13"/>
        <v>#DIV/0!</v>
      </c>
      <c r="DG21" s="32" t="e">
        <f t="shared" si="26"/>
        <v>#DIV/0!</v>
      </c>
      <c r="DH21" s="32" t="e">
        <f t="shared" si="19"/>
        <v>#DIV/0!</v>
      </c>
      <c r="DI21" s="32" t="e">
        <f t="shared" si="20"/>
        <v>#DIV/0!</v>
      </c>
      <c r="DK21" s="38" t="e">
        <f t="shared" si="14"/>
        <v>#DIV/0!</v>
      </c>
      <c r="DL21" s="41" t="e">
        <f t="shared" si="27"/>
        <v>#DIV/0!</v>
      </c>
      <c r="DM21" s="38" t="e">
        <f t="shared" si="28"/>
        <v>#DIV/0!</v>
      </c>
      <c r="DN21" s="32" t="e">
        <f t="shared" si="21"/>
        <v>#DIV/0!</v>
      </c>
      <c r="DO21" s="32" t="e">
        <f t="shared" si="29"/>
        <v>#DIV/0!</v>
      </c>
      <c r="DQ21" s="38">
        <f t="shared" si="15"/>
        <v>0</v>
      </c>
      <c r="DR21" s="29">
        <f t="shared" si="30"/>
        <v>0</v>
      </c>
      <c r="DS21" s="38">
        <f t="shared" si="31"/>
        <v>0</v>
      </c>
      <c r="DT21" s="32">
        <f t="shared" si="22"/>
        <v>0</v>
      </c>
      <c r="DU21" s="32" t="e">
        <f t="shared" si="23"/>
        <v>#DIV/0!</v>
      </c>
      <c r="DW21" s="38" t="e">
        <f t="shared" si="32"/>
        <v>#DIV/0!</v>
      </c>
      <c r="DX21" s="42" t="e">
        <f t="shared" si="33"/>
        <v>#DIV/0!</v>
      </c>
      <c r="DY21" s="38" t="e">
        <f t="shared" si="34"/>
        <v>#DIV/0!</v>
      </c>
      <c r="DZ21" s="42" t="e">
        <f t="shared" si="35"/>
        <v>#DIV/0!</v>
      </c>
      <c r="EA21" s="38" t="e">
        <f t="shared" si="36"/>
        <v>#DIV/0!</v>
      </c>
      <c r="EB21" s="42" t="e">
        <f t="shared" si="37"/>
        <v>#DIV/0!</v>
      </c>
    </row>
    <row r="22" spans="1:132" ht="11.45" customHeight="1" x14ac:dyDescent="0.2">
      <c r="A22" s="317"/>
      <c r="B22" s="317"/>
      <c r="C22" s="317"/>
      <c r="D22" s="317"/>
      <c r="E22" s="317"/>
      <c r="F22" s="317"/>
      <c r="G22" s="317"/>
      <c r="H22" s="317"/>
      <c r="I22" s="345"/>
      <c r="J22" s="345"/>
      <c r="K22" s="345"/>
      <c r="L22" s="345"/>
      <c r="M22" s="345"/>
      <c r="N22" s="345"/>
      <c r="O22" s="345"/>
      <c r="P22" s="313"/>
      <c r="Q22" s="313"/>
      <c r="R22" s="313"/>
      <c r="S22" s="313"/>
      <c r="T22" s="313"/>
      <c r="U22" s="308"/>
      <c r="V22" s="308"/>
      <c r="W22" s="308"/>
      <c r="X22" s="308"/>
      <c r="Y22" s="308"/>
      <c r="Z22" s="308"/>
      <c r="AA22" s="308"/>
      <c r="AB22" s="308"/>
      <c r="AC22" s="309"/>
      <c r="AD22" s="308"/>
      <c r="AE22" s="308"/>
      <c r="AF22" s="308"/>
      <c r="AG22" s="308"/>
      <c r="AH22" s="308"/>
      <c r="AI22" s="308"/>
      <c r="AJ22" s="308"/>
      <c r="AK22" s="308"/>
      <c r="AL22" s="308"/>
      <c r="AM22" s="308"/>
      <c r="AN22" s="308"/>
      <c r="AO22" s="308"/>
      <c r="AP22" s="308"/>
      <c r="AQ22" s="308"/>
      <c r="AR22" s="308"/>
      <c r="AS22" s="308"/>
      <c r="AT22" s="308"/>
      <c r="AU22" s="308"/>
      <c r="AV22" s="308"/>
      <c r="AW22" s="308"/>
      <c r="AX22" s="308"/>
      <c r="AY22" s="312"/>
      <c r="AZ22" s="312"/>
      <c r="BA22" s="312"/>
      <c r="BB22" s="312"/>
      <c r="BC22" s="312"/>
      <c r="BD22" s="311" t="str">
        <f t="shared" si="16"/>
        <v/>
      </c>
      <c r="BE22" s="311"/>
      <c r="BF22" s="311"/>
      <c r="BG22" s="311"/>
      <c r="BH22" s="311"/>
      <c r="BI22" s="310" t="str">
        <f t="shared" si="0"/>
        <v/>
      </c>
      <c r="BJ22" s="310"/>
      <c r="BK22" s="310"/>
      <c r="BL22" s="310"/>
      <c r="BM22" s="310"/>
      <c r="BN22" s="311" t="str">
        <f t="shared" si="1"/>
        <v/>
      </c>
      <c r="BO22" s="311"/>
      <c r="BP22" s="311"/>
      <c r="BQ22" s="311"/>
      <c r="BR22" s="311"/>
      <c r="BS22" s="332" t="str">
        <f t="shared" si="2"/>
        <v/>
      </c>
      <c r="BT22" s="332"/>
      <c r="BU22" s="332"/>
      <c r="BV22" s="332"/>
      <c r="BW22" s="332"/>
      <c r="BX22" s="311" t="str">
        <f t="shared" si="3"/>
        <v/>
      </c>
      <c r="BY22" s="311"/>
      <c r="BZ22" s="311"/>
      <c r="CA22" s="311"/>
      <c r="CB22" s="311"/>
      <c r="CC22" s="311" t="str">
        <f t="shared" si="4"/>
        <v/>
      </c>
      <c r="CD22" s="311"/>
      <c r="CE22" s="311"/>
      <c r="CF22" s="311"/>
      <c r="CG22" s="311"/>
      <c r="CI22" s="326"/>
      <c r="CJ22" s="327"/>
      <c r="CK22" s="327"/>
      <c r="CL22" s="328"/>
      <c r="CP22" s="87">
        <f t="shared" si="5"/>
        <v>0</v>
      </c>
      <c r="CR22" s="28" t="e">
        <f t="shared" si="6"/>
        <v>#VALUE!</v>
      </c>
      <c r="CS22" s="29" t="str">
        <f t="shared" si="7"/>
        <v/>
      </c>
      <c r="CU22" s="28">
        <f t="shared" si="8"/>
        <v>32</v>
      </c>
      <c r="CV22" s="31">
        <f t="shared" si="9"/>
        <v>32</v>
      </c>
      <c r="CW22" s="32">
        <f t="shared" si="24"/>
        <v>32</v>
      </c>
      <c r="CX22" s="32">
        <f t="shared" si="17"/>
        <v>32</v>
      </c>
      <c r="CY22" s="26"/>
      <c r="CZ22" s="28">
        <f t="shared" si="10"/>
        <v>0</v>
      </c>
      <c r="DA22" s="28">
        <f t="shared" si="11"/>
        <v>0</v>
      </c>
      <c r="DB22" s="34">
        <f t="shared" si="25"/>
        <v>0</v>
      </c>
      <c r="DC22" s="32">
        <f t="shared" si="18"/>
        <v>0</v>
      </c>
      <c r="DD22" s="35"/>
      <c r="DE22" s="28" t="e">
        <f t="shared" si="12"/>
        <v>#DIV/0!</v>
      </c>
      <c r="DF22" s="31" t="e">
        <f t="shared" si="13"/>
        <v>#DIV/0!</v>
      </c>
      <c r="DG22" s="32" t="e">
        <f t="shared" si="26"/>
        <v>#DIV/0!</v>
      </c>
      <c r="DH22" s="32" t="e">
        <f t="shared" si="19"/>
        <v>#DIV/0!</v>
      </c>
      <c r="DI22" s="32" t="e">
        <f t="shared" si="20"/>
        <v>#DIV/0!</v>
      </c>
      <c r="DK22" s="38" t="e">
        <f t="shared" si="14"/>
        <v>#DIV/0!</v>
      </c>
      <c r="DL22" s="41" t="e">
        <f t="shared" si="27"/>
        <v>#DIV/0!</v>
      </c>
      <c r="DM22" s="38" t="e">
        <f t="shared" si="28"/>
        <v>#DIV/0!</v>
      </c>
      <c r="DN22" s="32" t="e">
        <f t="shared" si="21"/>
        <v>#DIV/0!</v>
      </c>
      <c r="DO22" s="32" t="e">
        <f t="shared" si="29"/>
        <v>#DIV/0!</v>
      </c>
      <c r="DQ22" s="38">
        <f t="shared" si="15"/>
        <v>0</v>
      </c>
      <c r="DR22" s="29">
        <f t="shared" si="30"/>
        <v>0</v>
      </c>
      <c r="DS22" s="38">
        <f t="shared" si="31"/>
        <v>0</v>
      </c>
      <c r="DT22" s="32">
        <f t="shared" si="22"/>
        <v>0</v>
      </c>
      <c r="DU22" s="32" t="e">
        <f t="shared" si="23"/>
        <v>#DIV/0!</v>
      </c>
      <c r="DW22" s="38" t="e">
        <f t="shared" si="32"/>
        <v>#DIV/0!</v>
      </c>
      <c r="DX22" s="42" t="e">
        <f t="shared" si="33"/>
        <v>#DIV/0!</v>
      </c>
      <c r="DY22" s="38" t="e">
        <f t="shared" si="34"/>
        <v>#DIV/0!</v>
      </c>
      <c r="DZ22" s="42" t="e">
        <f t="shared" si="35"/>
        <v>#DIV/0!</v>
      </c>
      <c r="EA22" s="38" t="e">
        <f t="shared" si="36"/>
        <v>#DIV/0!</v>
      </c>
      <c r="EB22" s="42" t="e">
        <f t="shared" si="37"/>
        <v>#DIV/0!</v>
      </c>
    </row>
    <row r="23" spans="1:132" ht="11.45" customHeight="1" x14ac:dyDescent="0.2">
      <c r="A23" s="317"/>
      <c r="B23" s="317"/>
      <c r="C23" s="317"/>
      <c r="D23" s="317"/>
      <c r="E23" s="317"/>
      <c r="F23" s="317"/>
      <c r="G23" s="317"/>
      <c r="H23" s="317"/>
      <c r="I23" s="345"/>
      <c r="J23" s="345"/>
      <c r="K23" s="345"/>
      <c r="L23" s="345"/>
      <c r="M23" s="345"/>
      <c r="N23" s="345"/>
      <c r="O23" s="345"/>
      <c r="P23" s="313"/>
      <c r="Q23" s="313"/>
      <c r="R23" s="313"/>
      <c r="S23" s="313"/>
      <c r="T23" s="313"/>
      <c r="U23" s="308"/>
      <c r="V23" s="308"/>
      <c r="W23" s="308"/>
      <c r="X23" s="308"/>
      <c r="Y23" s="308"/>
      <c r="Z23" s="308"/>
      <c r="AA23" s="308"/>
      <c r="AB23" s="308"/>
      <c r="AC23" s="309"/>
      <c r="AD23" s="308"/>
      <c r="AE23" s="308"/>
      <c r="AF23" s="308"/>
      <c r="AG23" s="308"/>
      <c r="AH23" s="308"/>
      <c r="AI23" s="308"/>
      <c r="AJ23" s="308"/>
      <c r="AK23" s="308"/>
      <c r="AL23" s="308"/>
      <c r="AM23" s="308"/>
      <c r="AN23" s="308"/>
      <c r="AO23" s="308"/>
      <c r="AP23" s="308"/>
      <c r="AQ23" s="308"/>
      <c r="AR23" s="308"/>
      <c r="AS23" s="308"/>
      <c r="AT23" s="308"/>
      <c r="AU23" s="308"/>
      <c r="AV23" s="308"/>
      <c r="AW23" s="308"/>
      <c r="AX23" s="308"/>
      <c r="AY23" s="312"/>
      <c r="AZ23" s="312"/>
      <c r="BA23" s="312"/>
      <c r="BB23" s="312"/>
      <c r="BC23" s="312"/>
      <c r="BD23" s="311" t="str">
        <f t="shared" si="16"/>
        <v/>
      </c>
      <c r="BE23" s="311"/>
      <c r="BF23" s="311"/>
      <c r="BG23" s="311"/>
      <c r="BH23" s="311"/>
      <c r="BI23" s="310" t="str">
        <f t="shared" si="0"/>
        <v/>
      </c>
      <c r="BJ23" s="310"/>
      <c r="BK23" s="310"/>
      <c r="BL23" s="310"/>
      <c r="BM23" s="310"/>
      <c r="BN23" s="311" t="str">
        <f t="shared" si="1"/>
        <v/>
      </c>
      <c r="BO23" s="311"/>
      <c r="BP23" s="311"/>
      <c r="BQ23" s="311"/>
      <c r="BR23" s="311"/>
      <c r="BS23" s="332" t="str">
        <f t="shared" si="2"/>
        <v/>
      </c>
      <c r="BT23" s="332"/>
      <c r="BU23" s="332"/>
      <c r="BV23" s="332"/>
      <c r="BW23" s="332"/>
      <c r="BX23" s="311" t="str">
        <f t="shared" si="3"/>
        <v/>
      </c>
      <c r="BY23" s="311"/>
      <c r="BZ23" s="311"/>
      <c r="CA23" s="311"/>
      <c r="CB23" s="311"/>
      <c r="CC23" s="311" t="str">
        <f t="shared" si="4"/>
        <v/>
      </c>
      <c r="CD23" s="311"/>
      <c r="CE23" s="311"/>
      <c r="CF23" s="311"/>
      <c r="CG23" s="311"/>
      <c r="CI23" s="108" t="s">
        <v>170</v>
      </c>
      <c r="CJ23" s="109"/>
      <c r="CK23" s="43" t="e">
        <f>AVERAGE(AY18:BC29)</f>
        <v>#DIV/0!</v>
      </c>
      <c r="CL23" s="21" t="s">
        <v>174</v>
      </c>
      <c r="CN23" s="1" t="s">
        <v>217</v>
      </c>
      <c r="CP23" s="87">
        <f t="shared" si="5"/>
        <v>0</v>
      </c>
      <c r="CR23" s="28" t="e">
        <f t="shared" si="6"/>
        <v>#VALUE!</v>
      </c>
      <c r="CS23" s="29" t="str">
        <f t="shared" si="7"/>
        <v/>
      </c>
      <c r="CU23" s="28">
        <f t="shared" si="8"/>
        <v>32</v>
      </c>
      <c r="CV23" s="31">
        <f t="shared" si="9"/>
        <v>32</v>
      </c>
      <c r="CW23" s="32">
        <f>ROUND(CU23,1)</f>
        <v>32</v>
      </c>
      <c r="CX23" s="32">
        <f t="shared" si="17"/>
        <v>32</v>
      </c>
      <c r="CY23" s="26"/>
      <c r="CZ23" s="28">
        <f t="shared" si="10"/>
        <v>0</v>
      </c>
      <c r="DA23" s="28">
        <f t="shared" si="11"/>
        <v>0</v>
      </c>
      <c r="DB23" s="34">
        <f>ROUND(CZ23,1)</f>
        <v>0</v>
      </c>
      <c r="DC23" s="32">
        <f t="shared" si="18"/>
        <v>0</v>
      </c>
      <c r="DD23" s="35"/>
      <c r="DE23" s="28" t="e">
        <f t="shared" si="12"/>
        <v>#DIV/0!</v>
      </c>
      <c r="DF23" s="31" t="e">
        <f t="shared" si="13"/>
        <v>#DIV/0!</v>
      </c>
      <c r="DG23" s="32" t="e">
        <f>ROUND(DE23,1)</f>
        <v>#DIV/0!</v>
      </c>
      <c r="DH23" s="32" t="e">
        <f t="shared" si="19"/>
        <v>#DIV/0!</v>
      </c>
      <c r="DI23" s="32" t="e">
        <f t="shared" si="20"/>
        <v>#DIV/0!</v>
      </c>
      <c r="DK23" s="38" t="e">
        <f t="shared" si="14"/>
        <v>#DIV/0!</v>
      </c>
      <c r="DL23" s="41" t="e">
        <f t="shared" si="27"/>
        <v>#DIV/0!</v>
      </c>
      <c r="DM23" s="38" t="e">
        <f>ROUND(DK23,4)</f>
        <v>#DIV/0!</v>
      </c>
      <c r="DN23" s="32" t="e">
        <f t="shared" si="21"/>
        <v>#DIV/0!</v>
      </c>
      <c r="DO23" s="32" t="e">
        <f t="shared" si="29"/>
        <v>#DIV/0!</v>
      </c>
      <c r="DQ23" s="38">
        <f t="shared" si="15"/>
        <v>0</v>
      </c>
      <c r="DR23" s="29">
        <f t="shared" si="30"/>
        <v>0</v>
      </c>
      <c r="DS23" s="38">
        <f>ROUND(DQ23,4)</f>
        <v>0</v>
      </c>
      <c r="DT23" s="32">
        <f t="shared" si="22"/>
        <v>0</v>
      </c>
      <c r="DU23" s="32" t="e">
        <f t="shared" si="23"/>
        <v>#DIV/0!</v>
      </c>
      <c r="DW23" s="38" t="e">
        <f>ROUND(EXP(-((103.872/(((141.5/(DF23+131.5))*999.012)^2))+(0.2701/((141.5/(DF23+131.5))*999.012)))*(CV23-60)*(1+(0.8*((103.872/(((141.5/(DF23+131.5))*999.012)^2))+(0.2701/((141.5/(DF23+131.5))*999.012)))*(CV23-60)))),4)</f>
        <v>#DIV/0!</v>
      </c>
      <c r="DX23" s="42" t="e">
        <f>ROUND(EXP(-(((103.872/DI23)+0.2701)*(1/DI23))*(CX23-60.0068749)*(1+(0.8*(((103.872/DI23)+0.2701)*(1/DI23))*((CX23-60.0068749)+0.01374979547)))),5)</f>
        <v>#DIV/0!</v>
      </c>
      <c r="DY23" s="38" t="e">
        <f>ROUND(EXP(-((103.872/((DL23*999.012)^2))+(0.2701/(DL23*999.012)))*(CV23-60)*(1+(0.8*((103.872/((DL23*999.012)^2))+(0.2701/(DL23*999.012)))*(CV23-60)))),4)</f>
        <v>#DIV/0!</v>
      </c>
      <c r="DZ23" s="42" t="e">
        <f>ROUND(EXP(-(((103.872/DO23)+0.2701)*(1/DO23))*(CX23-60.0068749)*(1+(0.8*(((103.872/DO23)+0.2701)*(1/DO23))*((CX23-60.0068749)+0.01374979547)))),5)</f>
        <v>#DIV/0!</v>
      </c>
      <c r="EA23" s="38" t="e">
        <f>ROUND(EXP(-((186.9696/((DR23*1000)^2))+(0.4862/(DR23*1000)))*(DA23-15)*(1+(0.8*((186.9696/((DR23*1000)^2))+(0.4862/(DR23*1000)))*(DA23-15)))),4)</f>
        <v>#DIV/0!</v>
      </c>
      <c r="EB23" s="42" t="e">
        <f>ROUND(EXP(-((((186.9696/DU23)+0.4862)*(1/DU23)))*(DC23-15.00367851)*(1+(0.8*((((186.9696/DU23)+0.4862)*(1/DU23)))*((DC23-15.00367851)+0.01374979547)))),5)</f>
        <v>#DIV/0!</v>
      </c>
    </row>
    <row r="24" spans="1:132" ht="11.45" customHeight="1" x14ac:dyDescent="0.2">
      <c r="A24" s="317"/>
      <c r="B24" s="317"/>
      <c r="C24" s="317"/>
      <c r="D24" s="317"/>
      <c r="E24" s="317"/>
      <c r="F24" s="317"/>
      <c r="G24" s="317"/>
      <c r="H24" s="317"/>
      <c r="I24" s="345"/>
      <c r="J24" s="345"/>
      <c r="K24" s="345"/>
      <c r="L24" s="345"/>
      <c r="M24" s="345"/>
      <c r="N24" s="345"/>
      <c r="O24" s="345"/>
      <c r="P24" s="313"/>
      <c r="Q24" s="313"/>
      <c r="R24" s="313"/>
      <c r="S24" s="313"/>
      <c r="T24" s="313"/>
      <c r="U24" s="308"/>
      <c r="V24" s="308"/>
      <c r="W24" s="308"/>
      <c r="X24" s="308"/>
      <c r="Y24" s="308"/>
      <c r="Z24" s="308"/>
      <c r="AA24" s="308"/>
      <c r="AB24" s="308"/>
      <c r="AC24" s="309"/>
      <c r="AD24" s="308"/>
      <c r="AE24" s="308"/>
      <c r="AF24" s="308"/>
      <c r="AG24" s="308"/>
      <c r="AH24" s="308"/>
      <c r="AI24" s="308"/>
      <c r="AJ24" s="308"/>
      <c r="AK24" s="308"/>
      <c r="AL24" s="308"/>
      <c r="AM24" s="308"/>
      <c r="AN24" s="308"/>
      <c r="AO24" s="308"/>
      <c r="AP24" s="308"/>
      <c r="AQ24" s="308"/>
      <c r="AR24" s="308"/>
      <c r="AS24" s="308"/>
      <c r="AT24" s="308"/>
      <c r="AU24" s="308"/>
      <c r="AV24" s="308"/>
      <c r="AW24" s="308"/>
      <c r="AX24" s="308"/>
      <c r="AY24" s="312"/>
      <c r="AZ24" s="312"/>
      <c r="BA24" s="312"/>
      <c r="BB24" s="312"/>
      <c r="BC24" s="312"/>
      <c r="BD24" s="311" t="str">
        <f t="shared" si="16"/>
        <v/>
      </c>
      <c r="BE24" s="311"/>
      <c r="BF24" s="311"/>
      <c r="BG24" s="311"/>
      <c r="BH24" s="311"/>
      <c r="BI24" s="310" t="str">
        <f t="shared" si="0"/>
        <v/>
      </c>
      <c r="BJ24" s="310"/>
      <c r="BK24" s="310"/>
      <c r="BL24" s="310"/>
      <c r="BM24" s="310"/>
      <c r="BN24" s="311" t="str">
        <f t="shared" si="1"/>
        <v/>
      </c>
      <c r="BO24" s="311"/>
      <c r="BP24" s="311"/>
      <c r="BQ24" s="311"/>
      <c r="BR24" s="311"/>
      <c r="BS24" s="332" t="str">
        <f t="shared" si="2"/>
        <v/>
      </c>
      <c r="BT24" s="332"/>
      <c r="BU24" s="332"/>
      <c r="BV24" s="332"/>
      <c r="BW24" s="332"/>
      <c r="BX24" s="311" t="str">
        <f t="shared" si="3"/>
        <v/>
      </c>
      <c r="BY24" s="311"/>
      <c r="BZ24" s="311"/>
      <c r="CA24" s="311"/>
      <c r="CB24" s="311"/>
      <c r="CC24" s="311" t="str">
        <f t="shared" si="4"/>
        <v/>
      </c>
      <c r="CD24" s="311"/>
      <c r="CE24" s="311"/>
      <c r="CF24" s="311"/>
      <c r="CG24" s="311"/>
      <c r="CI24" s="9" t="s">
        <v>171</v>
      </c>
      <c r="CJ24" s="10"/>
      <c r="CK24" s="44" t="e">
        <f>SUM(CP18:CP29)/BD30</f>
        <v>#VALUE!</v>
      </c>
      <c r="CL24" s="11" t="s">
        <v>174</v>
      </c>
      <c r="CN24" s="107" t="s">
        <v>459</v>
      </c>
      <c r="CP24" s="87">
        <f t="shared" si="5"/>
        <v>0</v>
      </c>
      <c r="CR24" s="28" t="e">
        <f t="shared" si="6"/>
        <v>#VALUE!</v>
      </c>
      <c r="CS24" s="29" t="str">
        <f t="shared" si="7"/>
        <v/>
      </c>
      <c r="CU24" s="28">
        <f t="shared" si="8"/>
        <v>32</v>
      </c>
      <c r="CV24" s="31">
        <f t="shared" si="9"/>
        <v>32</v>
      </c>
      <c r="CW24" s="32">
        <f>ROUND(CU24,1)</f>
        <v>32</v>
      </c>
      <c r="CX24" s="32">
        <f t="shared" si="17"/>
        <v>32</v>
      </c>
      <c r="CY24" s="26"/>
      <c r="CZ24" s="28">
        <f t="shared" si="10"/>
        <v>0</v>
      </c>
      <c r="DA24" s="28">
        <f t="shared" si="11"/>
        <v>0</v>
      </c>
      <c r="DB24" s="34">
        <f>ROUND(CZ24,1)</f>
        <v>0</v>
      </c>
      <c r="DC24" s="32">
        <f t="shared" si="18"/>
        <v>0</v>
      </c>
      <c r="DD24" s="35"/>
      <c r="DE24" s="28" t="e">
        <f t="shared" si="12"/>
        <v>#DIV/0!</v>
      </c>
      <c r="DF24" s="31" t="e">
        <f t="shared" si="13"/>
        <v>#DIV/0!</v>
      </c>
      <c r="DG24" s="32" t="e">
        <f>ROUND(DE24,1)</f>
        <v>#DIV/0!</v>
      </c>
      <c r="DH24" s="32" t="e">
        <f t="shared" si="19"/>
        <v>#DIV/0!</v>
      </c>
      <c r="DI24" s="32" t="e">
        <f t="shared" si="20"/>
        <v>#DIV/0!</v>
      </c>
      <c r="DK24" s="38" t="e">
        <f t="shared" si="14"/>
        <v>#DIV/0!</v>
      </c>
      <c r="DL24" s="41" t="e">
        <f t="shared" si="27"/>
        <v>#DIV/0!</v>
      </c>
      <c r="DM24" s="38" t="e">
        <f>ROUND(DK24,4)</f>
        <v>#DIV/0!</v>
      </c>
      <c r="DN24" s="32" t="e">
        <f t="shared" si="21"/>
        <v>#DIV/0!</v>
      </c>
      <c r="DO24" s="32" t="e">
        <f t="shared" si="29"/>
        <v>#DIV/0!</v>
      </c>
      <c r="DQ24" s="38">
        <f t="shared" si="15"/>
        <v>0</v>
      </c>
      <c r="DR24" s="29">
        <f t="shared" si="30"/>
        <v>0</v>
      </c>
      <c r="DS24" s="38">
        <f>ROUND(DQ24,4)</f>
        <v>0</v>
      </c>
      <c r="DT24" s="32">
        <f t="shared" si="22"/>
        <v>0</v>
      </c>
      <c r="DU24" s="32" t="e">
        <f t="shared" si="23"/>
        <v>#DIV/0!</v>
      </c>
      <c r="DW24" s="38" t="e">
        <f>ROUND(EXP(-((103.872/(((141.5/(DF24+131.5))*999.012)^2))+(0.2701/((141.5/(DF24+131.5))*999.012)))*(CV24-60)*(1+(0.8*((103.872/(((141.5/(DF24+131.5))*999.012)^2))+(0.2701/((141.5/(DF24+131.5))*999.012)))*(CV24-60)))),4)</f>
        <v>#DIV/0!</v>
      </c>
      <c r="DX24" s="42" t="e">
        <f>ROUND(EXP(-(((103.872/DI24)+0.2701)*(1/DI24))*(CX24-60.0068749)*(1+(0.8*(((103.872/DI24)+0.2701)*(1/DI24))*((CX24-60.0068749)+0.01374979547)))),5)</f>
        <v>#DIV/0!</v>
      </c>
      <c r="DY24" s="38" t="e">
        <f>ROUND(EXP(-((103.872/((DL24*999.012)^2))+(0.2701/(DL24*999.012)))*(CV24-60)*(1+(0.8*((103.872/((DL24*999.012)^2))+(0.2701/(DL24*999.012)))*(CV24-60)))),4)</f>
        <v>#DIV/0!</v>
      </c>
      <c r="DZ24" s="42" t="e">
        <f>ROUND(EXP(-(((103.872/DO24)+0.2701)*(1/DO24))*(CX24-60.0068749)*(1+(0.8*(((103.872/DO24)+0.2701)*(1/DO24))*((CX24-60.0068749)+0.01374979547)))),5)</f>
        <v>#DIV/0!</v>
      </c>
      <c r="EA24" s="38" t="e">
        <f>ROUND(EXP(-((186.9696/((DR24*1000)^2))+(0.4862/(DR24*1000)))*(DA24-15)*(1+(0.8*((186.9696/((DR24*1000)^2))+(0.4862/(DR24*1000)))*(DA24-15)))),4)</f>
        <v>#DIV/0!</v>
      </c>
      <c r="EB24" s="42" t="e">
        <f>ROUND(EXP(-((((186.9696/DU24)+0.4862)*(1/DU24)))*(DC24-15.00367851)*(1+(0.8*((((186.9696/DU24)+0.4862)*(1/DU24)))*((DC24-15.00367851)+0.01374979547)))),5)</f>
        <v>#DIV/0!</v>
      </c>
    </row>
    <row r="25" spans="1:132" ht="11.45" customHeight="1" x14ac:dyDescent="0.2">
      <c r="A25" s="317"/>
      <c r="B25" s="317"/>
      <c r="C25" s="317"/>
      <c r="D25" s="317"/>
      <c r="E25" s="317"/>
      <c r="F25" s="317"/>
      <c r="G25" s="317"/>
      <c r="H25" s="317"/>
      <c r="I25" s="345"/>
      <c r="J25" s="345"/>
      <c r="K25" s="345"/>
      <c r="L25" s="345"/>
      <c r="M25" s="345"/>
      <c r="N25" s="345"/>
      <c r="O25" s="345"/>
      <c r="P25" s="313"/>
      <c r="Q25" s="313"/>
      <c r="R25" s="313"/>
      <c r="S25" s="313"/>
      <c r="T25" s="313"/>
      <c r="U25" s="308"/>
      <c r="V25" s="308"/>
      <c r="W25" s="308"/>
      <c r="X25" s="308"/>
      <c r="Y25" s="308"/>
      <c r="Z25" s="308"/>
      <c r="AA25" s="308"/>
      <c r="AB25" s="308"/>
      <c r="AC25" s="309"/>
      <c r="AD25" s="308"/>
      <c r="AE25" s="308"/>
      <c r="AF25" s="308"/>
      <c r="AG25" s="308"/>
      <c r="AH25" s="308"/>
      <c r="AI25" s="308"/>
      <c r="AJ25" s="308"/>
      <c r="AK25" s="308"/>
      <c r="AL25" s="308"/>
      <c r="AM25" s="308"/>
      <c r="AN25" s="308"/>
      <c r="AO25" s="308"/>
      <c r="AP25" s="308"/>
      <c r="AQ25" s="308"/>
      <c r="AR25" s="308"/>
      <c r="AS25" s="308"/>
      <c r="AT25" s="308"/>
      <c r="AU25" s="308"/>
      <c r="AV25" s="308"/>
      <c r="AW25" s="308"/>
      <c r="AX25" s="308"/>
      <c r="AY25" s="312"/>
      <c r="AZ25" s="312"/>
      <c r="BA25" s="312"/>
      <c r="BB25" s="312"/>
      <c r="BC25" s="312"/>
      <c r="BD25" s="311" t="str">
        <f t="shared" si="16"/>
        <v/>
      </c>
      <c r="BE25" s="311"/>
      <c r="BF25" s="311"/>
      <c r="BG25" s="311"/>
      <c r="BH25" s="311"/>
      <c r="BI25" s="310" t="str">
        <f t="shared" si="0"/>
        <v/>
      </c>
      <c r="BJ25" s="310"/>
      <c r="BK25" s="310"/>
      <c r="BL25" s="310"/>
      <c r="BM25" s="310"/>
      <c r="BN25" s="311" t="str">
        <f t="shared" si="1"/>
        <v/>
      </c>
      <c r="BO25" s="311"/>
      <c r="BP25" s="311"/>
      <c r="BQ25" s="311"/>
      <c r="BR25" s="311"/>
      <c r="BS25" s="332" t="str">
        <f t="shared" si="2"/>
        <v/>
      </c>
      <c r="BT25" s="332"/>
      <c r="BU25" s="332"/>
      <c r="BV25" s="332"/>
      <c r="BW25" s="332"/>
      <c r="BX25" s="311" t="str">
        <f t="shared" si="3"/>
        <v/>
      </c>
      <c r="BY25" s="311"/>
      <c r="BZ25" s="311"/>
      <c r="CA25" s="311"/>
      <c r="CB25" s="311"/>
      <c r="CC25" s="311" t="str">
        <f t="shared" si="4"/>
        <v/>
      </c>
      <c r="CD25" s="311"/>
      <c r="CE25" s="311"/>
      <c r="CF25" s="311"/>
      <c r="CG25" s="311"/>
      <c r="CN25" s="2" t="s">
        <v>55</v>
      </c>
      <c r="CP25" s="87">
        <f t="shared" si="5"/>
        <v>0</v>
      </c>
      <c r="CR25" s="28" t="e">
        <f t="shared" si="6"/>
        <v>#VALUE!</v>
      </c>
      <c r="CS25" s="29" t="str">
        <f t="shared" si="7"/>
        <v/>
      </c>
      <c r="CU25" s="28">
        <f t="shared" si="8"/>
        <v>32</v>
      </c>
      <c r="CV25" s="31">
        <f t="shared" si="9"/>
        <v>32</v>
      </c>
      <c r="CW25" s="32">
        <f t="shared" si="24"/>
        <v>32</v>
      </c>
      <c r="CX25" s="32">
        <f t="shared" si="17"/>
        <v>32</v>
      </c>
      <c r="CY25" s="26"/>
      <c r="CZ25" s="28">
        <f t="shared" si="10"/>
        <v>0</v>
      </c>
      <c r="DA25" s="28">
        <f t="shared" si="11"/>
        <v>0</v>
      </c>
      <c r="DB25" s="34">
        <f t="shared" si="25"/>
        <v>0</v>
      </c>
      <c r="DC25" s="32">
        <f t="shared" si="18"/>
        <v>0</v>
      </c>
      <c r="DD25" s="35"/>
      <c r="DE25" s="28" t="e">
        <f t="shared" si="12"/>
        <v>#DIV/0!</v>
      </c>
      <c r="DF25" s="31" t="e">
        <f t="shared" si="13"/>
        <v>#DIV/0!</v>
      </c>
      <c r="DG25" s="32" t="e">
        <f t="shared" si="26"/>
        <v>#DIV/0!</v>
      </c>
      <c r="DH25" s="32" t="e">
        <f t="shared" si="19"/>
        <v>#DIV/0!</v>
      </c>
      <c r="DI25" s="32" t="e">
        <f t="shared" si="20"/>
        <v>#DIV/0!</v>
      </c>
      <c r="DK25" s="38" t="e">
        <f t="shared" si="14"/>
        <v>#DIV/0!</v>
      </c>
      <c r="DL25" s="41" t="e">
        <f t="shared" si="27"/>
        <v>#DIV/0!</v>
      </c>
      <c r="DM25" s="38" t="e">
        <f t="shared" si="28"/>
        <v>#DIV/0!</v>
      </c>
      <c r="DN25" s="32" t="e">
        <f t="shared" si="21"/>
        <v>#DIV/0!</v>
      </c>
      <c r="DO25" s="32" t="e">
        <f t="shared" si="29"/>
        <v>#DIV/0!</v>
      </c>
      <c r="DQ25" s="38">
        <f t="shared" si="15"/>
        <v>0</v>
      </c>
      <c r="DR25" s="29">
        <f t="shared" si="30"/>
        <v>0</v>
      </c>
      <c r="DS25" s="38">
        <f t="shared" si="31"/>
        <v>0</v>
      </c>
      <c r="DT25" s="32">
        <f t="shared" si="22"/>
        <v>0</v>
      </c>
      <c r="DU25" s="32" t="e">
        <f t="shared" si="23"/>
        <v>#DIV/0!</v>
      </c>
      <c r="DW25" s="38" t="e">
        <f t="shared" si="32"/>
        <v>#DIV/0!</v>
      </c>
      <c r="DX25" s="42" t="e">
        <f t="shared" si="33"/>
        <v>#DIV/0!</v>
      </c>
      <c r="DY25" s="38" t="e">
        <f t="shared" si="34"/>
        <v>#DIV/0!</v>
      </c>
      <c r="DZ25" s="42" t="e">
        <f t="shared" si="35"/>
        <v>#DIV/0!</v>
      </c>
      <c r="EA25" s="38" t="e">
        <f t="shared" si="36"/>
        <v>#DIV/0!</v>
      </c>
      <c r="EB25" s="42" t="e">
        <f t="shared" si="37"/>
        <v>#DIV/0!</v>
      </c>
    </row>
    <row r="26" spans="1:132" ht="11.45" customHeight="1" x14ac:dyDescent="0.2">
      <c r="A26" s="317"/>
      <c r="B26" s="317"/>
      <c r="C26" s="317"/>
      <c r="D26" s="317"/>
      <c r="E26" s="317"/>
      <c r="F26" s="317"/>
      <c r="G26" s="317"/>
      <c r="H26" s="317"/>
      <c r="I26" s="345"/>
      <c r="J26" s="345"/>
      <c r="K26" s="345"/>
      <c r="L26" s="345"/>
      <c r="M26" s="345"/>
      <c r="N26" s="345"/>
      <c r="O26" s="345"/>
      <c r="P26" s="313"/>
      <c r="Q26" s="313"/>
      <c r="R26" s="313"/>
      <c r="S26" s="313"/>
      <c r="T26" s="313"/>
      <c r="U26" s="308"/>
      <c r="V26" s="308"/>
      <c r="W26" s="308"/>
      <c r="X26" s="308"/>
      <c r="Y26" s="308"/>
      <c r="Z26" s="308"/>
      <c r="AA26" s="308"/>
      <c r="AB26" s="308"/>
      <c r="AC26" s="309"/>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6"/>
        <v/>
      </c>
      <c r="BE26" s="311"/>
      <c r="BF26" s="311"/>
      <c r="BG26" s="311"/>
      <c r="BH26" s="311"/>
      <c r="BI26" s="310" t="str">
        <f t="shared" si="0"/>
        <v/>
      </c>
      <c r="BJ26" s="310"/>
      <c r="BK26" s="310"/>
      <c r="BL26" s="310"/>
      <c r="BM26" s="310"/>
      <c r="BN26" s="311" t="str">
        <f t="shared" si="1"/>
        <v/>
      </c>
      <c r="BO26" s="311"/>
      <c r="BP26" s="311"/>
      <c r="BQ26" s="311"/>
      <c r="BR26" s="311"/>
      <c r="BS26" s="332" t="str">
        <f t="shared" si="2"/>
        <v/>
      </c>
      <c r="BT26" s="332"/>
      <c r="BU26" s="332"/>
      <c r="BV26" s="332"/>
      <c r="BW26" s="332"/>
      <c r="BX26" s="311" t="str">
        <f t="shared" si="3"/>
        <v/>
      </c>
      <c r="BY26" s="311"/>
      <c r="BZ26" s="311"/>
      <c r="CA26" s="311"/>
      <c r="CB26" s="311"/>
      <c r="CC26" s="311" t="str">
        <f t="shared" si="4"/>
        <v/>
      </c>
      <c r="CD26" s="311"/>
      <c r="CE26" s="311"/>
      <c r="CF26" s="311"/>
      <c r="CG26" s="311"/>
      <c r="CP26" s="87">
        <f t="shared" si="5"/>
        <v>0</v>
      </c>
      <c r="CR26" s="28" t="e">
        <f t="shared" si="6"/>
        <v>#VALUE!</v>
      </c>
      <c r="CS26" s="29" t="str">
        <f t="shared" si="7"/>
        <v/>
      </c>
      <c r="CU26" s="28">
        <f t="shared" si="8"/>
        <v>32</v>
      </c>
      <c r="CV26" s="31">
        <f t="shared" si="9"/>
        <v>32</v>
      </c>
      <c r="CW26" s="32">
        <f t="shared" si="24"/>
        <v>32</v>
      </c>
      <c r="CX26" s="32">
        <f t="shared" si="17"/>
        <v>32</v>
      </c>
      <c r="CY26" s="26"/>
      <c r="CZ26" s="28">
        <f t="shared" si="10"/>
        <v>0</v>
      </c>
      <c r="DA26" s="28">
        <f t="shared" si="11"/>
        <v>0</v>
      </c>
      <c r="DB26" s="34">
        <f t="shared" si="25"/>
        <v>0</v>
      </c>
      <c r="DC26" s="32">
        <f t="shared" si="18"/>
        <v>0</v>
      </c>
      <c r="DD26" s="35"/>
      <c r="DE26" s="28" t="e">
        <f t="shared" si="12"/>
        <v>#DIV/0!</v>
      </c>
      <c r="DF26" s="31" t="e">
        <f t="shared" si="13"/>
        <v>#DIV/0!</v>
      </c>
      <c r="DG26" s="32" t="e">
        <f t="shared" si="26"/>
        <v>#DIV/0!</v>
      </c>
      <c r="DH26" s="32" t="e">
        <f t="shared" si="19"/>
        <v>#DIV/0!</v>
      </c>
      <c r="DI26" s="32" t="e">
        <f t="shared" si="20"/>
        <v>#DIV/0!</v>
      </c>
      <c r="DK26" s="38" t="e">
        <f t="shared" si="14"/>
        <v>#DIV/0!</v>
      </c>
      <c r="DL26" s="41" t="e">
        <f t="shared" si="27"/>
        <v>#DIV/0!</v>
      </c>
      <c r="DM26" s="38" t="e">
        <f t="shared" si="28"/>
        <v>#DIV/0!</v>
      </c>
      <c r="DN26" s="32" t="e">
        <f t="shared" si="21"/>
        <v>#DIV/0!</v>
      </c>
      <c r="DO26" s="32" t="e">
        <f t="shared" si="29"/>
        <v>#DIV/0!</v>
      </c>
      <c r="DQ26" s="38">
        <f t="shared" si="15"/>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313"/>
      <c r="Q27" s="313"/>
      <c r="R27" s="313"/>
      <c r="S27" s="313"/>
      <c r="T27" s="3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6"/>
        <v/>
      </c>
      <c r="BE27" s="311"/>
      <c r="BF27" s="311"/>
      <c r="BG27" s="311"/>
      <c r="BH27" s="311"/>
      <c r="BI27" s="310" t="str">
        <f t="shared" si="0"/>
        <v/>
      </c>
      <c r="BJ27" s="310"/>
      <c r="BK27" s="310"/>
      <c r="BL27" s="310"/>
      <c r="BM27" s="310"/>
      <c r="BN27" s="311" t="str">
        <f t="shared" si="1"/>
        <v/>
      </c>
      <c r="BO27" s="311"/>
      <c r="BP27" s="311"/>
      <c r="BQ27" s="311"/>
      <c r="BR27" s="311"/>
      <c r="BS27" s="332" t="str">
        <f t="shared" si="2"/>
        <v/>
      </c>
      <c r="BT27" s="332"/>
      <c r="BU27" s="332"/>
      <c r="BV27" s="332"/>
      <c r="BW27" s="332"/>
      <c r="BX27" s="311" t="str">
        <f t="shared" si="3"/>
        <v/>
      </c>
      <c r="BY27" s="311"/>
      <c r="BZ27" s="311"/>
      <c r="CA27" s="311"/>
      <c r="CB27" s="311"/>
      <c r="CC27" s="311" t="str">
        <f t="shared" si="4"/>
        <v/>
      </c>
      <c r="CD27" s="311"/>
      <c r="CE27" s="311"/>
      <c r="CF27" s="311"/>
      <c r="CG27" s="311"/>
      <c r="CP27" s="87">
        <f t="shared" si="5"/>
        <v>0</v>
      </c>
      <c r="CR27" s="28" t="e">
        <f t="shared" si="6"/>
        <v>#VALUE!</v>
      </c>
      <c r="CS27" s="29" t="str">
        <f t="shared" si="7"/>
        <v/>
      </c>
      <c r="CU27" s="28">
        <f t="shared" si="8"/>
        <v>32</v>
      </c>
      <c r="CV27" s="31">
        <f t="shared" si="9"/>
        <v>32</v>
      </c>
      <c r="CW27" s="32">
        <f t="shared" si="24"/>
        <v>32</v>
      </c>
      <c r="CX27" s="32">
        <f t="shared" si="17"/>
        <v>32</v>
      </c>
      <c r="CY27" s="26"/>
      <c r="CZ27" s="28">
        <f t="shared" si="10"/>
        <v>0</v>
      </c>
      <c r="DA27" s="28">
        <f t="shared" si="11"/>
        <v>0</v>
      </c>
      <c r="DB27" s="34">
        <f t="shared" si="25"/>
        <v>0</v>
      </c>
      <c r="DC27" s="32">
        <f t="shared" si="18"/>
        <v>0</v>
      </c>
      <c r="DD27" s="35"/>
      <c r="DE27" s="28" t="e">
        <f t="shared" si="12"/>
        <v>#DIV/0!</v>
      </c>
      <c r="DF27" s="31" t="e">
        <f t="shared" si="13"/>
        <v>#DIV/0!</v>
      </c>
      <c r="DG27" s="32" t="e">
        <f t="shared" si="26"/>
        <v>#DIV/0!</v>
      </c>
      <c r="DH27" s="32" t="e">
        <f t="shared" si="19"/>
        <v>#DIV/0!</v>
      </c>
      <c r="DI27" s="32" t="e">
        <f t="shared" si="20"/>
        <v>#DIV/0!</v>
      </c>
      <c r="DK27" s="38" t="e">
        <f t="shared" si="14"/>
        <v>#DIV/0!</v>
      </c>
      <c r="DL27" s="41" t="e">
        <f t="shared" si="27"/>
        <v>#DIV/0!</v>
      </c>
      <c r="DM27" s="38" t="e">
        <f t="shared" si="28"/>
        <v>#DIV/0!</v>
      </c>
      <c r="DN27" s="32" t="e">
        <f t="shared" si="21"/>
        <v>#DIV/0!</v>
      </c>
      <c r="DO27" s="32" t="e">
        <f t="shared" si="29"/>
        <v>#DIV/0!</v>
      </c>
      <c r="DQ27" s="38">
        <f t="shared" si="15"/>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6"/>
        <v/>
      </c>
      <c r="BE28" s="311"/>
      <c r="BF28" s="311"/>
      <c r="BG28" s="311"/>
      <c r="BH28" s="311"/>
      <c r="BI28" s="310" t="str">
        <f t="shared" si="0"/>
        <v/>
      </c>
      <c r="BJ28" s="310"/>
      <c r="BK28" s="310"/>
      <c r="BL28" s="310"/>
      <c r="BM28" s="310"/>
      <c r="BN28" s="311" t="str">
        <f t="shared" si="1"/>
        <v/>
      </c>
      <c r="BO28" s="311"/>
      <c r="BP28" s="311"/>
      <c r="BQ28" s="311"/>
      <c r="BR28" s="311"/>
      <c r="BS28" s="332" t="str">
        <f t="shared" si="2"/>
        <v/>
      </c>
      <c r="BT28" s="332"/>
      <c r="BU28" s="332"/>
      <c r="BV28" s="332"/>
      <c r="BW28" s="332"/>
      <c r="BX28" s="311" t="str">
        <f t="shared" si="3"/>
        <v/>
      </c>
      <c r="BY28" s="311"/>
      <c r="BZ28" s="311"/>
      <c r="CA28" s="311"/>
      <c r="CB28" s="311"/>
      <c r="CC28" s="311" t="str">
        <f t="shared" si="4"/>
        <v/>
      </c>
      <c r="CD28" s="311"/>
      <c r="CE28" s="311"/>
      <c r="CF28" s="311"/>
      <c r="CG28" s="311"/>
      <c r="CN28" s="1" t="s">
        <v>216</v>
      </c>
      <c r="CP28" s="87">
        <f t="shared" si="5"/>
        <v>0</v>
      </c>
      <c r="CR28" s="28" t="e">
        <f t="shared" si="6"/>
        <v>#VALUE!</v>
      </c>
      <c r="CS28" s="29" t="str">
        <f t="shared" si="7"/>
        <v/>
      </c>
      <c r="CU28" s="28">
        <f t="shared" si="8"/>
        <v>32</v>
      </c>
      <c r="CV28" s="31">
        <f t="shared" si="9"/>
        <v>32</v>
      </c>
      <c r="CW28" s="32">
        <f t="shared" si="24"/>
        <v>32</v>
      </c>
      <c r="CX28" s="32">
        <f t="shared" si="17"/>
        <v>32</v>
      </c>
      <c r="CY28" s="26"/>
      <c r="CZ28" s="28">
        <f t="shared" si="10"/>
        <v>0</v>
      </c>
      <c r="DA28" s="28">
        <f t="shared" si="11"/>
        <v>0</v>
      </c>
      <c r="DB28" s="34">
        <f t="shared" si="25"/>
        <v>0</v>
      </c>
      <c r="DC28" s="32">
        <f t="shared" si="18"/>
        <v>0</v>
      </c>
      <c r="DD28" s="35"/>
      <c r="DE28" s="28" t="e">
        <f t="shared" si="12"/>
        <v>#DIV/0!</v>
      </c>
      <c r="DF28" s="31" t="e">
        <f t="shared" si="13"/>
        <v>#DIV/0!</v>
      </c>
      <c r="DG28" s="32" t="e">
        <f t="shared" si="26"/>
        <v>#DIV/0!</v>
      </c>
      <c r="DH28" s="32" t="e">
        <f t="shared" si="19"/>
        <v>#DIV/0!</v>
      </c>
      <c r="DI28" s="32" t="e">
        <f t="shared" si="20"/>
        <v>#DIV/0!</v>
      </c>
      <c r="DK28" s="38" t="e">
        <f t="shared" si="14"/>
        <v>#DIV/0!</v>
      </c>
      <c r="DL28" s="41" t="e">
        <f t="shared" si="27"/>
        <v>#DIV/0!</v>
      </c>
      <c r="DM28" s="38" t="e">
        <f t="shared" si="28"/>
        <v>#DIV/0!</v>
      </c>
      <c r="DN28" s="32" t="e">
        <f t="shared" si="21"/>
        <v>#DIV/0!</v>
      </c>
      <c r="DO28" s="32" t="e">
        <f t="shared" si="29"/>
        <v>#DIV/0!</v>
      </c>
      <c r="DQ28" s="38">
        <f t="shared" si="15"/>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6"/>
        <v/>
      </c>
      <c r="BE29" s="311"/>
      <c r="BF29" s="311"/>
      <c r="BG29" s="311"/>
      <c r="BH29" s="311"/>
      <c r="BI29" s="310" t="str">
        <f t="shared" si="0"/>
        <v/>
      </c>
      <c r="BJ29" s="310"/>
      <c r="BK29" s="310"/>
      <c r="BL29" s="310"/>
      <c r="BM29" s="310"/>
      <c r="BN29" s="311" t="str">
        <f t="shared" si="1"/>
        <v/>
      </c>
      <c r="BO29" s="311"/>
      <c r="BP29" s="311"/>
      <c r="BQ29" s="311"/>
      <c r="BR29" s="311"/>
      <c r="BS29" s="332" t="str">
        <f t="shared" si="2"/>
        <v/>
      </c>
      <c r="BT29" s="332"/>
      <c r="BU29" s="332"/>
      <c r="BV29" s="332"/>
      <c r="BW29" s="332"/>
      <c r="BX29" s="311" t="str">
        <f t="shared" si="3"/>
        <v/>
      </c>
      <c r="BY29" s="311"/>
      <c r="BZ29" s="311"/>
      <c r="CA29" s="311"/>
      <c r="CB29" s="311"/>
      <c r="CC29" s="311" t="str">
        <f t="shared" si="4"/>
        <v/>
      </c>
      <c r="CD29" s="311"/>
      <c r="CE29" s="311"/>
      <c r="CF29" s="311"/>
      <c r="CG29" s="311"/>
      <c r="CI29" s="323" t="s">
        <v>166</v>
      </c>
      <c r="CJ29" s="324"/>
      <c r="CK29" s="324"/>
      <c r="CL29" s="325"/>
      <c r="CN29" s="107" t="s">
        <v>198</v>
      </c>
      <c r="CP29" s="2">
        <f t="shared" si="5"/>
        <v>0</v>
      </c>
      <c r="CR29" s="45" t="e">
        <f t="shared" si="6"/>
        <v>#VALUE!</v>
      </c>
      <c r="CS29" s="46" t="str">
        <f t="shared" si="7"/>
        <v/>
      </c>
      <c r="CU29" s="45">
        <f t="shared" si="8"/>
        <v>32</v>
      </c>
      <c r="CV29" s="47">
        <f t="shared" si="9"/>
        <v>32</v>
      </c>
      <c r="CW29" s="48">
        <f>ROUND(CU29,1)</f>
        <v>32</v>
      </c>
      <c r="CX29" s="48">
        <f t="shared" si="17"/>
        <v>32</v>
      </c>
      <c r="CZ29" s="45">
        <f t="shared" si="10"/>
        <v>0</v>
      </c>
      <c r="DA29" s="45">
        <f t="shared" si="11"/>
        <v>0</v>
      </c>
      <c r="DB29" s="49">
        <f>ROUND(CZ29,1)</f>
        <v>0</v>
      </c>
      <c r="DC29" s="48">
        <f t="shared" si="18"/>
        <v>0</v>
      </c>
      <c r="DD29" s="35"/>
      <c r="DE29" s="45" t="e">
        <f t="shared" si="12"/>
        <v>#DIV/0!</v>
      </c>
      <c r="DF29" s="47" t="e">
        <f t="shared" si="13"/>
        <v>#DIV/0!</v>
      </c>
      <c r="DG29" s="48" t="e">
        <f>ROUND(DE29,1)</f>
        <v>#DIV/0!</v>
      </c>
      <c r="DH29" s="48" t="e">
        <f t="shared" si="19"/>
        <v>#DIV/0!</v>
      </c>
      <c r="DI29" s="48" t="e">
        <f t="shared" si="20"/>
        <v>#DIV/0!</v>
      </c>
      <c r="DK29" s="50" t="e">
        <f t="shared" si="14"/>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5"/>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t="str">
        <f>IF(COUNT(AJ18:AN29)=0,"",ROUND(SUM(AJ18:AN29),3))</f>
        <v/>
      </c>
      <c r="AK30" s="321"/>
      <c r="AL30" s="321"/>
      <c r="AM30" s="321"/>
      <c r="AN30" s="322"/>
      <c r="AO30" s="341" t="s">
        <v>214</v>
      </c>
      <c r="AP30" s="341"/>
      <c r="AQ30" s="341"/>
      <c r="AR30" s="341"/>
      <c r="AS30" s="341"/>
      <c r="AT30" s="320" t="str">
        <f>IF(COUNT(AT18:AX29)=0,"",ROUND(SUM(AT18:AX29),3))</f>
        <v/>
      </c>
      <c r="AU30" s="321"/>
      <c r="AV30" s="321"/>
      <c r="AW30" s="321"/>
      <c r="AX30" s="322"/>
      <c r="AY30" s="341" t="s">
        <v>211</v>
      </c>
      <c r="AZ30" s="341"/>
      <c r="BA30" s="341"/>
      <c r="BB30" s="341"/>
      <c r="BC30" s="341"/>
      <c r="BD30" s="320" t="str">
        <f>IF(COUNT(BD18:BH29)=0,"",ROUND(SUM(BD18:BH29),3))</f>
        <v/>
      </c>
      <c r="BE30" s="321"/>
      <c r="BF30" s="321"/>
      <c r="BG30" s="321"/>
      <c r="BH30" s="322"/>
      <c r="BI30" s="341" t="s">
        <v>210</v>
      </c>
      <c r="BJ30" s="341"/>
      <c r="BK30" s="341"/>
      <c r="BL30" s="341"/>
      <c r="BM30" s="341"/>
      <c r="BN30" s="320" t="str">
        <f>IF(COUNT(BN18:BR29)=0,"",ROUND(SUM(BN18:BR29),3))</f>
        <v/>
      </c>
      <c r="BO30" s="321"/>
      <c r="BP30" s="321"/>
      <c r="BQ30" s="321"/>
      <c r="BR30" s="322"/>
      <c r="BS30" s="341" t="s">
        <v>209</v>
      </c>
      <c r="BT30" s="341"/>
      <c r="BU30" s="341"/>
      <c r="BV30" s="341"/>
      <c r="BW30" s="341"/>
      <c r="BX30" s="320" t="str">
        <f>IF(COUNT(BX18:CB29)=0,"",ROUND(SUM(BX18:CB29),3))</f>
        <v/>
      </c>
      <c r="BY30" s="321"/>
      <c r="BZ30" s="321"/>
      <c r="CA30" s="321"/>
      <c r="CB30" s="322"/>
      <c r="CC30" s="320" t="str">
        <f>IF(COUNT(CC18:CG29)=0,"",ROUND(SUM(CC18:CG29),3))</f>
        <v/>
      </c>
      <c r="CD30" s="321"/>
      <c r="CE30" s="321"/>
      <c r="CF30" s="321"/>
      <c r="CG30" s="322"/>
      <c r="CI30" s="326"/>
      <c r="CJ30" s="327"/>
      <c r="CK30" s="327"/>
      <c r="CL30" s="328"/>
      <c r="CN30" s="2" t="s">
        <v>226</v>
      </c>
      <c r="CP30" s="91"/>
      <c r="DW30" s="91"/>
      <c r="DX30" s="91"/>
    </row>
    <row r="31" spans="1:132" ht="11.45" customHeight="1" thickBot="1" x14ac:dyDescent="0.25">
      <c r="A31" s="381"/>
      <c r="B31" s="381"/>
      <c r="C31" s="381"/>
      <c r="D31" s="381"/>
      <c r="E31" s="381"/>
      <c r="F31" s="381"/>
      <c r="G31" s="381"/>
      <c r="H31" s="381"/>
      <c r="I31" s="381"/>
      <c r="J31" s="381"/>
      <c r="K31" s="381"/>
      <c r="L31" s="381"/>
      <c r="M31" s="381"/>
      <c r="N31" s="381"/>
      <c r="O31" s="381"/>
      <c r="P31" s="381"/>
      <c r="Q31" s="381"/>
      <c r="R31" s="381"/>
      <c r="S31" s="381"/>
      <c r="T31" s="381"/>
      <c r="U31" s="381"/>
      <c r="V31" s="381"/>
      <c r="W31" s="381"/>
      <c r="X31" s="381"/>
      <c r="Y31" s="381"/>
      <c r="Z31" s="381"/>
      <c r="AA31" s="381"/>
      <c r="AB31" s="381"/>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81"/>
      <c r="BA31" s="381"/>
      <c r="BB31" s="381"/>
      <c r="BC31" s="381"/>
      <c r="BD31" s="381"/>
      <c r="BE31" s="381"/>
      <c r="BF31" s="381"/>
      <c r="BG31" s="381"/>
      <c r="BH31" s="381"/>
      <c r="BI31" s="381"/>
      <c r="BJ31" s="381"/>
      <c r="BK31" s="381"/>
      <c r="BL31" s="381"/>
      <c r="BM31" s="381"/>
      <c r="BN31" s="381"/>
      <c r="BO31" s="381"/>
      <c r="BP31" s="381"/>
      <c r="BQ31" s="381"/>
      <c r="BR31" s="381"/>
      <c r="BS31" s="381"/>
      <c r="BT31" s="381"/>
      <c r="BU31" s="381"/>
      <c r="BV31" s="381"/>
      <c r="BW31" s="381"/>
      <c r="BX31" s="381"/>
      <c r="BY31" s="381"/>
      <c r="BZ31" s="381"/>
      <c r="CA31" s="381"/>
      <c r="CB31" s="381"/>
      <c r="CC31" s="381"/>
      <c r="CD31" s="381"/>
      <c r="CE31" s="381"/>
      <c r="CF31" s="381"/>
      <c r="CG31" s="381"/>
      <c r="CI31" s="5"/>
      <c r="CJ31" s="113">
        <v>-110</v>
      </c>
      <c r="CK31" s="114">
        <v>-108.1</v>
      </c>
      <c r="CL31" s="115">
        <v>-108</v>
      </c>
      <c r="CP31" s="91"/>
      <c r="DW31" s="91"/>
      <c r="DX31" s="91"/>
    </row>
    <row r="32" spans="1:132" ht="11.45" customHeight="1" x14ac:dyDescent="0.2">
      <c r="A32" s="336" t="s">
        <v>28</v>
      </c>
      <c r="B32" s="336"/>
      <c r="C32" s="336"/>
      <c r="D32" s="336"/>
      <c r="E32" s="336"/>
      <c r="F32" s="336"/>
      <c r="G32" s="336"/>
      <c r="H32" s="336"/>
      <c r="I32" s="336"/>
      <c r="J32" s="336"/>
      <c r="K32" s="336"/>
      <c r="L32" s="336"/>
      <c r="M32" s="336"/>
      <c r="N32" s="336"/>
      <c r="O32" s="336"/>
      <c r="P32" s="336"/>
      <c r="Q32" s="336"/>
      <c r="R32" s="336"/>
      <c r="S32" s="336"/>
      <c r="T32" s="336"/>
      <c r="U32" s="336"/>
      <c r="V32" s="336"/>
      <c r="W32" s="336"/>
      <c r="X32" s="336"/>
      <c r="Y32" s="336"/>
      <c r="Z32" s="336"/>
      <c r="AA32" s="336"/>
      <c r="AB32" s="336"/>
      <c r="AC32" s="336"/>
      <c r="AD32" s="336"/>
      <c r="AE32" s="336"/>
      <c r="AF32" s="336"/>
      <c r="AG32" s="336"/>
      <c r="AH32" s="336"/>
      <c r="AI32" s="336"/>
      <c r="AJ32" s="336"/>
      <c r="AK32" s="336"/>
      <c r="AL32" s="343" t="s">
        <v>2</v>
      </c>
      <c r="AM32" s="343"/>
      <c r="AN32" s="343"/>
      <c r="AO32" s="95" t="s">
        <v>0</v>
      </c>
      <c r="AP32" s="393"/>
      <c r="AQ32" s="393"/>
      <c r="AR32" s="393"/>
      <c r="AS32" s="393"/>
      <c r="AT32" s="393"/>
      <c r="AU32" s="393"/>
      <c r="AV32" s="393"/>
      <c r="AW32" s="393"/>
      <c r="AX32" s="343" t="s">
        <v>16</v>
      </c>
      <c r="AY32" s="343"/>
      <c r="AZ32" s="343"/>
      <c r="BA32" s="95" t="s">
        <v>0</v>
      </c>
      <c r="BB32" s="365"/>
      <c r="BC32" s="365"/>
      <c r="BD32" s="365"/>
      <c r="BE32" s="365"/>
      <c r="BF32" s="365"/>
      <c r="BG32" s="365"/>
      <c r="BH32" s="365"/>
      <c r="BI32" s="365"/>
      <c r="BJ32" s="343" t="s">
        <v>425</v>
      </c>
      <c r="BK32" s="343"/>
      <c r="BL32" s="343"/>
      <c r="BM32" s="343"/>
      <c r="BN32" s="343"/>
      <c r="BO32" s="343"/>
      <c r="BP32" s="343"/>
      <c r="BQ32" s="95" t="s">
        <v>0</v>
      </c>
      <c r="BR32" s="343"/>
      <c r="BS32" s="343"/>
      <c r="BT32" s="343"/>
      <c r="BU32" s="343"/>
      <c r="BV32" s="343"/>
      <c r="BW32" s="343"/>
      <c r="BX32" s="343"/>
      <c r="BY32" s="343"/>
      <c r="BZ32" s="343"/>
      <c r="CA32" s="343"/>
      <c r="CB32" s="343"/>
      <c r="CC32" s="343"/>
      <c r="CD32" s="343"/>
      <c r="CE32" s="343"/>
      <c r="CF32" s="343"/>
      <c r="CG32" s="343"/>
      <c r="CI32" s="116">
        <v>34</v>
      </c>
      <c r="CJ32" s="117">
        <v>-140</v>
      </c>
      <c r="CK32" s="53">
        <f>(CL32-CJ32)/(CL31-CJ31)*(CK31-CJ31)+CJ32</f>
        <v>-140</v>
      </c>
      <c r="CL32" s="118">
        <v>-140</v>
      </c>
      <c r="CP32" s="91"/>
      <c r="CR32" s="91"/>
      <c r="CS32" s="91"/>
      <c r="CY32" s="91"/>
      <c r="DW32" s="91"/>
      <c r="DX32" s="91"/>
    </row>
    <row r="33" spans="1:132" ht="11.45" customHeight="1" x14ac:dyDescent="0.2">
      <c r="A33" s="155"/>
      <c r="B33" s="155"/>
      <c r="C33" s="155"/>
      <c r="D33" s="155"/>
      <c r="E33" s="155"/>
      <c r="F33" s="155"/>
      <c r="G33" s="155" t="s">
        <v>196</v>
      </c>
      <c r="H33" s="155"/>
      <c r="I33" s="155"/>
      <c r="J33" s="155"/>
      <c r="K33" s="155"/>
      <c r="L33" s="155"/>
      <c r="M33" s="90" t="s">
        <v>0</v>
      </c>
      <c r="N33" s="340"/>
      <c r="O33" s="340"/>
      <c r="P33" s="340"/>
      <c r="Q33" s="340"/>
      <c r="R33" s="340"/>
      <c r="S33" s="340"/>
      <c r="T33" s="340" t="s">
        <v>192</v>
      </c>
      <c r="U33" s="340"/>
      <c r="V33" s="340"/>
      <c r="W33" s="340"/>
      <c r="X33" s="350"/>
      <c r="Y33" s="350"/>
      <c r="Z33" s="350"/>
      <c r="AA33" s="350"/>
      <c r="AB33" s="350"/>
      <c r="AC33" s="350"/>
      <c r="AD33" s="352" t="s">
        <v>427</v>
      </c>
      <c r="AE33" s="352"/>
      <c r="AF33" s="352"/>
      <c r="AG33" s="90" t="s">
        <v>0</v>
      </c>
      <c r="AH33" s="340" t="str">
        <f>IF(OR(N33="",N34=""),"",(N34-N33))</f>
        <v/>
      </c>
      <c r="AI33" s="340"/>
      <c r="AJ33" s="340"/>
      <c r="AK33" s="340"/>
      <c r="AL33" s="340"/>
      <c r="AM33" s="342" t="str">
        <f>T33</f>
        <v xml:space="preserve"> M</v>
      </c>
      <c r="AN33" s="342"/>
      <c r="AO33" s="342"/>
      <c r="AP33" s="342"/>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103" t="s">
        <v>0</v>
      </c>
      <c r="BN33" s="155"/>
      <c r="BO33" s="155"/>
      <c r="BP33" s="155"/>
      <c r="BQ33" s="155"/>
      <c r="BR33" s="155"/>
      <c r="BS33" s="155"/>
      <c r="BT33" s="155"/>
      <c r="BU33" s="155"/>
      <c r="BV33" s="155"/>
      <c r="BW33" s="155"/>
      <c r="BX33" s="155"/>
      <c r="BY33" s="155"/>
      <c r="BZ33" s="155"/>
      <c r="CA33" s="155"/>
      <c r="CB33" s="155"/>
      <c r="CC33" s="155"/>
      <c r="CD33" s="155"/>
      <c r="CE33" s="155"/>
      <c r="CF33" s="155"/>
      <c r="CG33" s="155"/>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162"/>
      <c r="B34" s="162"/>
      <c r="C34" s="162"/>
      <c r="D34" s="162"/>
      <c r="E34" s="162"/>
      <c r="F34" s="162"/>
      <c r="G34" s="162" t="s">
        <v>426</v>
      </c>
      <c r="H34" s="162"/>
      <c r="I34" s="162"/>
      <c r="J34" s="162"/>
      <c r="K34" s="162"/>
      <c r="L34" s="162"/>
      <c r="M34" s="90" t="s">
        <v>0</v>
      </c>
      <c r="N34" s="355"/>
      <c r="O34" s="355"/>
      <c r="P34" s="355"/>
      <c r="Q34" s="355"/>
      <c r="R34" s="355"/>
      <c r="S34" s="355"/>
      <c r="T34" s="358" t="str">
        <f>T33</f>
        <v xml:space="preserve"> M</v>
      </c>
      <c r="U34" s="358"/>
      <c r="V34" s="358"/>
      <c r="W34" s="358"/>
      <c r="X34" s="351"/>
      <c r="Y34" s="351"/>
      <c r="Z34" s="351"/>
      <c r="AA34" s="351"/>
      <c r="AB34" s="351"/>
      <c r="AC34" s="351"/>
      <c r="AD34" s="353" t="s">
        <v>428</v>
      </c>
      <c r="AE34" s="353"/>
      <c r="AF34" s="353"/>
      <c r="AG34" s="90" t="s">
        <v>0</v>
      </c>
      <c r="AH34" s="162"/>
      <c r="AI34" s="162"/>
      <c r="AJ34" s="162"/>
      <c r="AK34" s="162"/>
      <c r="AL34" s="162"/>
      <c r="AM34" s="162"/>
      <c r="AN34" s="162"/>
      <c r="AO34" s="162"/>
      <c r="AP34" s="16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103" t="s">
        <v>0</v>
      </c>
      <c r="BN34" s="162"/>
      <c r="BO34" s="162"/>
      <c r="BP34" s="162"/>
      <c r="BQ34" s="162"/>
      <c r="BR34" s="162"/>
      <c r="BS34" s="162"/>
      <c r="BT34" s="162"/>
      <c r="BU34" s="162"/>
      <c r="BV34" s="162"/>
      <c r="BW34" s="162"/>
      <c r="BX34" s="162"/>
      <c r="BY34" s="162"/>
      <c r="BZ34" s="162"/>
      <c r="CA34" s="162"/>
      <c r="CB34" s="162"/>
      <c r="CC34" s="162"/>
      <c r="CD34" s="162"/>
      <c r="CE34" s="162"/>
      <c r="CF34" s="162"/>
      <c r="CG34" s="16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IF(P17="","",P17)</f>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8">IF(A18="","",A18)</f>
        <v/>
      </c>
      <c r="B37" s="346"/>
      <c r="C37" s="346"/>
      <c r="D37" s="346"/>
      <c r="E37" s="346"/>
      <c r="F37" s="346"/>
      <c r="G37" s="346"/>
      <c r="H37" s="346"/>
      <c r="I37" s="318" t="str">
        <f t="shared" ref="I37:I48" si="39">IF(I18="","",I18)</f>
        <v/>
      </c>
      <c r="J37" s="318"/>
      <c r="K37" s="318"/>
      <c r="L37" s="318"/>
      <c r="M37" s="318"/>
      <c r="N37" s="318"/>
      <c r="O37" s="318"/>
      <c r="P37" s="313"/>
      <c r="Q37" s="313"/>
      <c r="R37" s="313"/>
      <c r="S37" s="313"/>
      <c r="T37" s="313"/>
      <c r="U37" s="308" t="str">
        <f t="shared" ref="U37:U48" si="40">IF(U18="","",U18)</f>
        <v/>
      </c>
      <c r="V37" s="308"/>
      <c r="W37" s="308"/>
      <c r="X37" s="308"/>
      <c r="Y37" s="308"/>
      <c r="Z37" s="308"/>
      <c r="AA37" s="308"/>
      <c r="AB37" s="308"/>
      <c r="AC37" s="309"/>
      <c r="AD37" s="308"/>
      <c r="AE37" s="308"/>
      <c r="AF37" s="308"/>
      <c r="AG37" s="308"/>
      <c r="AH37" s="308"/>
      <c r="AI37" s="308"/>
      <c r="AJ37" s="308"/>
      <c r="AK37" s="308"/>
      <c r="AL37" s="308"/>
      <c r="AM37" s="308"/>
      <c r="AN37" s="308"/>
      <c r="AO37" s="308"/>
      <c r="AP37" s="308"/>
      <c r="AQ37" s="308"/>
      <c r="AR37" s="308"/>
      <c r="AS37" s="308"/>
      <c r="AT37" s="308"/>
      <c r="AU37" s="308"/>
      <c r="AV37" s="308"/>
      <c r="AW37" s="308"/>
      <c r="AX37" s="308"/>
      <c r="AY37" s="312"/>
      <c r="AZ37" s="312"/>
      <c r="BA37" s="312"/>
      <c r="BB37" s="312"/>
      <c r="BC37" s="312"/>
      <c r="BD37" s="311" t="str">
        <f>IF(OR(AJ37="",AT37=""),"",AJ37-AT37)</f>
        <v/>
      </c>
      <c r="BE37" s="311"/>
      <c r="BF37" s="311"/>
      <c r="BG37" s="311"/>
      <c r="BH37" s="311"/>
      <c r="BI37" s="310" t="str">
        <f t="shared" ref="BI37:BI48" si="41">IF(OR(AY37="",P37=""),"",IF($CN$53=1,DW37,IF($CN$53=2,DY37,IF($CN$53=3,EA37,IF($CN$53=4,DX37,IF($CN$53=5,DZ37,IF($CN$53=6,EB37)))))))</f>
        <v/>
      </c>
      <c r="BJ37" s="310"/>
      <c r="BK37" s="310"/>
      <c r="BL37" s="310"/>
      <c r="BM37" s="310"/>
      <c r="BN37" s="311" t="str">
        <f t="shared" ref="BN37:BN48" si="42">IF(OR(BD37="",BI37=""),"",BD37*BI37)</f>
        <v/>
      </c>
      <c r="BO37" s="311"/>
      <c r="BP37" s="311"/>
      <c r="BQ37" s="311"/>
      <c r="BR37" s="311"/>
      <c r="BS37" s="332" t="str">
        <f t="shared" ref="BS37:BS48" si="43">IF(OR(BD37="",P37="",BI37=""),"",ROUND((DS37-0.0011),4))</f>
        <v/>
      </c>
      <c r="BT37" s="332"/>
      <c r="BU37" s="332"/>
      <c r="BV37" s="332"/>
      <c r="BW37" s="332"/>
      <c r="BX37" s="311" t="str">
        <f t="shared" ref="BX37:BX48" si="44">IF(OR(BD37="",P37="",BI37=""),"",IF($AJ$17=$CN$34,ROUND(BN37*BS37,3),ROUND(CS37*BI37*BS37,3)))</f>
        <v/>
      </c>
      <c r="BY37" s="311"/>
      <c r="BZ37" s="311"/>
      <c r="CA37" s="311"/>
      <c r="CB37" s="311"/>
      <c r="CC37" s="311" t="str">
        <f t="shared" ref="CC37:CC48" si="45">IF(OR(BD37="",P37="",BI37=""),"",IF($AJ$17=$CN$34,ROUND(BN37*DQ37,3),ROUND(CS37*BI37*DQ37,3)))</f>
        <v/>
      </c>
      <c r="CD37" s="311"/>
      <c r="CE37" s="311"/>
      <c r="CF37" s="311"/>
      <c r="CG37" s="311"/>
      <c r="CH37" s="55"/>
      <c r="CP37" s="107">
        <f t="shared" ref="CP37:CP48" si="46">IF(OR(AY37="",BD37=""),0,AY37*BD37)</f>
        <v>0</v>
      </c>
      <c r="CR37" s="28" t="e">
        <f t="shared" ref="CR37:CR48" si="47">IF($BD$17=$CN$35,BD37,(BD37*6.28981))</f>
        <v>#VALUE!</v>
      </c>
      <c r="CS37" s="29" t="str">
        <f t="shared" ref="CS37:CS48" si="48">IF($BD$17=$CN$34,BD37,(BD37/6.28981))</f>
        <v/>
      </c>
      <c r="CU37" s="30">
        <f t="shared" ref="CU37:CU48" si="49">IF($AY$17=$CN$40,AY37,(AY37*1.8+32))</f>
        <v>32</v>
      </c>
      <c r="CV37" s="31">
        <f t="shared" ref="CV37:CV48" si="50">ROUND(CU37*2,0)/2</f>
        <v>32</v>
      </c>
      <c r="CW37" s="32">
        <f>ROUND(CU37,1)</f>
        <v>32</v>
      </c>
      <c r="CX37" s="33">
        <f>(1.8*((((CW37-32)/1.8)-((-0.148759+((-0.267408+((1.08076+((1.269056+((-4.089591+((-1.871251+((7.438081+(-3.536296*(((CW37-32)/1.8)/630)))*(((CW37-32)/1.8)/630)))*(((CW37-32)/1.8)/630)))*(((CW37-32)/1.8)/630)))*(((CW37-32)/1.8)/630)))*(((CW37-32)/1.8)/630)))*(((CW37-32)/1.8)/630)))*(((CW37-32)/1.8)/630)))))+32</f>
        <v>32</v>
      </c>
      <c r="CY37" s="26"/>
      <c r="CZ37" s="30">
        <f t="shared" ref="CZ37:CZ48" si="51">IF($AY$17=$CN$39,AY37,(AY37-32)/1.8)</f>
        <v>0</v>
      </c>
      <c r="DA37" s="28">
        <f t="shared" ref="DA37:DA48" si="52">ROUND(CZ37*4,0)/4</f>
        <v>0</v>
      </c>
      <c r="DB37" s="34">
        <f>ROUND(CZ37,1)</f>
        <v>0</v>
      </c>
      <c r="DC37" s="33">
        <f>DB37-((-0.148759+((-0.267408+((1.08076+((1.269056+((-4.089591+((-1.871251+((7.438081+(-3.536296*(DB37/630)))*(DB37/630)))*(DB37/630)))*(DB37/630)))*(DB37/630)))*(DB37/630)))*(DB37/630)))*(DB37/630))</f>
        <v>0</v>
      </c>
      <c r="DD37" s="35"/>
      <c r="DE37" s="30" t="e">
        <f t="shared" ref="DE37:DE48" si="53">IF($P$16=$CN$18,P37,(141.5/DK37)-131.5)</f>
        <v>#DIV/0!</v>
      </c>
      <c r="DF37" s="31" t="e">
        <f t="shared" ref="DF37:DF48" si="54">ROUND(DE37*2,0)/2</f>
        <v>#DIV/0!</v>
      </c>
      <c r="DG37" s="32" t="e">
        <f>ROUND(DE37,1)</f>
        <v>#DIV/0!</v>
      </c>
      <c r="DH37" s="33" t="e">
        <f>(141.5/(DG37+131.5))*999.016</f>
        <v>#DIV/0!</v>
      </c>
      <c r="DI37" s="33" t="e">
        <f>DH37*(1+((EXP(((0.01374979547/2)*(((103.872/DH37)+0.2701)*(1/DH37)))*(1+(0.8*((0.01374979547/2)*(((103.872/DH37)+0.2701)*(1/DH37))))))-1)/(1+(((0.01374979547/2)*(((103.872/DH37)+0.2701)*(1/DH37)))*(1+(1.6*((0.01374979547/2)*(((103.872/DH37)+0.2701)*(1/DH37)))))*(((2*103.872)+(0.2701+DH37))/(103.872+(0.2701*DH37)))))))</f>
        <v>#DIV/0!</v>
      </c>
      <c r="DK37" s="36" t="e">
        <f t="shared" ref="DK37:DK48" si="55">IF($P$16=$CN$19,P37,IF($P$16=$CN$18,141.5/(P37+131.5),DQ37*ROUND(EXP(-(186.9696/(((TRUNC(5*(DQ37*100)+0.5)/5)*0.01)*1000)^2+0.4862/(((TRUNC(5*(DQ37*100)+0.5)/5)*0.01)*1000))*(0.56)*(1+0.8*(186.9696/(((TRUNC(5*(DQ37*100)+0.5)/5)*0.01)*1000)^2+0.4862/(((TRUNC(5*(DQ37*100)+0.5)/5)*0.01)*1000))*0.56)),4)/0.999012))</f>
        <v>#DIV/0!</v>
      </c>
      <c r="DL37" s="37" t="e">
        <f>ROUND(DK37*5,2)/5</f>
        <v>#DIV/0!</v>
      </c>
      <c r="DM37" s="38" t="e">
        <f>ROUND(DK37,4)</f>
        <v>#DIV/0!</v>
      </c>
      <c r="DN37" s="33" t="e">
        <f>DM37*999.016</f>
        <v>#DIV/0!</v>
      </c>
      <c r="DO37" s="33" t="e">
        <f>DN37*(1+((EXP(((0.01374979547/2)*(((103.872/DN37)+0.2701)*(1/DN37)))*(1+(0.8*((0.01374979547/2)*(((103.872/DN37)+0.2701)*(1/DN37))))))-1)/(1+(((0.01374979547/2)*(((103.872/DN37)+0.2701)*(1/DN37)))*(1+(1.6*((0.01374979547/2)*(((103.872/DN37)+0.2701)*(1/DN37)))))*(((2*103.872)+(0.2701+DN37))/(103.872+(0.2701*DN37)))))))</f>
        <v>#DIV/0!</v>
      </c>
      <c r="DQ37" s="36">
        <f t="shared" ref="DQ37:DQ48" si="56">IF($P$16=$CN$20,P37,DK37*0.999012*ROUND(EXP(-((103.872/((((TRUNC(5*(DK37*100)+0.5)/5)*0.01)*999.012)^2))+(0.2701/(((TRUNC(5*(DK37*100)+0.5)/5)*0.01)*999.012)))*(-1)*(1+(0.8*((103.872/((((TRUNC(5*(DK37*100)+0.5)/5)*0.01)*999.012)^2))+(0.2701/(((TRUNC(5*(DK37*100)+0.5)/5)*0.01)*999.012)))*(-1)))),4))</f>
        <v>0</v>
      </c>
      <c r="DR37" s="39">
        <f>ROUND(DQ37*5,2)/5</f>
        <v>0</v>
      </c>
      <c r="DS37" s="38">
        <f>ROUND(DQ37,4)</f>
        <v>0</v>
      </c>
      <c r="DT37" s="33">
        <f>DS37*1000</f>
        <v>0</v>
      </c>
      <c r="DU37" s="33" t="e">
        <f>DT37*(1+((EXP(((0.01374979547/2)*(((186.9696/DT37)+0.4862)*(1/DT37)))*(1+(0.8*((0.01374979547/2)*(((186.9696/DT37)+0.4862)*(1/DT37))))))-1)/(1+(((0.01374979547/2)*(((186.9696/DT37)+0.4862)*(1/DT37)))*(1+(1.6*((0.01374979547/2)*(((186.9696/DT37)+0.4862)*(1/DT37)))))*(((2*186.9696)+(0.4862+DT37))/(186.9696+(0.4862*DT37)))))))</f>
        <v>#DIV/0!</v>
      </c>
      <c r="DW37" s="38" t="e">
        <f>ROUND(EXP(-((103.872/(((141.5/(DF37+131.5))*999.012)^2))+(0.2701/((141.5/(DF37+131.5))*999.012)))*(CV37-60)*(1+(0.8*((103.872/(((141.5/(DF37+131.5))*999.012)^2))+(0.2701/((141.5/(DF37+131.5))*999.012)))*(CV37-60)))),4)</f>
        <v>#DIV/0!</v>
      </c>
      <c r="DX37" s="40" t="e">
        <f>ROUND(EXP(-(((103.872/DI37)+0.2701)*(1/DI37))*(CX37-60.0068749)*(1+(0.8*(((103.872/DI37)+0.2701)*(1/DI37))*((CX37-60.0068749)+0.01374979547)))),5)</f>
        <v>#DIV/0!</v>
      </c>
      <c r="DY37" s="36" t="e">
        <f>ROUND(EXP(-((103.872/((DL37*999.012)^2))+(0.2701/(DL37*999.012)))*(CV37-60)*(1+(0.8*((103.872/((DL37*999.012)^2))+(0.2701/(DL37*999.012)))*(CV37-60)))),4)</f>
        <v>#DIV/0!</v>
      </c>
      <c r="DZ37" s="40" t="e">
        <f>ROUND(EXP(-(((103.872/DO37)+0.2701)*(1/DO37))*(CX37-60.0068749)*(1+(0.8*(((103.872/DO37)+0.2701)*(1/DO37))*((CX37-60.0068749)+0.01374979547)))),5)</f>
        <v>#DIV/0!</v>
      </c>
      <c r="EA37" s="36" t="e">
        <f>ROUND(EXP(-((186.9696/((DR37*1000)^2))+(0.4862/(DR37*1000)))*(DA37-15)*(1+(0.8*((186.9696/((DR37*1000)^2))+(0.4862/(DR37*1000)))*(DA37-15)))),4)</f>
        <v>#DIV/0!</v>
      </c>
      <c r="EB37" s="40" t="e">
        <f>ROUND(EXP(-((((186.9696/DU37)+0.4862)*(1/DU37)))*(DC37-15.00367851)*(1+(0.8*((((186.9696/DU37)+0.4862)*(1/DU37)))*((DC37-15.00367851)+0.01374979547)))),5)</f>
        <v>#DIV/0!</v>
      </c>
    </row>
    <row r="38" spans="1:132" ht="11.45" customHeight="1" x14ac:dyDescent="0.2">
      <c r="A38" s="346" t="str">
        <f t="shared" si="38"/>
        <v/>
      </c>
      <c r="B38" s="346"/>
      <c r="C38" s="346"/>
      <c r="D38" s="346"/>
      <c r="E38" s="346"/>
      <c r="F38" s="346"/>
      <c r="G38" s="346"/>
      <c r="H38" s="346"/>
      <c r="I38" s="318" t="str">
        <f t="shared" si="39"/>
        <v/>
      </c>
      <c r="J38" s="318"/>
      <c r="K38" s="318"/>
      <c r="L38" s="318"/>
      <c r="M38" s="318"/>
      <c r="N38" s="318"/>
      <c r="O38" s="318"/>
      <c r="P38" s="313"/>
      <c r="Q38" s="313"/>
      <c r="R38" s="313"/>
      <c r="S38" s="313"/>
      <c r="T38" s="313"/>
      <c r="U38" s="308" t="str">
        <f t="shared" si="40"/>
        <v/>
      </c>
      <c r="V38" s="308"/>
      <c r="W38" s="308"/>
      <c r="X38" s="308"/>
      <c r="Y38" s="308"/>
      <c r="Z38" s="308"/>
      <c r="AA38" s="308"/>
      <c r="AB38" s="308"/>
      <c r="AC38" s="309"/>
      <c r="AD38" s="308"/>
      <c r="AE38" s="308"/>
      <c r="AF38" s="308"/>
      <c r="AG38" s="308"/>
      <c r="AH38" s="308"/>
      <c r="AI38" s="308"/>
      <c r="AJ38" s="308"/>
      <c r="AK38" s="308"/>
      <c r="AL38" s="308"/>
      <c r="AM38" s="308"/>
      <c r="AN38" s="308"/>
      <c r="AO38" s="308"/>
      <c r="AP38" s="308"/>
      <c r="AQ38" s="308"/>
      <c r="AR38" s="308"/>
      <c r="AS38" s="308"/>
      <c r="AT38" s="308"/>
      <c r="AU38" s="308"/>
      <c r="AV38" s="308"/>
      <c r="AW38" s="308"/>
      <c r="AX38" s="308"/>
      <c r="AY38" s="312"/>
      <c r="AZ38" s="312"/>
      <c r="BA38" s="312"/>
      <c r="BB38" s="312"/>
      <c r="BC38" s="312"/>
      <c r="BD38" s="311" t="str">
        <f t="shared" ref="BD38:BD48" si="57">IF(OR(AJ38="",AT38=""),"",AJ38-AT38)</f>
        <v/>
      </c>
      <c r="BE38" s="311"/>
      <c r="BF38" s="311"/>
      <c r="BG38" s="311"/>
      <c r="BH38" s="311"/>
      <c r="BI38" s="310" t="str">
        <f t="shared" si="41"/>
        <v/>
      </c>
      <c r="BJ38" s="310"/>
      <c r="BK38" s="310"/>
      <c r="BL38" s="310"/>
      <c r="BM38" s="310"/>
      <c r="BN38" s="311" t="str">
        <f t="shared" si="42"/>
        <v/>
      </c>
      <c r="BO38" s="311"/>
      <c r="BP38" s="311"/>
      <c r="BQ38" s="311"/>
      <c r="BR38" s="311"/>
      <c r="BS38" s="332" t="str">
        <f t="shared" si="43"/>
        <v/>
      </c>
      <c r="BT38" s="332"/>
      <c r="BU38" s="332"/>
      <c r="BV38" s="332"/>
      <c r="BW38" s="332"/>
      <c r="BX38" s="311" t="str">
        <f t="shared" si="44"/>
        <v/>
      </c>
      <c r="BY38" s="311"/>
      <c r="BZ38" s="311"/>
      <c r="CA38" s="311"/>
      <c r="CB38" s="311"/>
      <c r="CC38" s="311" t="str">
        <f t="shared" si="45"/>
        <v/>
      </c>
      <c r="CD38" s="311"/>
      <c r="CE38" s="311"/>
      <c r="CF38" s="311"/>
      <c r="CG38" s="311"/>
      <c r="CH38" s="55"/>
      <c r="CN38" s="1" t="s">
        <v>220</v>
      </c>
      <c r="CP38" s="87">
        <f t="shared" si="46"/>
        <v>0</v>
      </c>
      <c r="CR38" s="28" t="e">
        <f t="shared" si="47"/>
        <v>#VALUE!</v>
      </c>
      <c r="CS38" s="29" t="str">
        <f t="shared" si="48"/>
        <v/>
      </c>
      <c r="CU38" s="28">
        <f t="shared" si="49"/>
        <v>32</v>
      </c>
      <c r="CV38" s="31">
        <f t="shared" si="50"/>
        <v>32</v>
      </c>
      <c r="CW38" s="32">
        <f>ROUND(CU38,1)</f>
        <v>32</v>
      </c>
      <c r="CX38" s="32">
        <f t="shared" ref="CX38:CX48" si="58">(1.8*((((CW38-32)/1.8)-((-0.148759+((-0.267408+((1.08076+((1.269056+((-4.089591+((-1.871251+((7.438081+(-3.536296*(((CW38-32)/1.8)/630)))*(((CW38-32)/1.8)/630)))*(((CW38-32)/1.8)/630)))*(((CW38-32)/1.8)/630)))*(((CW38-32)/1.8)/630)))*(((CW38-32)/1.8)/630)))*(((CW38-32)/1.8)/630)))*(((CW38-32)/1.8)/630)))))+32</f>
        <v>32</v>
      </c>
      <c r="CY38" s="26"/>
      <c r="CZ38" s="28">
        <f t="shared" si="51"/>
        <v>0</v>
      </c>
      <c r="DA38" s="28">
        <f t="shared" si="52"/>
        <v>0</v>
      </c>
      <c r="DB38" s="34">
        <f>ROUND(CZ38,1)</f>
        <v>0</v>
      </c>
      <c r="DC38" s="32">
        <f t="shared" ref="DC38:DC48" si="59">DB38-((-0.148759+((-0.267408+((1.08076+((1.269056+((-4.089591+((-1.871251+((7.438081+(-3.536296*(DB38/630)))*(DB38/630)))*(DB38/630)))*(DB38/630)))*(DB38/630)))*(DB38/630)))*(DB38/630)))*(DB38/630))</f>
        <v>0</v>
      </c>
      <c r="DD38" s="35"/>
      <c r="DE38" s="28" t="e">
        <f t="shared" si="53"/>
        <v>#DIV/0!</v>
      </c>
      <c r="DF38" s="31" t="e">
        <f t="shared" si="54"/>
        <v>#DIV/0!</v>
      </c>
      <c r="DG38" s="32" t="e">
        <f>ROUND(DE38,1)</f>
        <v>#DIV/0!</v>
      </c>
      <c r="DH38" s="32" t="e">
        <f t="shared" ref="DH38:DH48" si="60">(141.5/(DG38+131.5))*999.016</f>
        <v>#DIV/0!</v>
      </c>
      <c r="DI38" s="32" t="e">
        <f t="shared" ref="DI38:DI48" si="61">DH38*(1+((EXP(((0.01374979547/2)*(((103.872/DH38)+0.2701)*(1/DH38)))*(1+(0.8*((0.01374979547/2)*(((103.872/DH38)+0.2701)*(1/DH38))))))-1)/(1+(((0.01374979547/2)*(((103.872/DH38)+0.2701)*(1/DH38)))*(1+(1.6*((0.01374979547/2)*(((103.872/DH38)+0.2701)*(1/DH38)))))*(((2*103.872)+(0.2701+DH38))/(103.872+(0.2701*DH38)))))))</f>
        <v>#DIV/0!</v>
      </c>
      <c r="DK38" s="38" t="e">
        <f t="shared" si="55"/>
        <v>#DIV/0!</v>
      </c>
      <c r="DL38" s="41" t="e">
        <f>ROUND(DK38*5,2)/5</f>
        <v>#DIV/0!</v>
      </c>
      <c r="DM38" s="38" t="e">
        <f>ROUND(DK38,4)</f>
        <v>#DIV/0!</v>
      </c>
      <c r="DN38" s="32" t="e">
        <f t="shared" ref="DN38:DN48" si="62">DM38*999.016</f>
        <v>#DIV/0!</v>
      </c>
      <c r="DO38" s="32" t="e">
        <f>DN38*(1+((EXP(((0.01374979547/2)*(((103.872/DN38)+0.2701)*(1/DN38)))*(1+(0.8*((0.01374979547/2)*(((103.872/DN38)+0.2701)*(1/DN38))))))-1)/(1+(((0.01374979547/2)*(((103.872/DN38)+0.2701)*(1/DN38)))*(1+(1.6*((0.01374979547/2)*(((103.872/DN38)+0.2701)*(1/DN38)))))*(((2*103.872)+(0.2701+DN38))/(103.872+(0.2701*DN38)))))))</f>
        <v>#DIV/0!</v>
      </c>
      <c r="DQ38" s="38">
        <f t="shared" si="56"/>
        <v>0</v>
      </c>
      <c r="DR38" s="29">
        <f>ROUND(DQ38*5,2)/5</f>
        <v>0</v>
      </c>
      <c r="DS38" s="38">
        <f>ROUND(DQ38,4)</f>
        <v>0</v>
      </c>
      <c r="DT38" s="32">
        <f t="shared" ref="DT38:DT48" si="63">DS38*1000</f>
        <v>0</v>
      </c>
      <c r="DU38" s="32" t="e">
        <f t="shared" ref="DU38:DU48" si="64">DT38*(1+((EXP(((0.01374979547/2)*(((186.9696/DT38)+0.4862)*(1/DT38)))*(1+(0.8*((0.01374979547/2)*(((186.9696/DT38)+0.4862)*(1/DT38))))))-1)/(1+(((0.01374979547/2)*(((186.9696/DT38)+0.4862)*(1/DT38)))*(1+(1.6*((0.01374979547/2)*(((186.9696/DT38)+0.4862)*(1/DT38)))))*(((2*186.9696)+(0.4862+DT38))/(186.9696+(0.4862*DT38)))))))</f>
        <v>#DIV/0!</v>
      </c>
      <c r="DW38" s="38" t="e">
        <f>ROUND(EXP(-((103.872/(((141.5/(DF38+131.5))*999.012)^2))+(0.2701/((141.5/(DF38+131.5))*999.012)))*(CV38-60)*(1+(0.8*((103.872/(((141.5/(DF38+131.5))*999.012)^2))+(0.2701/((141.5/(DF38+131.5))*999.012)))*(CV38-60)))),4)</f>
        <v>#DIV/0!</v>
      </c>
      <c r="DX38" s="42" t="e">
        <f>ROUND(EXP(-(((103.872/DI38)+0.2701)*(1/DI38))*(CX38-60.0068749)*(1+(0.8*(((103.872/DI38)+0.2701)*(1/DI38))*((CX38-60.0068749)+0.01374979547)))),5)</f>
        <v>#DIV/0!</v>
      </c>
      <c r="DY38" s="38" t="e">
        <f>ROUND(EXP(-((103.872/((DL38*999.012)^2))+(0.2701/(DL38*999.012)))*(CV38-60)*(1+(0.8*((103.872/((DL38*999.012)^2))+(0.2701/(DL38*999.012)))*(CV38-60)))),4)</f>
        <v>#DIV/0!</v>
      </c>
      <c r="DZ38" s="42" t="e">
        <f>ROUND(EXP(-(((103.872/DO38)+0.2701)*(1/DO38))*(CX38-60.0068749)*(1+(0.8*(((103.872/DO38)+0.2701)*(1/DO38))*((CX38-60.0068749)+0.01374979547)))),5)</f>
        <v>#DIV/0!</v>
      </c>
      <c r="EA38" s="38" t="e">
        <f>ROUND(EXP(-((186.9696/((DR38*1000)^2))+(0.4862/(DR38*1000)))*(DA38-15)*(1+(0.8*((186.9696/((DR38*1000)^2))+(0.4862/(DR38*1000)))*(DA38-15)))),4)</f>
        <v>#DIV/0!</v>
      </c>
      <c r="EB38" s="42" t="e">
        <f>ROUND(EXP(-((((186.9696/DU38)+0.4862)*(1/DU38)))*(DC38-15.00367851)*(1+(0.8*((((186.9696/DU38)+0.4862)*(1/DU38)))*((DC38-15.00367851)+0.01374979547)))),5)</f>
        <v>#DIV/0!</v>
      </c>
    </row>
    <row r="39" spans="1:132" ht="11.45" customHeight="1" x14ac:dyDescent="0.2">
      <c r="A39" s="346" t="str">
        <f t="shared" si="38"/>
        <v/>
      </c>
      <c r="B39" s="346"/>
      <c r="C39" s="346"/>
      <c r="D39" s="346"/>
      <c r="E39" s="346"/>
      <c r="F39" s="346"/>
      <c r="G39" s="346"/>
      <c r="H39" s="346"/>
      <c r="I39" s="318" t="str">
        <f t="shared" si="39"/>
        <v/>
      </c>
      <c r="J39" s="318"/>
      <c r="K39" s="318"/>
      <c r="L39" s="318"/>
      <c r="M39" s="318"/>
      <c r="N39" s="318"/>
      <c r="O39" s="318"/>
      <c r="P39" s="313"/>
      <c r="Q39" s="313"/>
      <c r="R39" s="313"/>
      <c r="S39" s="313"/>
      <c r="T39" s="313"/>
      <c r="U39" s="308" t="str">
        <f t="shared" si="40"/>
        <v/>
      </c>
      <c r="V39" s="308"/>
      <c r="W39" s="308"/>
      <c r="X39" s="308"/>
      <c r="Y39" s="308"/>
      <c r="Z39" s="308"/>
      <c r="AA39" s="308"/>
      <c r="AB39" s="308"/>
      <c r="AC39" s="309"/>
      <c r="AD39" s="308"/>
      <c r="AE39" s="308"/>
      <c r="AF39" s="308"/>
      <c r="AG39" s="308"/>
      <c r="AH39" s="308"/>
      <c r="AI39" s="308"/>
      <c r="AJ39" s="308"/>
      <c r="AK39" s="308"/>
      <c r="AL39" s="308"/>
      <c r="AM39" s="308"/>
      <c r="AN39" s="308"/>
      <c r="AO39" s="308"/>
      <c r="AP39" s="308"/>
      <c r="AQ39" s="308"/>
      <c r="AR39" s="308"/>
      <c r="AS39" s="308"/>
      <c r="AT39" s="308"/>
      <c r="AU39" s="308"/>
      <c r="AV39" s="308"/>
      <c r="AW39" s="308"/>
      <c r="AX39" s="308"/>
      <c r="AY39" s="312"/>
      <c r="AZ39" s="312"/>
      <c r="BA39" s="312"/>
      <c r="BB39" s="312"/>
      <c r="BC39" s="312"/>
      <c r="BD39" s="311" t="str">
        <f t="shared" si="57"/>
        <v/>
      </c>
      <c r="BE39" s="311"/>
      <c r="BF39" s="311"/>
      <c r="BG39" s="311"/>
      <c r="BH39" s="311"/>
      <c r="BI39" s="310" t="str">
        <f t="shared" si="41"/>
        <v/>
      </c>
      <c r="BJ39" s="310"/>
      <c r="BK39" s="310"/>
      <c r="BL39" s="310"/>
      <c r="BM39" s="310"/>
      <c r="BN39" s="311" t="str">
        <f t="shared" si="42"/>
        <v/>
      </c>
      <c r="BO39" s="311"/>
      <c r="BP39" s="311"/>
      <c r="BQ39" s="311"/>
      <c r="BR39" s="311"/>
      <c r="BS39" s="332" t="str">
        <f t="shared" si="43"/>
        <v/>
      </c>
      <c r="BT39" s="332"/>
      <c r="BU39" s="332"/>
      <c r="BV39" s="332"/>
      <c r="BW39" s="332"/>
      <c r="BX39" s="311" t="str">
        <f t="shared" si="44"/>
        <v/>
      </c>
      <c r="BY39" s="311"/>
      <c r="BZ39" s="311"/>
      <c r="CA39" s="311"/>
      <c r="CB39" s="311"/>
      <c r="CC39" s="311" t="str">
        <f t="shared" si="45"/>
        <v/>
      </c>
      <c r="CD39" s="311"/>
      <c r="CE39" s="311"/>
      <c r="CF39" s="311"/>
      <c r="CG39" s="311"/>
      <c r="CH39" s="55"/>
      <c r="CI39" s="323" t="s">
        <v>176</v>
      </c>
      <c r="CJ39" s="324"/>
      <c r="CK39" s="324"/>
      <c r="CL39" s="325"/>
      <c r="CN39" s="107" t="s">
        <v>56</v>
      </c>
      <c r="CP39" s="87">
        <f t="shared" si="46"/>
        <v>0</v>
      </c>
      <c r="CR39" s="28" t="e">
        <f t="shared" si="47"/>
        <v>#VALUE!</v>
      </c>
      <c r="CS39" s="29" t="str">
        <f t="shared" si="48"/>
        <v/>
      </c>
      <c r="CU39" s="28">
        <f t="shared" si="49"/>
        <v>32</v>
      </c>
      <c r="CV39" s="31">
        <f>ROUND(CU39*2,0)/2</f>
        <v>32</v>
      </c>
      <c r="CW39" s="32">
        <f t="shared" ref="CW39:CW47" si="65">ROUND(CU39,1)</f>
        <v>32</v>
      </c>
      <c r="CX39" s="32">
        <f t="shared" si="58"/>
        <v>32</v>
      </c>
      <c r="CY39" s="26"/>
      <c r="CZ39" s="28">
        <f t="shared" si="51"/>
        <v>0</v>
      </c>
      <c r="DA39" s="28">
        <f t="shared" si="52"/>
        <v>0</v>
      </c>
      <c r="DB39" s="34">
        <f t="shared" ref="DB39:DB47" si="66">ROUND(CZ39,1)</f>
        <v>0</v>
      </c>
      <c r="DC39" s="32">
        <f t="shared" si="59"/>
        <v>0</v>
      </c>
      <c r="DD39" s="35"/>
      <c r="DE39" s="28" t="e">
        <f t="shared" si="53"/>
        <v>#DIV/0!</v>
      </c>
      <c r="DF39" s="31" t="e">
        <f t="shared" si="54"/>
        <v>#DIV/0!</v>
      </c>
      <c r="DG39" s="32" t="e">
        <f t="shared" ref="DG39:DG47" si="67">ROUND(DE39,1)</f>
        <v>#DIV/0!</v>
      </c>
      <c r="DH39" s="32" t="e">
        <f t="shared" si="60"/>
        <v>#DIV/0!</v>
      </c>
      <c r="DI39" s="32" t="e">
        <f t="shared" si="61"/>
        <v>#DIV/0!</v>
      </c>
      <c r="DK39" s="38" t="e">
        <f t="shared" si="55"/>
        <v>#DIV/0!</v>
      </c>
      <c r="DL39" s="41" t="e">
        <f t="shared" ref="DL39:DL47" si="68">ROUND(DK39*5,2)/5</f>
        <v>#DIV/0!</v>
      </c>
      <c r="DM39" s="38" t="e">
        <f t="shared" ref="DM39:DM47" si="69">ROUND(DK39,4)</f>
        <v>#DIV/0!</v>
      </c>
      <c r="DN39" s="32" t="e">
        <f t="shared" si="62"/>
        <v>#DIV/0!</v>
      </c>
      <c r="DO39" s="32" t="e">
        <f t="shared" ref="DO39:DO47" si="70">DN39*(1+((EXP(((0.01374979547/2)*(((103.872/DN39)+0.2701)*(1/DN39)))*(1+(0.8*((0.01374979547/2)*(((103.872/DN39)+0.2701)*(1/DN39))))))-1)/(1+(((0.01374979547/2)*(((103.872/DN39)+0.2701)*(1/DN39)))*(1+(1.6*((0.01374979547/2)*(((103.872/DN39)+0.2701)*(1/DN39)))))*(((2*103.872)+(0.2701+DN39))/(103.872+(0.2701*DN39)))))))</f>
        <v>#DIV/0!</v>
      </c>
      <c r="DQ39" s="38">
        <f t="shared" si="56"/>
        <v>0</v>
      </c>
      <c r="DR39" s="29">
        <f t="shared" ref="DR39:DR47" si="71">ROUND(DQ39*5,2)/5</f>
        <v>0</v>
      </c>
      <c r="DS39" s="38">
        <f t="shared" ref="DS39:DS47" si="72">ROUND(DQ39,4)</f>
        <v>0</v>
      </c>
      <c r="DT39" s="32">
        <f t="shared" si="63"/>
        <v>0</v>
      </c>
      <c r="DU39" s="32" t="e">
        <f t="shared" si="64"/>
        <v>#DIV/0!</v>
      </c>
      <c r="DW39" s="38" t="e">
        <f t="shared" ref="DW39:DW47" si="73">ROUND(EXP(-((103.872/(((141.5/(DF39+131.5))*999.012)^2))+(0.2701/((141.5/(DF39+131.5))*999.012)))*(CV39-60)*(1+(0.8*((103.872/(((141.5/(DF39+131.5))*999.012)^2))+(0.2701/((141.5/(DF39+131.5))*999.012)))*(CV39-60)))),4)</f>
        <v>#DIV/0!</v>
      </c>
      <c r="DX39" s="42" t="e">
        <f t="shared" ref="DX39:DX47" si="74">ROUND(EXP(-(((103.872/DI39)+0.2701)*(1/DI39))*(CX39-60.0068749)*(1+(0.8*(((103.872/DI39)+0.2701)*(1/DI39))*((CX39-60.0068749)+0.01374979547)))),5)</f>
        <v>#DIV/0!</v>
      </c>
      <c r="DY39" s="38" t="e">
        <f t="shared" ref="DY39:DY47" si="75">ROUND(EXP(-((103.872/((DL39*999.012)^2))+(0.2701/(DL39*999.012)))*(CV39-60)*(1+(0.8*((103.872/((DL39*999.012)^2))+(0.2701/(DL39*999.012)))*(CV39-60)))),4)</f>
        <v>#DIV/0!</v>
      </c>
      <c r="DZ39" s="42" t="e">
        <f t="shared" ref="DZ39:DZ47" si="76">ROUND(EXP(-(((103.872/DO39)+0.2701)*(1/DO39))*(CX39-60.0068749)*(1+(0.8*(((103.872/DO39)+0.2701)*(1/DO39))*((CX39-60.0068749)+0.01374979547)))),5)</f>
        <v>#DIV/0!</v>
      </c>
      <c r="EA39" s="38" t="e">
        <f t="shared" ref="EA39:EA47" si="77">ROUND(EXP(-((186.9696/((DR39*1000)^2))+(0.4862/(DR39*1000)))*(DA39-15)*(1+(0.8*((186.9696/((DR39*1000)^2))+(0.4862/(DR39*1000)))*(DA39-15)))),4)</f>
        <v>#DIV/0!</v>
      </c>
      <c r="EB39" s="42" t="e">
        <f t="shared" ref="EB39:EB47" si="78">ROUND(EXP(-((((186.9696/DU39)+0.4862)*(1/DU39)))*(DC39-15.00367851)*(1+(0.8*((((186.9696/DU39)+0.4862)*(1/DU39)))*((DC39-15.00367851)+0.01374979547)))),5)</f>
        <v>#DIV/0!</v>
      </c>
    </row>
    <row r="40" spans="1:132" ht="11.45" customHeight="1" x14ac:dyDescent="0.2">
      <c r="A40" s="346" t="str">
        <f t="shared" si="38"/>
        <v/>
      </c>
      <c r="B40" s="346"/>
      <c r="C40" s="346"/>
      <c r="D40" s="346"/>
      <c r="E40" s="346"/>
      <c r="F40" s="346"/>
      <c r="G40" s="346"/>
      <c r="H40" s="346"/>
      <c r="I40" s="318" t="str">
        <f t="shared" si="39"/>
        <v/>
      </c>
      <c r="J40" s="318"/>
      <c r="K40" s="318"/>
      <c r="L40" s="318"/>
      <c r="M40" s="318"/>
      <c r="N40" s="318"/>
      <c r="O40" s="318"/>
      <c r="P40" s="313"/>
      <c r="Q40" s="313"/>
      <c r="R40" s="313"/>
      <c r="S40" s="313"/>
      <c r="T40" s="313"/>
      <c r="U40" s="308" t="str">
        <f t="shared" si="40"/>
        <v/>
      </c>
      <c r="V40" s="308"/>
      <c r="W40" s="308"/>
      <c r="X40" s="308"/>
      <c r="Y40" s="308"/>
      <c r="Z40" s="308"/>
      <c r="AA40" s="308"/>
      <c r="AB40" s="308"/>
      <c r="AC40" s="309"/>
      <c r="AD40" s="308"/>
      <c r="AE40" s="308"/>
      <c r="AF40" s="308"/>
      <c r="AG40" s="308"/>
      <c r="AH40" s="308"/>
      <c r="AI40" s="308"/>
      <c r="AJ40" s="308"/>
      <c r="AK40" s="308"/>
      <c r="AL40" s="308"/>
      <c r="AM40" s="308"/>
      <c r="AN40" s="308"/>
      <c r="AO40" s="308"/>
      <c r="AP40" s="308"/>
      <c r="AQ40" s="308"/>
      <c r="AR40" s="308"/>
      <c r="AS40" s="308"/>
      <c r="AT40" s="308"/>
      <c r="AU40" s="308"/>
      <c r="AV40" s="308"/>
      <c r="AW40" s="308"/>
      <c r="AX40" s="308"/>
      <c r="AY40" s="312"/>
      <c r="AZ40" s="312"/>
      <c r="BA40" s="312"/>
      <c r="BB40" s="312"/>
      <c r="BC40" s="312"/>
      <c r="BD40" s="311" t="str">
        <f t="shared" si="57"/>
        <v/>
      </c>
      <c r="BE40" s="311"/>
      <c r="BF40" s="311"/>
      <c r="BG40" s="311"/>
      <c r="BH40" s="311"/>
      <c r="BI40" s="310" t="str">
        <f t="shared" si="41"/>
        <v/>
      </c>
      <c r="BJ40" s="310"/>
      <c r="BK40" s="310"/>
      <c r="BL40" s="310"/>
      <c r="BM40" s="310"/>
      <c r="BN40" s="311" t="str">
        <f t="shared" si="42"/>
        <v/>
      </c>
      <c r="BO40" s="311"/>
      <c r="BP40" s="311"/>
      <c r="BQ40" s="311"/>
      <c r="BR40" s="311"/>
      <c r="BS40" s="332" t="str">
        <f t="shared" si="43"/>
        <v/>
      </c>
      <c r="BT40" s="332"/>
      <c r="BU40" s="332"/>
      <c r="BV40" s="332"/>
      <c r="BW40" s="332"/>
      <c r="BX40" s="311" t="str">
        <f t="shared" si="44"/>
        <v/>
      </c>
      <c r="BY40" s="311"/>
      <c r="BZ40" s="311"/>
      <c r="CA40" s="311"/>
      <c r="CB40" s="311"/>
      <c r="CC40" s="311" t="str">
        <f t="shared" si="45"/>
        <v/>
      </c>
      <c r="CD40" s="311"/>
      <c r="CE40" s="311"/>
      <c r="CF40" s="311"/>
      <c r="CG40" s="311"/>
      <c r="CH40" s="55"/>
      <c r="CI40" s="326"/>
      <c r="CJ40" s="327"/>
      <c r="CK40" s="327"/>
      <c r="CL40" s="328"/>
      <c r="CN40" s="2" t="s">
        <v>57</v>
      </c>
      <c r="CP40" s="87">
        <f t="shared" si="46"/>
        <v>0</v>
      </c>
      <c r="CR40" s="28" t="e">
        <f t="shared" si="47"/>
        <v>#VALUE!</v>
      </c>
      <c r="CS40" s="29" t="str">
        <f t="shared" si="48"/>
        <v/>
      </c>
      <c r="CU40" s="28">
        <f t="shared" si="49"/>
        <v>32</v>
      </c>
      <c r="CV40" s="31">
        <f t="shared" si="50"/>
        <v>32</v>
      </c>
      <c r="CW40" s="32">
        <f>ROUND(CU40,1)</f>
        <v>32</v>
      </c>
      <c r="CX40" s="32">
        <f>(1.8*((((CW40-32)/1.8)-((-0.148759+((-0.267408+((1.08076+((1.269056+((-4.089591+((-1.871251+((7.438081+(-3.536296*(((CW40-32)/1.8)/630)))*(((CW40-32)/1.8)/630)))*(((CW40-32)/1.8)/630)))*(((CW40-32)/1.8)/630)))*(((CW40-32)/1.8)/630)))*(((CW40-32)/1.8)/630)))*(((CW40-32)/1.8)/630)))*(((CW40-32)/1.8)/630)))))+32</f>
        <v>32</v>
      </c>
      <c r="CY40" s="26"/>
      <c r="CZ40" s="28">
        <f t="shared" si="51"/>
        <v>0</v>
      </c>
      <c r="DA40" s="28">
        <f t="shared" si="52"/>
        <v>0</v>
      </c>
      <c r="DB40" s="34">
        <f t="shared" si="66"/>
        <v>0</v>
      </c>
      <c r="DC40" s="32">
        <f t="shared" si="59"/>
        <v>0</v>
      </c>
      <c r="DD40" s="35"/>
      <c r="DE40" s="28" t="e">
        <f t="shared" si="53"/>
        <v>#DIV/0!</v>
      </c>
      <c r="DF40" s="31" t="e">
        <f t="shared" si="54"/>
        <v>#DIV/0!</v>
      </c>
      <c r="DG40" s="32" t="e">
        <f t="shared" si="67"/>
        <v>#DIV/0!</v>
      </c>
      <c r="DH40" s="32" t="e">
        <f t="shared" si="60"/>
        <v>#DIV/0!</v>
      </c>
      <c r="DI40" s="32" t="e">
        <f t="shared" si="61"/>
        <v>#DIV/0!</v>
      </c>
      <c r="DK40" s="38" t="e">
        <f t="shared" si="55"/>
        <v>#DIV/0!</v>
      </c>
      <c r="DL40" s="41" t="e">
        <f t="shared" si="68"/>
        <v>#DIV/0!</v>
      </c>
      <c r="DM40" s="38" t="e">
        <f t="shared" si="69"/>
        <v>#DIV/0!</v>
      </c>
      <c r="DN40" s="32" t="e">
        <f t="shared" si="62"/>
        <v>#DIV/0!</v>
      </c>
      <c r="DO40" s="32" t="e">
        <f t="shared" si="70"/>
        <v>#DIV/0!</v>
      </c>
      <c r="DQ40" s="38">
        <f t="shared" si="56"/>
        <v>0</v>
      </c>
      <c r="DR40" s="29">
        <f t="shared" si="71"/>
        <v>0</v>
      </c>
      <c r="DS40" s="38">
        <f t="shared" si="72"/>
        <v>0</v>
      </c>
      <c r="DT40" s="32">
        <f t="shared" si="63"/>
        <v>0</v>
      </c>
      <c r="DU40" s="32" t="e">
        <f t="shared" si="64"/>
        <v>#DIV/0!</v>
      </c>
      <c r="DW40" s="38" t="e">
        <f t="shared" si="73"/>
        <v>#DIV/0!</v>
      </c>
      <c r="DX40" s="42" t="e">
        <f t="shared" si="74"/>
        <v>#DIV/0!</v>
      </c>
      <c r="DY40" s="38" t="e">
        <f t="shared" si="75"/>
        <v>#DIV/0!</v>
      </c>
      <c r="DZ40" s="42" t="e">
        <f t="shared" si="76"/>
        <v>#DIV/0!</v>
      </c>
      <c r="EA40" s="38" t="e">
        <f t="shared" si="77"/>
        <v>#DIV/0!</v>
      </c>
      <c r="EB40" s="42" t="e">
        <f t="shared" si="78"/>
        <v>#DIV/0!</v>
      </c>
    </row>
    <row r="41" spans="1:132" ht="11.45" customHeight="1" x14ac:dyDescent="0.2">
      <c r="A41" s="346" t="str">
        <f t="shared" si="38"/>
        <v/>
      </c>
      <c r="B41" s="346"/>
      <c r="C41" s="346"/>
      <c r="D41" s="346"/>
      <c r="E41" s="346"/>
      <c r="F41" s="346"/>
      <c r="G41" s="346"/>
      <c r="H41" s="346"/>
      <c r="I41" s="318" t="str">
        <f t="shared" si="39"/>
        <v/>
      </c>
      <c r="J41" s="318"/>
      <c r="K41" s="318"/>
      <c r="L41" s="318"/>
      <c r="M41" s="318"/>
      <c r="N41" s="318"/>
      <c r="O41" s="318"/>
      <c r="P41" s="313"/>
      <c r="Q41" s="313"/>
      <c r="R41" s="313"/>
      <c r="S41" s="313"/>
      <c r="T41" s="313"/>
      <c r="U41" s="308" t="str">
        <f t="shared" si="40"/>
        <v/>
      </c>
      <c r="V41" s="308"/>
      <c r="W41" s="308"/>
      <c r="X41" s="308"/>
      <c r="Y41" s="308"/>
      <c r="Z41" s="308"/>
      <c r="AA41" s="308"/>
      <c r="AB41" s="308"/>
      <c r="AC41" s="309"/>
      <c r="AD41" s="308"/>
      <c r="AE41" s="308"/>
      <c r="AF41" s="308"/>
      <c r="AG41" s="308"/>
      <c r="AH41" s="308"/>
      <c r="AI41" s="308"/>
      <c r="AJ41" s="308"/>
      <c r="AK41" s="308"/>
      <c r="AL41" s="308"/>
      <c r="AM41" s="308"/>
      <c r="AN41" s="308"/>
      <c r="AO41" s="308"/>
      <c r="AP41" s="308"/>
      <c r="AQ41" s="308"/>
      <c r="AR41" s="308"/>
      <c r="AS41" s="308"/>
      <c r="AT41" s="308"/>
      <c r="AU41" s="308"/>
      <c r="AV41" s="308"/>
      <c r="AW41" s="308"/>
      <c r="AX41" s="308"/>
      <c r="AY41" s="312"/>
      <c r="AZ41" s="312"/>
      <c r="BA41" s="312"/>
      <c r="BB41" s="312"/>
      <c r="BC41" s="312"/>
      <c r="BD41" s="311" t="str">
        <f t="shared" si="57"/>
        <v/>
      </c>
      <c r="BE41" s="311"/>
      <c r="BF41" s="311"/>
      <c r="BG41" s="311"/>
      <c r="BH41" s="311"/>
      <c r="BI41" s="310" t="str">
        <f t="shared" si="41"/>
        <v/>
      </c>
      <c r="BJ41" s="310"/>
      <c r="BK41" s="310"/>
      <c r="BL41" s="310"/>
      <c r="BM41" s="310"/>
      <c r="BN41" s="311" t="str">
        <f t="shared" si="42"/>
        <v/>
      </c>
      <c r="BO41" s="311"/>
      <c r="BP41" s="311"/>
      <c r="BQ41" s="311"/>
      <c r="BR41" s="311"/>
      <c r="BS41" s="332" t="str">
        <f t="shared" si="43"/>
        <v/>
      </c>
      <c r="BT41" s="332"/>
      <c r="BU41" s="332"/>
      <c r="BV41" s="332"/>
      <c r="BW41" s="332"/>
      <c r="BX41" s="311" t="str">
        <f t="shared" si="44"/>
        <v/>
      </c>
      <c r="BY41" s="311"/>
      <c r="BZ41" s="311"/>
      <c r="CA41" s="311"/>
      <c r="CB41" s="311"/>
      <c r="CC41" s="311" t="str">
        <f t="shared" si="45"/>
        <v/>
      </c>
      <c r="CD41" s="311"/>
      <c r="CE41" s="311"/>
      <c r="CF41" s="311"/>
      <c r="CG41" s="311"/>
      <c r="CH41" s="55"/>
      <c r="CI41" s="108" t="s">
        <v>170</v>
      </c>
      <c r="CJ41" s="109"/>
      <c r="CK41" s="43" t="e">
        <f>AVERAGE(AY37:BC48)</f>
        <v>#DIV/0!</v>
      </c>
      <c r="CL41" s="21" t="s">
        <v>174</v>
      </c>
      <c r="CP41" s="87">
        <f t="shared" si="46"/>
        <v>0</v>
      </c>
      <c r="CR41" s="28" t="e">
        <f t="shared" si="47"/>
        <v>#VALUE!</v>
      </c>
      <c r="CS41" s="29" t="str">
        <f t="shared" si="48"/>
        <v/>
      </c>
      <c r="CU41" s="28">
        <f t="shared" si="49"/>
        <v>32</v>
      </c>
      <c r="CV41" s="31">
        <f t="shared" si="50"/>
        <v>32</v>
      </c>
      <c r="CW41" s="32">
        <f>ROUND(CU41,1)</f>
        <v>32</v>
      </c>
      <c r="CX41" s="32">
        <f t="shared" si="58"/>
        <v>32</v>
      </c>
      <c r="CY41" s="26"/>
      <c r="CZ41" s="28">
        <f t="shared" si="51"/>
        <v>0</v>
      </c>
      <c r="DA41" s="28">
        <f t="shared" si="52"/>
        <v>0</v>
      </c>
      <c r="DB41" s="34">
        <f>ROUND(CZ41,1)</f>
        <v>0</v>
      </c>
      <c r="DC41" s="32">
        <f t="shared" si="59"/>
        <v>0</v>
      </c>
      <c r="DD41" s="35"/>
      <c r="DE41" s="28" t="e">
        <f t="shared" si="53"/>
        <v>#DIV/0!</v>
      </c>
      <c r="DF41" s="31" t="e">
        <f>ROUND(DE41*2,0)/2</f>
        <v>#DIV/0!</v>
      </c>
      <c r="DG41" s="32" t="e">
        <f>ROUND(DE41,1)</f>
        <v>#DIV/0!</v>
      </c>
      <c r="DH41" s="32" t="e">
        <f t="shared" si="60"/>
        <v>#DIV/0!</v>
      </c>
      <c r="DI41" s="32" t="e">
        <f t="shared" si="61"/>
        <v>#DIV/0!</v>
      </c>
      <c r="DK41" s="38" t="e">
        <f t="shared" si="55"/>
        <v>#DIV/0!</v>
      </c>
      <c r="DL41" s="41" t="e">
        <f t="shared" si="68"/>
        <v>#DIV/0!</v>
      </c>
      <c r="DM41" s="38" t="e">
        <f>ROUND(DK41,4)</f>
        <v>#DIV/0!</v>
      </c>
      <c r="DN41" s="32" t="e">
        <f t="shared" si="62"/>
        <v>#DIV/0!</v>
      </c>
      <c r="DO41" s="32" t="e">
        <f t="shared" si="70"/>
        <v>#DIV/0!</v>
      </c>
      <c r="DQ41" s="38">
        <f t="shared" si="56"/>
        <v>0</v>
      </c>
      <c r="DR41" s="29">
        <f t="shared" si="71"/>
        <v>0</v>
      </c>
      <c r="DS41" s="38">
        <f>ROUND(DQ41,4)</f>
        <v>0</v>
      </c>
      <c r="DT41" s="32">
        <f t="shared" si="63"/>
        <v>0</v>
      </c>
      <c r="DU41" s="32" t="e">
        <f t="shared" si="64"/>
        <v>#DIV/0!</v>
      </c>
      <c r="DW41" s="38" t="e">
        <f>ROUND(EXP(-((103.872/(((141.5/(DF41+131.5))*999.012)^2))+(0.2701/((141.5/(DF41+131.5))*999.012)))*(CV41-60)*(1+(0.8*((103.872/(((141.5/(DF41+131.5))*999.012)^2))+(0.2701/((141.5/(DF41+131.5))*999.012)))*(CV41-60)))),4)</f>
        <v>#DIV/0!</v>
      </c>
      <c r="DX41" s="42" t="e">
        <f>ROUND(EXP(-(((103.872/DI41)+0.2701)*(1/DI41))*(CX41-60.0068749)*(1+(0.8*(((103.872/DI41)+0.2701)*(1/DI41))*((CX41-60.0068749)+0.01374979547)))),5)</f>
        <v>#DIV/0!</v>
      </c>
      <c r="DY41" s="38" t="e">
        <f>ROUND(EXP(-((103.872/((DL41*999.012)^2))+(0.2701/(DL41*999.012)))*(CV41-60)*(1+(0.8*((103.872/((DL41*999.012)^2))+(0.2701/(DL41*999.012)))*(CV41-60)))),4)</f>
        <v>#DIV/0!</v>
      </c>
      <c r="DZ41" s="42" t="e">
        <f>ROUND(EXP(-(((103.872/DO41)+0.2701)*(1/DO41))*(CX41-60.0068749)*(1+(0.8*(((103.872/DO41)+0.2701)*(1/DO41))*((CX41-60.0068749)+0.01374979547)))),5)</f>
        <v>#DIV/0!</v>
      </c>
      <c r="EA41" s="38" t="e">
        <f>ROUND(EXP(-((186.9696/((DR41*1000)^2))+(0.4862/(DR41*1000)))*(DA41-15)*(1+(0.8*((186.9696/((DR41*1000)^2))+(0.4862/(DR41*1000)))*(DA41-15)))),4)</f>
        <v>#DIV/0!</v>
      </c>
      <c r="EB41" s="42" t="e">
        <f>ROUND(EXP(-((((186.9696/DU41)+0.4862)*(1/DU41)))*(DC41-15.00367851)*(1+(0.8*((((186.9696/DU41)+0.4862)*(1/DU41)))*((DC41-15.00367851)+0.01374979547)))),5)</f>
        <v>#DIV/0!</v>
      </c>
    </row>
    <row r="42" spans="1:132" ht="11.45" customHeight="1" x14ac:dyDescent="0.2">
      <c r="A42" s="346" t="str">
        <f t="shared" si="38"/>
        <v/>
      </c>
      <c r="B42" s="346"/>
      <c r="C42" s="346"/>
      <c r="D42" s="346"/>
      <c r="E42" s="346"/>
      <c r="F42" s="346"/>
      <c r="G42" s="346"/>
      <c r="H42" s="346"/>
      <c r="I42" s="318" t="str">
        <f t="shared" si="39"/>
        <v/>
      </c>
      <c r="J42" s="318"/>
      <c r="K42" s="318"/>
      <c r="L42" s="318"/>
      <c r="M42" s="318"/>
      <c r="N42" s="318"/>
      <c r="O42" s="318"/>
      <c r="P42" s="313"/>
      <c r="Q42" s="313"/>
      <c r="R42" s="313"/>
      <c r="S42" s="313"/>
      <c r="T42" s="313"/>
      <c r="U42" s="308" t="str">
        <f t="shared" si="40"/>
        <v/>
      </c>
      <c r="V42" s="308"/>
      <c r="W42" s="308"/>
      <c r="X42" s="308"/>
      <c r="Y42" s="308"/>
      <c r="Z42" s="308"/>
      <c r="AA42" s="308"/>
      <c r="AB42" s="308"/>
      <c r="AC42" s="309"/>
      <c r="AD42" s="308"/>
      <c r="AE42" s="308"/>
      <c r="AF42" s="308"/>
      <c r="AG42" s="308"/>
      <c r="AH42" s="308"/>
      <c r="AI42" s="308"/>
      <c r="AJ42" s="308"/>
      <c r="AK42" s="308"/>
      <c r="AL42" s="308"/>
      <c r="AM42" s="308"/>
      <c r="AN42" s="308"/>
      <c r="AO42" s="308"/>
      <c r="AP42" s="308"/>
      <c r="AQ42" s="308"/>
      <c r="AR42" s="308"/>
      <c r="AS42" s="308"/>
      <c r="AT42" s="308"/>
      <c r="AU42" s="308"/>
      <c r="AV42" s="308"/>
      <c r="AW42" s="308"/>
      <c r="AX42" s="308"/>
      <c r="AY42" s="312"/>
      <c r="AZ42" s="312"/>
      <c r="BA42" s="312"/>
      <c r="BB42" s="312"/>
      <c r="BC42" s="312"/>
      <c r="BD42" s="311" t="str">
        <f t="shared" si="57"/>
        <v/>
      </c>
      <c r="BE42" s="311"/>
      <c r="BF42" s="311"/>
      <c r="BG42" s="311"/>
      <c r="BH42" s="311"/>
      <c r="BI42" s="310" t="str">
        <f t="shared" si="41"/>
        <v/>
      </c>
      <c r="BJ42" s="310"/>
      <c r="BK42" s="310"/>
      <c r="BL42" s="310"/>
      <c r="BM42" s="310"/>
      <c r="BN42" s="311" t="str">
        <f t="shared" si="42"/>
        <v/>
      </c>
      <c r="BO42" s="311"/>
      <c r="BP42" s="311"/>
      <c r="BQ42" s="311"/>
      <c r="BR42" s="311"/>
      <c r="BS42" s="332" t="str">
        <f t="shared" si="43"/>
        <v/>
      </c>
      <c r="BT42" s="332"/>
      <c r="BU42" s="332"/>
      <c r="BV42" s="332"/>
      <c r="BW42" s="332"/>
      <c r="BX42" s="311" t="str">
        <f t="shared" si="44"/>
        <v/>
      </c>
      <c r="BY42" s="311"/>
      <c r="BZ42" s="311"/>
      <c r="CA42" s="311"/>
      <c r="CB42" s="311"/>
      <c r="CC42" s="311" t="str">
        <f t="shared" si="45"/>
        <v/>
      </c>
      <c r="CD42" s="311"/>
      <c r="CE42" s="311"/>
      <c r="CF42" s="311"/>
      <c r="CG42" s="311"/>
      <c r="CH42" s="55"/>
      <c r="CI42" s="9" t="s">
        <v>171</v>
      </c>
      <c r="CJ42" s="10"/>
      <c r="CK42" s="44" t="e">
        <f>SUM(CP37:CP48)/BD49</f>
        <v>#VALUE!</v>
      </c>
      <c r="CL42" s="11" t="s">
        <v>174</v>
      </c>
      <c r="CP42" s="87">
        <f t="shared" si="46"/>
        <v>0</v>
      </c>
      <c r="CR42" s="28" t="e">
        <f t="shared" si="47"/>
        <v>#VALUE!</v>
      </c>
      <c r="CS42" s="29" t="str">
        <f t="shared" si="48"/>
        <v/>
      </c>
      <c r="CU42" s="28">
        <f t="shared" si="49"/>
        <v>32</v>
      </c>
      <c r="CV42" s="31">
        <f t="shared" si="50"/>
        <v>32</v>
      </c>
      <c r="CW42" s="32">
        <f>ROUND(CU42,1)</f>
        <v>32</v>
      </c>
      <c r="CX42" s="32">
        <f t="shared" si="58"/>
        <v>32</v>
      </c>
      <c r="CY42" s="26"/>
      <c r="CZ42" s="28">
        <f t="shared" si="51"/>
        <v>0</v>
      </c>
      <c r="DA42" s="28">
        <f t="shared" si="52"/>
        <v>0</v>
      </c>
      <c r="DB42" s="34">
        <f>ROUND(CZ42,1)</f>
        <v>0</v>
      </c>
      <c r="DC42" s="32">
        <f t="shared" si="59"/>
        <v>0</v>
      </c>
      <c r="DD42" s="35"/>
      <c r="DE42" s="28" t="e">
        <f t="shared" si="53"/>
        <v>#DIV/0!</v>
      </c>
      <c r="DF42" s="31" t="e">
        <f t="shared" si="54"/>
        <v>#DIV/0!</v>
      </c>
      <c r="DG42" s="32" t="e">
        <f>ROUND(DE42,1)</f>
        <v>#DIV/0!</v>
      </c>
      <c r="DH42" s="32" t="e">
        <f t="shared" si="60"/>
        <v>#DIV/0!</v>
      </c>
      <c r="DI42" s="32" t="e">
        <f t="shared" si="61"/>
        <v>#DIV/0!</v>
      </c>
      <c r="DK42" s="38" t="e">
        <f t="shared" si="55"/>
        <v>#DIV/0!</v>
      </c>
      <c r="DL42" s="41" t="e">
        <f t="shared" si="68"/>
        <v>#DIV/0!</v>
      </c>
      <c r="DM42" s="38" t="e">
        <f>ROUND(DK42,4)</f>
        <v>#DIV/0!</v>
      </c>
      <c r="DN42" s="32" t="e">
        <f t="shared" si="62"/>
        <v>#DIV/0!</v>
      </c>
      <c r="DO42" s="32" t="e">
        <f t="shared" si="70"/>
        <v>#DIV/0!</v>
      </c>
      <c r="DQ42" s="38">
        <f t="shared" si="56"/>
        <v>0</v>
      </c>
      <c r="DR42" s="29">
        <f t="shared" si="71"/>
        <v>0</v>
      </c>
      <c r="DS42" s="38">
        <f>ROUND(DQ42,4)</f>
        <v>0</v>
      </c>
      <c r="DT42" s="32">
        <f t="shared" si="63"/>
        <v>0</v>
      </c>
      <c r="DU42" s="32" t="e">
        <f t="shared" si="64"/>
        <v>#DIV/0!</v>
      </c>
      <c r="DW42" s="38" t="e">
        <f>ROUND(EXP(-((103.872/(((141.5/(DF42+131.5))*999.012)^2))+(0.2701/((141.5/(DF42+131.5))*999.012)))*(CV42-60)*(1+(0.8*((103.872/(((141.5/(DF42+131.5))*999.012)^2))+(0.2701/((141.5/(DF42+131.5))*999.012)))*(CV42-60)))),4)</f>
        <v>#DIV/0!</v>
      </c>
      <c r="DX42" s="42" t="e">
        <f>ROUND(EXP(-(((103.872/DI42)+0.2701)*(1/DI42))*(CX42-60.0068749)*(1+(0.8*(((103.872/DI42)+0.2701)*(1/DI42))*((CX42-60.0068749)+0.01374979547)))),5)</f>
        <v>#DIV/0!</v>
      </c>
      <c r="DY42" s="38" t="e">
        <f>ROUND(EXP(-((103.872/((DL42*999.012)^2))+(0.2701/(DL42*999.012)))*(CV42-60)*(1+(0.8*((103.872/((DL42*999.012)^2))+(0.2701/(DL42*999.012)))*(CV42-60)))),4)</f>
        <v>#DIV/0!</v>
      </c>
      <c r="DZ42" s="42" t="e">
        <f>ROUND(EXP(-(((103.872/DO42)+0.2701)*(1/DO42))*(CX42-60.0068749)*(1+(0.8*(((103.872/DO42)+0.2701)*(1/DO42))*((CX42-60.0068749)+0.01374979547)))),5)</f>
        <v>#DIV/0!</v>
      </c>
      <c r="EA42" s="38" t="e">
        <f>ROUND(EXP(-((186.9696/((DR42*1000)^2))+(0.4862/(DR42*1000)))*(DA42-15)*(1+(0.8*((186.9696/((DR42*1000)^2))+(0.4862/(DR42*1000)))*(DA42-15)))),4)</f>
        <v>#DIV/0!</v>
      </c>
      <c r="EB42" s="42" t="e">
        <f>ROUND(EXP(-((((186.9696/DU42)+0.4862)*(1/DU42)))*(DC42-15.00367851)*(1+(0.8*((((186.9696/DU42)+0.4862)*(1/DU42)))*((DC42-15.00367851)+0.01374979547)))),5)</f>
        <v>#DIV/0!</v>
      </c>
    </row>
    <row r="43" spans="1:132" ht="11.45" customHeight="1" x14ac:dyDescent="0.2">
      <c r="A43" s="346" t="str">
        <f t="shared" si="38"/>
        <v/>
      </c>
      <c r="B43" s="346"/>
      <c r="C43" s="346"/>
      <c r="D43" s="346"/>
      <c r="E43" s="346"/>
      <c r="F43" s="346"/>
      <c r="G43" s="346"/>
      <c r="H43" s="346"/>
      <c r="I43" s="318" t="str">
        <f t="shared" si="39"/>
        <v/>
      </c>
      <c r="J43" s="318"/>
      <c r="K43" s="318"/>
      <c r="L43" s="318"/>
      <c r="M43" s="318"/>
      <c r="N43" s="318"/>
      <c r="O43" s="318"/>
      <c r="P43" s="313"/>
      <c r="Q43" s="313"/>
      <c r="R43" s="313"/>
      <c r="S43" s="313"/>
      <c r="T43" s="313"/>
      <c r="U43" s="308" t="str">
        <f t="shared" si="40"/>
        <v/>
      </c>
      <c r="V43" s="308"/>
      <c r="W43" s="308"/>
      <c r="X43" s="308"/>
      <c r="Y43" s="308"/>
      <c r="Z43" s="308"/>
      <c r="AA43" s="308"/>
      <c r="AB43" s="308"/>
      <c r="AC43" s="309"/>
      <c r="AD43" s="308"/>
      <c r="AE43" s="308"/>
      <c r="AF43" s="308"/>
      <c r="AG43" s="308"/>
      <c r="AH43" s="308"/>
      <c r="AI43" s="308"/>
      <c r="AJ43" s="308"/>
      <c r="AK43" s="308"/>
      <c r="AL43" s="308"/>
      <c r="AM43" s="308"/>
      <c r="AN43" s="308"/>
      <c r="AO43" s="308"/>
      <c r="AP43" s="308"/>
      <c r="AQ43" s="308"/>
      <c r="AR43" s="308"/>
      <c r="AS43" s="308"/>
      <c r="AT43" s="308"/>
      <c r="AU43" s="308"/>
      <c r="AV43" s="308"/>
      <c r="AW43" s="308"/>
      <c r="AX43" s="308"/>
      <c r="AY43" s="312"/>
      <c r="AZ43" s="312"/>
      <c r="BA43" s="312"/>
      <c r="BB43" s="312"/>
      <c r="BC43" s="312"/>
      <c r="BD43" s="311" t="str">
        <f t="shared" si="57"/>
        <v/>
      </c>
      <c r="BE43" s="311"/>
      <c r="BF43" s="311"/>
      <c r="BG43" s="311"/>
      <c r="BH43" s="311"/>
      <c r="BI43" s="310" t="str">
        <f t="shared" si="41"/>
        <v/>
      </c>
      <c r="BJ43" s="310"/>
      <c r="BK43" s="310"/>
      <c r="BL43" s="310"/>
      <c r="BM43" s="310"/>
      <c r="BN43" s="311" t="str">
        <f t="shared" si="42"/>
        <v/>
      </c>
      <c r="BO43" s="311"/>
      <c r="BP43" s="311"/>
      <c r="BQ43" s="311"/>
      <c r="BR43" s="311"/>
      <c r="BS43" s="332" t="str">
        <f t="shared" si="43"/>
        <v/>
      </c>
      <c r="BT43" s="332"/>
      <c r="BU43" s="332"/>
      <c r="BV43" s="332"/>
      <c r="BW43" s="332"/>
      <c r="BX43" s="311" t="str">
        <f t="shared" si="44"/>
        <v/>
      </c>
      <c r="BY43" s="311"/>
      <c r="BZ43" s="311"/>
      <c r="CA43" s="311"/>
      <c r="CB43" s="311"/>
      <c r="CC43" s="311" t="str">
        <f t="shared" si="45"/>
        <v/>
      </c>
      <c r="CD43" s="311"/>
      <c r="CE43" s="311"/>
      <c r="CF43" s="311"/>
      <c r="CG43" s="311"/>
      <c r="CH43" s="55"/>
      <c r="CN43" s="1" t="s">
        <v>219</v>
      </c>
      <c r="CP43" s="87">
        <f t="shared" si="46"/>
        <v>0</v>
      </c>
      <c r="CR43" s="28" t="e">
        <f t="shared" si="47"/>
        <v>#VALUE!</v>
      </c>
      <c r="CS43" s="29" t="str">
        <f t="shared" si="48"/>
        <v/>
      </c>
      <c r="CU43" s="28">
        <f t="shared" si="49"/>
        <v>32</v>
      </c>
      <c r="CV43" s="31">
        <f t="shared" si="50"/>
        <v>32</v>
      </c>
      <c r="CW43" s="32">
        <f t="shared" si="65"/>
        <v>32</v>
      </c>
      <c r="CX43" s="32">
        <f t="shared" si="58"/>
        <v>32</v>
      </c>
      <c r="CY43" s="26"/>
      <c r="CZ43" s="28">
        <f t="shared" si="51"/>
        <v>0</v>
      </c>
      <c r="DA43" s="28">
        <f t="shared" si="52"/>
        <v>0</v>
      </c>
      <c r="DB43" s="34">
        <f t="shared" si="66"/>
        <v>0</v>
      </c>
      <c r="DC43" s="32">
        <f t="shared" si="59"/>
        <v>0</v>
      </c>
      <c r="DD43" s="35"/>
      <c r="DE43" s="28" t="e">
        <f t="shared" si="53"/>
        <v>#DIV/0!</v>
      </c>
      <c r="DF43" s="31" t="e">
        <f>ROUND(DE43*2,0)/2</f>
        <v>#DIV/0!</v>
      </c>
      <c r="DG43" s="32" t="e">
        <f t="shared" si="67"/>
        <v>#DIV/0!</v>
      </c>
      <c r="DH43" s="32" t="e">
        <f t="shared" si="60"/>
        <v>#DIV/0!</v>
      </c>
      <c r="DI43" s="32" t="e">
        <f t="shared" si="61"/>
        <v>#DIV/0!</v>
      </c>
      <c r="DK43" s="38" t="e">
        <f t="shared" si="55"/>
        <v>#DIV/0!</v>
      </c>
      <c r="DL43" s="41" t="e">
        <f t="shared" si="68"/>
        <v>#DIV/0!</v>
      </c>
      <c r="DM43" s="38" t="e">
        <f t="shared" si="69"/>
        <v>#DIV/0!</v>
      </c>
      <c r="DN43" s="32" t="e">
        <f t="shared" si="62"/>
        <v>#DIV/0!</v>
      </c>
      <c r="DO43" s="32" t="e">
        <f t="shared" si="70"/>
        <v>#DIV/0!</v>
      </c>
      <c r="DQ43" s="38">
        <f t="shared" si="56"/>
        <v>0</v>
      </c>
      <c r="DR43" s="29">
        <f t="shared" si="71"/>
        <v>0</v>
      </c>
      <c r="DS43" s="38">
        <f t="shared" si="72"/>
        <v>0</v>
      </c>
      <c r="DT43" s="32">
        <f t="shared" si="63"/>
        <v>0</v>
      </c>
      <c r="DU43" s="32" t="e">
        <f t="shared" si="64"/>
        <v>#DIV/0!</v>
      </c>
      <c r="DW43" s="38" t="e">
        <f t="shared" si="73"/>
        <v>#DIV/0!</v>
      </c>
      <c r="DX43" s="42" t="e">
        <f t="shared" si="74"/>
        <v>#DIV/0!</v>
      </c>
      <c r="DY43" s="38" t="e">
        <f t="shared" si="75"/>
        <v>#DIV/0!</v>
      </c>
      <c r="DZ43" s="42" t="e">
        <f t="shared" si="76"/>
        <v>#DIV/0!</v>
      </c>
      <c r="EA43" s="38" t="e">
        <f t="shared" si="77"/>
        <v>#DIV/0!</v>
      </c>
      <c r="EB43" s="42" t="e">
        <f t="shared" si="78"/>
        <v>#DIV/0!</v>
      </c>
    </row>
    <row r="44" spans="1:132" ht="11.45" customHeight="1" x14ac:dyDescent="0.2">
      <c r="A44" s="346" t="str">
        <f t="shared" si="38"/>
        <v/>
      </c>
      <c r="B44" s="346"/>
      <c r="C44" s="346"/>
      <c r="D44" s="346"/>
      <c r="E44" s="346"/>
      <c r="F44" s="346"/>
      <c r="G44" s="346"/>
      <c r="H44" s="346"/>
      <c r="I44" s="318" t="str">
        <f t="shared" si="39"/>
        <v/>
      </c>
      <c r="J44" s="318"/>
      <c r="K44" s="318"/>
      <c r="L44" s="318"/>
      <c r="M44" s="318"/>
      <c r="N44" s="318"/>
      <c r="O44" s="318"/>
      <c r="P44" s="313"/>
      <c r="Q44" s="313"/>
      <c r="R44" s="313"/>
      <c r="S44" s="313"/>
      <c r="T44" s="313"/>
      <c r="U44" s="308" t="str">
        <f t="shared" si="40"/>
        <v/>
      </c>
      <c r="V44" s="308"/>
      <c r="W44" s="308"/>
      <c r="X44" s="308"/>
      <c r="Y44" s="308"/>
      <c r="Z44" s="308"/>
      <c r="AA44" s="308"/>
      <c r="AB44" s="308"/>
      <c r="AC44" s="309"/>
      <c r="AD44" s="308"/>
      <c r="AE44" s="308"/>
      <c r="AF44" s="308"/>
      <c r="AG44" s="308"/>
      <c r="AH44" s="308"/>
      <c r="AI44" s="308"/>
      <c r="AJ44" s="308"/>
      <c r="AK44" s="308"/>
      <c r="AL44" s="308"/>
      <c r="AM44" s="308"/>
      <c r="AN44" s="308"/>
      <c r="AO44" s="308"/>
      <c r="AP44" s="308"/>
      <c r="AQ44" s="308"/>
      <c r="AR44" s="308"/>
      <c r="AS44" s="308"/>
      <c r="AT44" s="308"/>
      <c r="AU44" s="308"/>
      <c r="AV44" s="308"/>
      <c r="AW44" s="308"/>
      <c r="AX44" s="308"/>
      <c r="AY44" s="312"/>
      <c r="AZ44" s="312"/>
      <c r="BA44" s="312"/>
      <c r="BB44" s="312"/>
      <c r="BC44" s="312"/>
      <c r="BD44" s="311" t="str">
        <f t="shared" si="57"/>
        <v/>
      </c>
      <c r="BE44" s="311"/>
      <c r="BF44" s="311"/>
      <c r="BG44" s="311"/>
      <c r="BH44" s="311"/>
      <c r="BI44" s="310" t="str">
        <f t="shared" si="41"/>
        <v/>
      </c>
      <c r="BJ44" s="310"/>
      <c r="BK44" s="310"/>
      <c r="BL44" s="310"/>
      <c r="BM44" s="310"/>
      <c r="BN44" s="311" t="str">
        <f t="shared" si="42"/>
        <v/>
      </c>
      <c r="BO44" s="311"/>
      <c r="BP44" s="311"/>
      <c r="BQ44" s="311"/>
      <c r="BR44" s="311"/>
      <c r="BS44" s="332" t="str">
        <f t="shared" si="43"/>
        <v/>
      </c>
      <c r="BT44" s="332"/>
      <c r="BU44" s="332"/>
      <c r="BV44" s="332"/>
      <c r="BW44" s="332"/>
      <c r="BX44" s="311" t="str">
        <f t="shared" si="44"/>
        <v/>
      </c>
      <c r="BY44" s="311"/>
      <c r="BZ44" s="311"/>
      <c r="CA44" s="311"/>
      <c r="CB44" s="311"/>
      <c r="CC44" s="311" t="str">
        <f t="shared" si="45"/>
        <v/>
      </c>
      <c r="CD44" s="311"/>
      <c r="CE44" s="311"/>
      <c r="CF44" s="311"/>
      <c r="CG44" s="311"/>
      <c r="CH44" s="55"/>
      <c r="CI44" s="323" t="s">
        <v>511</v>
      </c>
      <c r="CJ44" s="324"/>
      <c r="CK44" s="324"/>
      <c r="CL44" s="325"/>
      <c r="CN44" s="107" t="s">
        <v>199</v>
      </c>
      <c r="CP44" s="87">
        <f t="shared" si="46"/>
        <v>0</v>
      </c>
      <c r="CR44" s="28" t="e">
        <f t="shared" si="47"/>
        <v>#VALUE!</v>
      </c>
      <c r="CS44" s="29" t="str">
        <f t="shared" si="48"/>
        <v/>
      </c>
      <c r="CU44" s="28">
        <f t="shared" si="49"/>
        <v>32</v>
      </c>
      <c r="CV44" s="31">
        <f t="shared" si="50"/>
        <v>32</v>
      </c>
      <c r="CW44" s="32">
        <f t="shared" si="65"/>
        <v>32</v>
      </c>
      <c r="CX44" s="32">
        <f t="shared" si="58"/>
        <v>32</v>
      </c>
      <c r="CY44" s="26"/>
      <c r="CZ44" s="28">
        <f t="shared" si="51"/>
        <v>0</v>
      </c>
      <c r="DA44" s="28">
        <f t="shared" si="52"/>
        <v>0</v>
      </c>
      <c r="DB44" s="34">
        <f t="shared" si="66"/>
        <v>0</v>
      </c>
      <c r="DC44" s="32">
        <f t="shared" si="59"/>
        <v>0</v>
      </c>
      <c r="DD44" s="35"/>
      <c r="DE44" s="28" t="e">
        <f t="shared" si="53"/>
        <v>#DIV/0!</v>
      </c>
      <c r="DF44" s="31" t="e">
        <f t="shared" si="54"/>
        <v>#DIV/0!</v>
      </c>
      <c r="DG44" s="32" t="e">
        <f t="shared" si="67"/>
        <v>#DIV/0!</v>
      </c>
      <c r="DH44" s="32" t="e">
        <f t="shared" si="60"/>
        <v>#DIV/0!</v>
      </c>
      <c r="DI44" s="32" t="e">
        <f t="shared" si="61"/>
        <v>#DIV/0!</v>
      </c>
      <c r="DK44" s="38" t="e">
        <f t="shared" si="55"/>
        <v>#DIV/0!</v>
      </c>
      <c r="DL44" s="41" t="e">
        <f t="shared" si="68"/>
        <v>#DIV/0!</v>
      </c>
      <c r="DM44" s="38" t="e">
        <f t="shared" si="69"/>
        <v>#DIV/0!</v>
      </c>
      <c r="DN44" s="32" t="e">
        <f t="shared" si="62"/>
        <v>#DIV/0!</v>
      </c>
      <c r="DO44" s="32" t="e">
        <f t="shared" si="70"/>
        <v>#DIV/0!</v>
      </c>
      <c r="DQ44" s="38">
        <f t="shared" si="56"/>
        <v>0</v>
      </c>
      <c r="DR44" s="29">
        <f t="shared" si="71"/>
        <v>0</v>
      </c>
      <c r="DS44" s="38">
        <f t="shared" si="72"/>
        <v>0</v>
      </c>
      <c r="DT44" s="32">
        <f t="shared" si="63"/>
        <v>0</v>
      </c>
      <c r="DU44" s="32" t="e">
        <f t="shared" si="64"/>
        <v>#DIV/0!</v>
      </c>
      <c r="DW44" s="38" t="e">
        <f t="shared" si="73"/>
        <v>#DIV/0!</v>
      </c>
      <c r="DX44" s="42" t="e">
        <f t="shared" si="74"/>
        <v>#DIV/0!</v>
      </c>
      <c r="DY44" s="38" t="e">
        <f t="shared" si="75"/>
        <v>#DIV/0!</v>
      </c>
      <c r="DZ44" s="42" t="e">
        <f t="shared" si="76"/>
        <v>#DIV/0!</v>
      </c>
      <c r="EA44" s="38" t="e">
        <f t="shared" si="77"/>
        <v>#DIV/0!</v>
      </c>
      <c r="EB44" s="42" t="e">
        <f t="shared" si="78"/>
        <v>#DIV/0!</v>
      </c>
    </row>
    <row r="45" spans="1:132" ht="11.45" customHeight="1" x14ac:dyDescent="0.2">
      <c r="A45" s="346" t="str">
        <f t="shared" si="38"/>
        <v/>
      </c>
      <c r="B45" s="346"/>
      <c r="C45" s="346"/>
      <c r="D45" s="346"/>
      <c r="E45" s="346"/>
      <c r="F45" s="346"/>
      <c r="G45" s="346"/>
      <c r="H45" s="346"/>
      <c r="I45" s="318" t="str">
        <f t="shared" si="39"/>
        <v/>
      </c>
      <c r="J45" s="318"/>
      <c r="K45" s="318"/>
      <c r="L45" s="318"/>
      <c r="M45" s="318"/>
      <c r="N45" s="318"/>
      <c r="O45" s="318"/>
      <c r="P45" s="313"/>
      <c r="Q45" s="313"/>
      <c r="R45" s="313"/>
      <c r="S45" s="313"/>
      <c r="T45" s="313"/>
      <c r="U45" s="308" t="str">
        <f t="shared" si="40"/>
        <v/>
      </c>
      <c r="V45" s="308"/>
      <c r="W45" s="308"/>
      <c r="X45" s="308"/>
      <c r="Y45" s="308"/>
      <c r="Z45" s="308"/>
      <c r="AA45" s="308"/>
      <c r="AB45" s="308"/>
      <c r="AC45" s="309"/>
      <c r="AD45" s="308"/>
      <c r="AE45" s="308"/>
      <c r="AF45" s="308"/>
      <c r="AG45" s="308"/>
      <c r="AH45" s="308"/>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t="str">
        <f t="shared" si="57"/>
        <v/>
      </c>
      <c r="BE45" s="311"/>
      <c r="BF45" s="311"/>
      <c r="BG45" s="311"/>
      <c r="BH45" s="311"/>
      <c r="BI45" s="310" t="str">
        <f t="shared" si="41"/>
        <v/>
      </c>
      <c r="BJ45" s="310"/>
      <c r="BK45" s="310"/>
      <c r="BL45" s="310"/>
      <c r="BM45" s="310"/>
      <c r="BN45" s="311" t="str">
        <f>IF(OR(BD45="",BI45=""),"",BD45*BI45)</f>
        <v/>
      </c>
      <c r="BO45" s="311"/>
      <c r="BP45" s="311"/>
      <c r="BQ45" s="311"/>
      <c r="BR45" s="311"/>
      <c r="BS45" s="332" t="str">
        <f t="shared" si="43"/>
        <v/>
      </c>
      <c r="BT45" s="332"/>
      <c r="BU45" s="332"/>
      <c r="BV45" s="332"/>
      <c r="BW45" s="332"/>
      <c r="BX45" s="311" t="str">
        <f t="shared" si="44"/>
        <v/>
      </c>
      <c r="BY45" s="311"/>
      <c r="BZ45" s="311"/>
      <c r="CA45" s="311"/>
      <c r="CB45" s="311"/>
      <c r="CC45" s="311" t="str">
        <f t="shared" si="45"/>
        <v/>
      </c>
      <c r="CD45" s="311"/>
      <c r="CE45" s="311"/>
      <c r="CF45" s="311"/>
      <c r="CG45" s="311"/>
      <c r="CH45" s="55"/>
      <c r="CI45" s="326"/>
      <c r="CJ45" s="327"/>
      <c r="CK45" s="327"/>
      <c r="CL45" s="328"/>
      <c r="CN45" s="87" t="s">
        <v>200</v>
      </c>
      <c r="CP45" s="87">
        <f t="shared" si="46"/>
        <v>0</v>
      </c>
      <c r="CR45" s="28" t="e">
        <f t="shared" si="47"/>
        <v>#VALUE!</v>
      </c>
      <c r="CS45" s="29" t="str">
        <f t="shared" si="48"/>
        <v/>
      </c>
      <c r="CU45" s="28">
        <f t="shared" si="49"/>
        <v>32</v>
      </c>
      <c r="CV45" s="31">
        <f t="shared" si="50"/>
        <v>32</v>
      </c>
      <c r="CW45" s="32">
        <f t="shared" si="65"/>
        <v>32</v>
      </c>
      <c r="CX45" s="32">
        <f t="shared" si="58"/>
        <v>32</v>
      </c>
      <c r="CY45" s="26"/>
      <c r="CZ45" s="28">
        <f t="shared" si="51"/>
        <v>0</v>
      </c>
      <c r="DA45" s="28">
        <f t="shared" si="52"/>
        <v>0</v>
      </c>
      <c r="DB45" s="34">
        <f t="shared" si="66"/>
        <v>0</v>
      </c>
      <c r="DC45" s="32">
        <f t="shared" si="59"/>
        <v>0</v>
      </c>
      <c r="DD45" s="35"/>
      <c r="DE45" s="28" t="e">
        <f t="shared" si="53"/>
        <v>#DIV/0!</v>
      </c>
      <c r="DF45" s="31" t="e">
        <f t="shared" si="54"/>
        <v>#DIV/0!</v>
      </c>
      <c r="DG45" s="32" t="e">
        <f t="shared" si="67"/>
        <v>#DIV/0!</v>
      </c>
      <c r="DH45" s="32" t="e">
        <f t="shared" si="60"/>
        <v>#DIV/0!</v>
      </c>
      <c r="DI45" s="32" t="e">
        <f>DH45*(1+((EXP(((0.01374979547/2)*(((103.872/DH45)+0.2701)*(1/DH45)))*(1+(0.8*((0.01374979547/2)*(((103.872/DH45)+0.2701)*(1/DH45))))))-1)/(1+(((0.01374979547/2)*(((103.872/DH45)+0.2701)*(1/DH45)))*(1+(1.6*((0.01374979547/2)*(((103.872/DH45)+0.2701)*(1/DH45)))))*(((2*103.872)+(0.2701+DH45))/(103.872+(0.2701*DH45)))))))</f>
        <v>#DIV/0!</v>
      </c>
      <c r="DK45" s="38" t="e">
        <f t="shared" si="55"/>
        <v>#DIV/0!</v>
      </c>
      <c r="DL45" s="41" t="e">
        <f t="shared" si="68"/>
        <v>#DIV/0!</v>
      </c>
      <c r="DM45" s="38" t="e">
        <f t="shared" si="69"/>
        <v>#DIV/0!</v>
      </c>
      <c r="DN45" s="32" t="e">
        <f t="shared" si="62"/>
        <v>#DIV/0!</v>
      </c>
      <c r="DO45" s="32" t="e">
        <f t="shared" si="70"/>
        <v>#DIV/0!</v>
      </c>
      <c r="DQ45" s="38">
        <f t="shared" si="56"/>
        <v>0</v>
      </c>
      <c r="DR45" s="29">
        <f t="shared" si="71"/>
        <v>0</v>
      </c>
      <c r="DS45" s="38">
        <f t="shared" si="72"/>
        <v>0</v>
      </c>
      <c r="DT45" s="32">
        <f t="shared" si="63"/>
        <v>0</v>
      </c>
      <c r="DU45" s="32" t="e">
        <f t="shared" si="64"/>
        <v>#DIV/0!</v>
      </c>
      <c r="DW45" s="38" t="e">
        <f t="shared" si="73"/>
        <v>#DIV/0!</v>
      </c>
      <c r="DX45" s="42" t="e">
        <f t="shared" si="74"/>
        <v>#DIV/0!</v>
      </c>
      <c r="DY45" s="38" t="e">
        <f t="shared" si="75"/>
        <v>#DIV/0!</v>
      </c>
      <c r="DZ45" s="42" t="e">
        <f t="shared" si="76"/>
        <v>#DIV/0!</v>
      </c>
      <c r="EA45" s="38" t="e">
        <f t="shared" si="77"/>
        <v>#DIV/0!</v>
      </c>
      <c r="EB45" s="42" t="e">
        <f t="shared" si="78"/>
        <v>#DIV/0!</v>
      </c>
    </row>
    <row r="46" spans="1:132" ht="11.45" customHeight="1" x14ac:dyDescent="0.2">
      <c r="A46" s="346" t="str">
        <f t="shared" si="38"/>
        <v/>
      </c>
      <c r="B46" s="346"/>
      <c r="C46" s="346"/>
      <c r="D46" s="346"/>
      <c r="E46" s="346"/>
      <c r="F46" s="346"/>
      <c r="G46" s="346"/>
      <c r="H46" s="346"/>
      <c r="I46" s="318" t="str">
        <f t="shared" si="39"/>
        <v/>
      </c>
      <c r="J46" s="318"/>
      <c r="K46" s="318"/>
      <c r="L46" s="318"/>
      <c r="M46" s="318"/>
      <c r="N46" s="318"/>
      <c r="O46" s="318"/>
      <c r="P46" s="313"/>
      <c r="Q46" s="313"/>
      <c r="R46" s="313"/>
      <c r="S46" s="313"/>
      <c r="T46" s="313"/>
      <c r="U46" s="308" t="str">
        <f t="shared" si="40"/>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si="57"/>
        <v/>
      </c>
      <c r="BE46" s="311"/>
      <c r="BF46" s="311"/>
      <c r="BG46" s="311"/>
      <c r="BH46" s="311"/>
      <c r="BI46" s="310" t="str">
        <f t="shared" si="41"/>
        <v/>
      </c>
      <c r="BJ46" s="310"/>
      <c r="BK46" s="310"/>
      <c r="BL46" s="310"/>
      <c r="BM46" s="310"/>
      <c r="BN46" s="311" t="str">
        <f t="shared" si="42"/>
        <v/>
      </c>
      <c r="BO46" s="311"/>
      <c r="BP46" s="311"/>
      <c r="BQ46" s="311"/>
      <c r="BR46" s="311"/>
      <c r="BS46" s="332" t="str">
        <f t="shared" si="43"/>
        <v/>
      </c>
      <c r="BT46" s="332"/>
      <c r="BU46" s="332"/>
      <c r="BV46" s="332"/>
      <c r="BW46" s="332"/>
      <c r="BX46" s="311" t="str">
        <f t="shared" si="44"/>
        <v/>
      </c>
      <c r="BY46" s="311"/>
      <c r="BZ46" s="311"/>
      <c r="CA46" s="311"/>
      <c r="CB46" s="311"/>
      <c r="CC46" s="311" t="str">
        <f t="shared" si="45"/>
        <v/>
      </c>
      <c r="CD46" s="311"/>
      <c r="CE46" s="311"/>
      <c r="CF46" s="311"/>
      <c r="CG46" s="311"/>
      <c r="CH46" s="55"/>
      <c r="CI46" s="108" t="s">
        <v>506</v>
      </c>
      <c r="CJ46" s="109"/>
      <c r="CK46" s="139"/>
      <c r="CL46" s="21" t="s">
        <v>453</v>
      </c>
      <c r="CN46" s="87" t="s">
        <v>201</v>
      </c>
      <c r="CP46" s="87">
        <f t="shared" si="46"/>
        <v>0</v>
      </c>
      <c r="CR46" s="28" t="e">
        <f t="shared" si="47"/>
        <v>#VALUE!</v>
      </c>
      <c r="CS46" s="29" t="str">
        <f t="shared" si="48"/>
        <v/>
      </c>
      <c r="CU46" s="28">
        <f t="shared" si="49"/>
        <v>32</v>
      </c>
      <c r="CV46" s="31">
        <f t="shared" si="50"/>
        <v>32</v>
      </c>
      <c r="CW46" s="32">
        <f t="shared" si="65"/>
        <v>32</v>
      </c>
      <c r="CX46" s="32">
        <f t="shared" si="58"/>
        <v>32</v>
      </c>
      <c r="CY46" s="26"/>
      <c r="CZ46" s="28">
        <f t="shared" si="51"/>
        <v>0</v>
      </c>
      <c r="DA46" s="28">
        <f t="shared" si="52"/>
        <v>0</v>
      </c>
      <c r="DB46" s="34">
        <f t="shared" si="66"/>
        <v>0</v>
      </c>
      <c r="DC46" s="32">
        <f t="shared" si="59"/>
        <v>0</v>
      </c>
      <c r="DD46" s="35"/>
      <c r="DE46" s="28" t="e">
        <f t="shared" si="53"/>
        <v>#DIV/0!</v>
      </c>
      <c r="DF46" s="31" t="e">
        <f t="shared" si="54"/>
        <v>#DIV/0!</v>
      </c>
      <c r="DG46" s="32" t="e">
        <f t="shared" si="67"/>
        <v>#DIV/0!</v>
      </c>
      <c r="DH46" s="32" t="e">
        <f t="shared" si="60"/>
        <v>#DIV/0!</v>
      </c>
      <c r="DI46" s="32" t="e">
        <f t="shared" si="61"/>
        <v>#DIV/0!</v>
      </c>
      <c r="DK46" s="38" t="e">
        <f t="shared" si="55"/>
        <v>#DIV/0!</v>
      </c>
      <c r="DL46" s="41" t="e">
        <f t="shared" si="68"/>
        <v>#DIV/0!</v>
      </c>
      <c r="DM46" s="38" t="e">
        <f t="shared" si="69"/>
        <v>#DIV/0!</v>
      </c>
      <c r="DN46" s="32" t="e">
        <f t="shared" si="62"/>
        <v>#DIV/0!</v>
      </c>
      <c r="DO46" s="32" t="e">
        <f t="shared" si="70"/>
        <v>#DIV/0!</v>
      </c>
      <c r="DQ46" s="38">
        <f t="shared" si="56"/>
        <v>0</v>
      </c>
      <c r="DR46" s="29">
        <f t="shared" si="71"/>
        <v>0</v>
      </c>
      <c r="DS46" s="38">
        <f t="shared" si="72"/>
        <v>0</v>
      </c>
      <c r="DT46" s="32">
        <f t="shared" si="63"/>
        <v>0</v>
      </c>
      <c r="DU46" s="32" t="e">
        <f t="shared" si="64"/>
        <v>#DIV/0!</v>
      </c>
      <c r="DW46" s="38" t="e">
        <f t="shared" si="73"/>
        <v>#DIV/0!</v>
      </c>
      <c r="DX46" s="42" t="e">
        <f t="shared" si="74"/>
        <v>#DIV/0!</v>
      </c>
      <c r="DY46" s="38" t="e">
        <f t="shared" si="75"/>
        <v>#DIV/0!</v>
      </c>
      <c r="DZ46" s="42" t="e">
        <f t="shared" si="76"/>
        <v>#DIV/0!</v>
      </c>
      <c r="EA46" s="38" t="e">
        <f t="shared" si="77"/>
        <v>#DIV/0!</v>
      </c>
      <c r="EB46" s="42" t="e">
        <f t="shared" si="78"/>
        <v>#DIV/0!</v>
      </c>
    </row>
    <row r="47" spans="1:132" ht="11.45" customHeight="1" x14ac:dyDescent="0.2">
      <c r="A47" s="346" t="str">
        <f t="shared" si="38"/>
        <v/>
      </c>
      <c r="B47" s="346"/>
      <c r="C47" s="346"/>
      <c r="D47" s="346"/>
      <c r="E47" s="346"/>
      <c r="F47" s="346"/>
      <c r="G47" s="346"/>
      <c r="H47" s="346"/>
      <c r="I47" s="318" t="str">
        <f t="shared" si="39"/>
        <v/>
      </c>
      <c r="J47" s="318"/>
      <c r="K47" s="318"/>
      <c r="L47" s="318"/>
      <c r="M47" s="318"/>
      <c r="N47" s="318"/>
      <c r="O47" s="318"/>
      <c r="P47" s="313"/>
      <c r="Q47" s="313"/>
      <c r="R47" s="313"/>
      <c r="S47" s="313"/>
      <c r="T47" s="313"/>
      <c r="U47" s="308" t="str">
        <f t="shared" si="40"/>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7"/>
        <v/>
      </c>
      <c r="BE47" s="311"/>
      <c r="BF47" s="311"/>
      <c r="BG47" s="311"/>
      <c r="BH47" s="311"/>
      <c r="BI47" s="310" t="str">
        <f t="shared" si="41"/>
        <v/>
      </c>
      <c r="BJ47" s="310"/>
      <c r="BK47" s="310"/>
      <c r="BL47" s="310"/>
      <c r="BM47" s="310"/>
      <c r="BN47" s="311" t="str">
        <f t="shared" si="42"/>
        <v/>
      </c>
      <c r="BO47" s="311"/>
      <c r="BP47" s="311"/>
      <c r="BQ47" s="311"/>
      <c r="BR47" s="311"/>
      <c r="BS47" s="332" t="str">
        <f t="shared" si="43"/>
        <v/>
      </c>
      <c r="BT47" s="332"/>
      <c r="BU47" s="332"/>
      <c r="BV47" s="332"/>
      <c r="BW47" s="332"/>
      <c r="BX47" s="311" t="str">
        <f t="shared" si="44"/>
        <v/>
      </c>
      <c r="BY47" s="311"/>
      <c r="BZ47" s="311"/>
      <c r="CA47" s="311"/>
      <c r="CB47" s="311"/>
      <c r="CC47" s="311" t="str">
        <f t="shared" si="45"/>
        <v/>
      </c>
      <c r="CD47" s="311"/>
      <c r="CE47" s="311"/>
      <c r="CF47" s="311"/>
      <c r="CG47" s="311"/>
      <c r="CH47" s="55"/>
      <c r="CI47" s="5" t="s">
        <v>507</v>
      </c>
      <c r="CK47" s="22"/>
      <c r="CL47" s="7" t="s">
        <v>453</v>
      </c>
      <c r="CN47" s="87" t="s">
        <v>202</v>
      </c>
      <c r="CP47" s="87">
        <f t="shared" si="46"/>
        <v>0</v>
      </c>
      <c r="CR47" s="28" t="e">
        <f t="shared" si="47"/>
        <v>#VALUE!</v>
      </c>
      <c r="CS47" s="29" t="str">
        <f t="shared" si="48"/>
        <v/>
      </c>
      <c r="CU47" s="28">
        <f t="shared" si="49"/>
        <v>32</v>
      </c>
      <c r="CV47" s="31">
        <f t="shared" si="50"/>
        <v>32</v>
      </c>
      <c r="CW47" s="32">
        <f t="shared" si="65"/>
        <v>32</v>
      </c>
      <c r="CX47" s="32">
        <f t="shared" si="58"/>
        <v>32</v>
      </c>
      <c r="CY47" s="26"/>
      <c r="CZ47" s="28">
        <f t="shared" si="51"/>
        <v>0</v>
      </c>
      <c r="DA47" s="28">
        <f t="shared" si="52"/>
        <v>0</v>
      </c>
      <c r="DB47" s="34">
        <f t="shared" si="66"/>
        <v>0</v>
      </c>
      <c r="DC47" s="32">
        <f t="shared" si="59"/>
        <v>0</v>
      </c>
      <c r="DD47" s="35"/>
      <c r="DE47" s="28" t="e">
        <f t="shared" si="53"/>
        <v>#DIV/0!</v>
      </c>
      <c r="DF47" s="31" t="e">
        <f t="shared" si="54"/>
        <v>#DIV/0!</v>
      </c>
      <c r="DG47" s="32" t="e">
        <f t="shared" si="67"/>
        <v>#DIV/0!</v>
      </c>
      <c r="DH47" s="32" t="e">
        <f t="shared" si="60"/>
        <v>#DIV/0!</v>
      </c>
      <c r="DI47" s="32" t="e">
        <f t="shared" si="61"/>
        <v>#DIV/0!</v>
      </c>
      <c r="DK47" s="38" t="e">
        <f t="shared" si="55"/>
        <v>#DIV/0!</v>
      </c>
      <c r="DL47" s="41" t="e">
        <f t="shared" si="68"/>
        <v>#DIV/0!</v>
      </c>
      <c r="DM47" s="38" t="e">
        <f t="shared" si="69"/>
        <v>#DIV/0!</v>
      </c>
      <c r="DN47" s="32" t="e">
        <f t="shared" si="62"/>
        <v>#DIV/0!</v>
      </c>
      <c r="DO47" s="32" t="e">
        <f t="shared" si="70"/>
        <v>#DIV/0!</v>
      </c>
      <c r="DQ47" s="38">
        <f t="shared" si="56"/>
        <v>0</v>
      </c>
      <c r="DR47" s="29">
        <f t="shared" si="71"/>
        <v>0</v>
      </c>
      <c r="DS47" s="38">
        <f t="shared" si="72"/>
        <v>0</v>
      </c>
      <c r="DT47" s="32">
        <f t="shared" si="63"/>
        <v>0</v>
      </c>
      <c r="DU47" s="32" t="e">
        <f t="shared" si="64"/>
        <v>#DIV/0!</v>
      </c>
      <c r="DW47" s="38" t="e">
        <f t="shared" si="73"/>
        <v>#DIV/0!</v>
      </c>
      <c r="DX47" s="42" t="e">
        <f t="shared" si="74"/>
        <v>#DIV/0!</v>
      </c>
      <c r="DY47" s="38" t="e">
        <f t="shared" si="75"/>
        <v>#DIV/0!</v>
      </c>
      <c r="DZ47" s="42" t="e">
        <f t="shared" si="76"/>
        <v>#DIV/0!</v>
      </c>
      <c r="EA47" s="38" t="e">
        <f t="shared" si="77"/>
        <v>#DIV/0!</v>
      </c>
      <c r="EB47" s="42" t="e">
        <f t="shared" si="78"/>
        <v>#DIV/0!</v>
      </c>
    </row>
    <row r="48" spans="1:132" ht="11.45" customHeight="1" x14ac:dyDescent="0.2">
      <c r="A48" s="346" t="str">
        <f t="shared" si="38"/>
        <v/>
      </c>
      <c r="B48" s="346"/>
      <c r="C48" s="346"/>
      <c r="D48" s="346"/>
      <c r="E48" s="346"/>
      <c r="F48" s="346"/>
      <c r="G48" s="346"/>
      <c r="H48" s="346"/>
      <c r="I48" s="318" t="str">
        <f t="shared" si="39"/>
        <v/>
      </c>
      <c r="J48" s="318"/>
      <c r="K48" s="318"/>
      <c r="L48" s="318"/>
      <c r="M48" s="318"/>
      <c r="N48" s="318"/>
      <c r="O48" s="318"/>
      <c r="P48" s="313"/>
      <c r="Q48" s="313"/>
      <c r="R48" s="313"/>
      <c r="S48" s="313"/>
      <c r="T48" s="313"/>
      <c r="U48" s="308" t="str">
        <f t="shared" si="40"/>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7"/>
        <v/>
      </c>
      <c r="BE48" s="311"/>
      <c r="BF48" s="311"/>
      <c r="BG48" s="311"/>
      <c r="BH48" s="311"/>
      <c r="BI48" s="310" t="str">
        <f t="shared" si="41"/>
        <v/>
      </c>
      <c r="BJ48" s="310"/>
      <c r="BK48" s="310"/>
      <c r="BL48" s="310"/>
      <c r="BM48" s="310"/>
      <c r="BN48" s="311" t="str">
        <f t="shared" si="42"/>
        <v/>
      </c>
      <c r="BO48" s="311"/>
      <c r="BP48" s="311"/>
      <c r="BQ48" s="311"/>
      <c r="BR48" s="311"/>
      <c r="BS48" s="332" t="str">
        <f t="shared" si="43"/>
        <v/>
      </c>
      <c r="BT48" s="332"/>
      <c r="BU48" s="332"/>
      <c r="BV48" s="332"/>
      <c r="BW48" s="332"/>
      <c r="BX48" s="311" t="str">
        <f t="shared" si="44"/>
        <v/>
      </c>
      <c r="BY48" s="311"/>
      <c r="BZ48" s="311"/>
      <c r="CA48" s="311"/>
      <c r="CB48" s="311"/>
      <c r="CC48" s="311" t="str">
        <f t="shared" si="45"/>
        <v/>
      </c>
      <c r="CD48" s="311"/>
      <c r="CE48" s="311"/>
      <c r="CF48" s="311"/>
      <c r="CG48" s="311"/>
      <c r="CH48" s="55"/>
      <c r="CI48" s="5" t="s">
        <v>508</v>
      </c>
      <c r="CK48" s="35"/>
      <c r="CL48" s="7" t="s">
        <v>512</v>
      </c>
      <c r="CN48" s="87" t="s">
        <v>203</v>
      </c>
      <c r="CP48" s="2">
        <f t="shared" si="46"/>
        <v>0</v>
      </c>
      <c r="CR48" s="45" t="e">
        <f t="shared" si="47"/>
        <v>#VALUE!</v>
      </c>
      <c r="CS48" s="46" t="str">
        <f t="shared" si="48"/>
        <v/>
      </c>
      <c r="CU48" s="45">
        <f t="shared" si="49"/>
        <v>32</v>
      </c>
      <c r="CV48" s="47">
        <f t="shared" si="50"/>
        <v>32</v>
      </c>
      <c r="CW48" s="48">
        <f>ROUND(CU48,1)</f>
        <v>32</v>
      </c>
      <c r="CX48" s="48">
        <f t="shared" si="58"/>
        <v>32</v>
      </c>
      <c r="CZ48" s="45">
        <f t="shared" si="51"/>
        <v>0</v>
      </c>
      <c r="DA48" s="45">
        <f t="shared" si="52"/>
        <v>0</v>
      </c>
      <c r="DB48" s="49">
        <f>ROUND(CZ48,1)</f>
        <v>0</v>
      </c>
      <c r="DC48" s="48">
        <f t="shared" si="59"/>
        <v>0</v>
      </c>
      <c r="DD48" s="35"/>
      <c r="DE48" s="45" t="e">
        <f t="shared" si="53"/>
        <v>#DIV/0!</v>
      </c>
      <c r="DF48" s="47" t="e">
        <f t="shared" si="54"/>
        <v>#DIV/0!</v>
      </c>
      <c r="DG48" s="48" t="e">
        <f>ROUND(DE48,1)</f>
        <v>#DIV/0!</v>
      </c>
      <c r="DH48" s="48" t="e">
        <f t="shared" si="60"/>
        <v>#DIV/0!</v>
      </c>
      <c r="DI48" s="48" t="e">
        <f t="shared" si="61"/>
        <v>#DIV/0!</v>
      </c>
      <c r="DK48" s="50" t="e">
        <f t="shared" si="55"/>
        <v>#DIV/0!</v>
      </c>
      <c r="DL48" s="51" t="e">
        <f>ROUND(DK48*5,2)/5</f>
        <v>#DIV/0!</v>
      </c>
      <c r="DM48" s="50" t="e">
        <f>ROUND(DK48,4)</f>
        <v>#DIV/0!</v>
      </c>
      <c r="DN48" s="48" t="e">
        <f t="shared" si="62"/>
        <v>#DIV/0!</v>
      </c>
      <c r="DO48" s="48" t="e">
        <f>DN48*(1+((EXP(((0.01374979547/2)*(((103.872/DN48)+0.2701)*(1/DN48)))*(1+(0.8*((0.01374979547/2)*(((103.872/DN48)+0.2701)*(1/DN48))))))-1)/(1+(((0.01374979547/2)*(((103.872/DN48)+0.2701)*(1/DN48)))*(1+(1.6*((0.01374979547/2)*(((103.872/DN48)+0.2701)*(1/DN48)))))*(((2*103.872)+(0.2701+DN48))/(103.872+(0.2701*DN48)))))))</f>
        <v>#DIV/0!</v>
      </c>
      <c r="DQ48" s="50">
        <f t="shared" si="56"/>
        <v>0</v>
      </c>
      <c r="DR48" s="46">
        <f>ROUND(DQ48*5,2)/5</f>
        <v>0</v>
      </c>
      <c r="DS48" s="50">
        <f>ROUND(DQ48,4)</f>
        <v>0</v>
      </c>
      <c r="DT48" s="48">
        <f t="shared" si="63"/>
        <v>0</v>
      </c>
      <c r="DU48" s="48" t="e">
        <f t="shared" si="64"/>
        <v>#DIV/0!</v>
      </c>
      <c r="DW48" s="50" t="e">
        <f>ROUND(EXP(-((103.872/(((141.5/(DF48+131.5))*999.012)^2))+(0.2701/((141.5/(DF48+131.5))*999.012)))*(CV48-60)*(1+(0.8*((103.872/(((141.5/(DF48+131.5))*999.012)^2))+(0.2701/((141.5/(DF48+131.5))*999.012)))*(CV48-60)))),4)</f>
        <v>#DIV/0!</v>
      </c>
      <c r="DX48" s="52" t="e">
        <f>ROUND(EXP(-(((103.872/DI48)+0.2701)*(1/DI48))*(CX48-60.0068749)*(1+(0.8*(((103.872/DI48)+0.2701)*(1/DI48))*((CX48-60.0068749)+0.01374979547)))),5)</f>
        <v>#DIV/0!</v>
      </c>
      <c r="DY48" s="50" t="e">
        <f>ROUND(EXP(-((103.872/((DL48*999.012)^2))+(0.2701/(DL48*999.012)))*(CV48-60)*(1+(0.8*((103.872/((DL48*999.012)^2))+(0.2701/(DL48*999.012)))*(CV48-60)))),4)</f>
        <v>#DIV/0!</v>
      </c>
      <c r="DZ48" s="52" t="e">
        <f>ROUND(EXP(-(((103.872/DO48)+0.2701)*(1/DO48))*(CX48-60.0068749)*(1+(0.8*(((103.872/DO48)+0.2701)*(1/DO48))*((CX48-60.0068749)+0.01374979547)))),5)</f>
        <v>#DIV/0!</v>
      </c>
      <c r="EA48" s="50" t="e">
        <f>ROUND(EXP(-((186.9696/((DR48*1000)^2))+(0.4862/(DR48*1000)))*(DA48-15)*(1+(0.8*((186.9696/((DR48*1000)^2))+(0.4862/(DR48*1000)))*(DA48-15)))),4)</f>
        <v>#DIV/0!</v>
      </c>
      <c r="EB48" s="52" t="e">
        <f>ROUND(EXP(-((((186.9696/DU48)+0.4862)*(1/DU48)))*(DC48-15.00367851)*(1+(0.8*((((186.9696/DU48)+0.4862)*(1/DU48)))*((DC48-15.00367851)+0.01374979547)))),5)</f>
        <v>#DIV/0!</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t="str">
        <f>IF(COUNT(AJ37:AN48)=0,"",ROUND(SUM(AJ37:AN48),3))</f>
        <v/>
      </c>
      <c r="AK49" s="321"/>
      <c r="AL49" s="321"/>
      <c r="AM49" s="321"/>
      <c r="AN49" s="322"/>
      <c r="AO49" s="341" t="s">
        <v>214</v>
      </c>
      <c r="AP49" s="341"/>
      <c r="AQ49" s="341"/>
      <c r="AR49" s="341"/>
      <c r="AS49" s="341"/>
      <c r="AT49" s="320" t="str">
        <f>IF(COUNT(AT37:AX48)=0,"",ROUND(SUM(AT37:AX48),3))</f>
        <v/>
      </c>
      <c r="AU49" s="321"/>
      <c r="AV49" s="321"/>
      <c r="AW49" s="321"/>
      <c r="AX49" s="322"/>
      <c r="AY49" s="341" t="s">
        <v>211</v>
      </c>
      <c r="AZ49" s="341"/>
      <c r="BA49" s="341"/>
      <c r="BB49" s="341"/>
      <c r="BC49" s="341"/>
      <c r="BD49" s="320" t="str">
        <f>IF(COUNT(BD37:BH48)=0,"",ROUND(SUM(BD37:BH48),3))</f>
        <v/>
      </c>
      <c r="BE49" s="321"/>
      <c r="BF49" s="321"/>
      <c r="BG49" s="321"/>
      <c r="BH49" s="322"/>
      <c r="BI49" s="341" t="s">
        <v>210</v>
      </c>
      <c r="BJ49" s="341"/>
      <c r="BK49" s="341"/>
      <c r="BL49" s="341"/>
      <c r="BM49" s="341"/>
      <c r="BN49" s="320" t="str">
        <f>IF(COUNT(BN37:BR48)=0,"",ROUND(SUM(BN37:BR48),3))</f>
        <v/>
      </c>
      <c r="BO49" s="321"/>
      <c r="BP49" s="321"/>
      <c r="BQ49" s="321"/>
      <c r="BR49" s="322"/>
      <c r="BS49" s="341" t="s">
        <v>209</v>
      </c>
      <c r="BT49" s="341"/>
      <c r="BU49" s="341"/>
      <c r="BV49" s="341"/>
      <c r="BW49" s="341"/>
      <c r="BX49" s="320" t="str">
        <f>IF(COUNT(BX37:CB48)=0,"",ROUND(SUM(BX37:CB48),3))</f>
        <v/>
      </c>
      <c r="BY49" s="321"/>
      <c r="BZ49" s="321"/>
      <c r="CA49" s="321"/>
      <c r="CB49" s="322"/>
      <c r="CC49" s="320" t="str">
        <f>IF(COUNT(CC37:CG48)=0,"",ROUND(SUM(CC37:CG48),3))</f>
        <v/>
      </c>
      <c r="CD49" s="321"/>
      <c r="CE49" s="321"/>
      <c r="CF49" s="321"/>
      <c r="CG49" s="322"/>
      <c r="CI49" s="5" t="s">
        <v>509</v>
      </c>
      <c r="CK49" s="91"/>
      <c r="CL49" s="7" t="s">
        <v>512</v>
      </c>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c r="CI50" s="137" t="s">
        <v>510</v>
      </c>
      <c r="CJ50" s="138"/>
      <c r="CK50" s="140" t="str">
        <f>IF(OR(CK46="",CK47="",CK48="",CK49=""),"",((CK46*CK48)+((CK47-CK46)*CK49))/CK47)</f>
        <v/>
      </c>
      <c r="CL50" s="11" t="s">
        <v>512</v>
      </c>
    </row>
    <row r="51" spans="1:131" ht="11.45" hidden="1" customHeight="1" x14ac:dyDescent="0.2">
      <c r="A51" s="389" t="s">
        <v>437</v>
      </c>
      <c r="B51" s="389"/>
      <c r="C51" s="389"/>
      <c r="D51" s="389"/>
      <c r="E51" s="389"/>
      <c r="F51" s="389"/>
      <c r="G51" s="389"/>
      <c r="H51" s="389"/>
      <c r="I51" s="389"/>
      <c r="J51" s="389"/>
      <c r="K51" s="389"/>
      <c r="L51" s="389"/>
      <c r="M51" s="389"/>
      <c r="N51" s="389"/>
      <c r="O51" s="389"/>
      <c r="P51" s="389"/>
      <c r="Q51" s="389"/>
      <c r="R51" s="389"/>
      <c r="S51" s="389"/>
      <c r="T51" s="389"/>
      <c r="U51" s="389"/>
      <c r="V51" s="389" t="s">
        <v>438</v>
      </c>
      <c r="W51" s="389"/>
      <c r="X51" s="389"/>
      <c r="Y51" s="389"/>
      <c r="Z51" s="389"/>
      <c r="AA51" s="389"/>
      <c r="AB51" s="389"/>
      <c r="AC51" s="389"/>
      <c r="AD51" s="389"/>
      <c r="AE51" s="389"/>
      <c r="AF51" s="389"/>
      <c r="AG51" s="389"/>
      <c r="AH51" s="389"/>
      <c r="AI51" s="389"/>
      <c r="AJ51" s="389"/>
      <c r="AK51" s="389"/>
      <c r="AL51" s="389"/>
      <c r="AM51" s="389"/>
      <c r="AN51" s="389"/>
      <c r="AO51" s="389"/>
      <c r="AP51" s="389"/>
      <c r="AQ51" s="389" t="s">
        <v>439</v>
      </c>
      <c r="AR51" s="389"/>
      <c r="AS51" s="389"/>
      <c r="AT51" s="389"/>
      <c r="AU51" s="389"/>
      <c r="AV51" s="389"/>
      <c r="AW51" s="389"/>
      <c r="AX51" s="389"/>
      <c r="AY51" s="389"/>
      <c r="AZ51" s="389"/>
      <c r="BA51" s="389"/>
      <c r="BB51" s="389"/>
      <c r="BC51" s="389"/>
      <c r="BD51" s="389"/>
      <c r="BE51" s="389"/>
      <c r="BF51" s="389"/>
      <c r="BG51" s="389"/>
      <c r="BH51" s="389"/>
      <c r="BI51" s="389"/>
      <c r="BJ51" s="389"/>
      <c r="BK51" s="389"/>
      <c r="BL51" s="389" t="s">
        <v>440</v>
      </c>
      <c r="BM51" s="389"/>
      <c r="BN51" s="389"/>
      <c r="BO51" s="389"/>
      <c r="BP51" s="389"/>
      <c r="BQ51" s="389"/>
      <c r="BR51" s="389"/>
      <c r="BS51" s="389"/>
      <c r="BT51" s="389"/>
      <c r="BU51" s="389"/>
      <c r="BV51" s="389"/>
      <c r="BW51" s="389"/>
      <c r="BX51" s="389"/>
      <c r="BY51" s="389"/>
      <c r="BZ51" s="389"/>
      <c r="CA51" s="389"/>
      <c r="CB51" s="389"/>
      <c r="CC51" s="389"/>
      <c r="CD51" s="389"/>
      <c r="CE51" s="389"/>
      <c r="CF51" s="389"/>
      <c r="CG51" s="389"/>
    </row>
    <row r="52" spans="1:131" ht="11.45" hidden="1" customHeight="1" x14ac:dyDescent="0.2">
      <c r="A52" s="332" t="str">
        <f>IF('Bunker Certificate 3'!U25="","",'Bunker Certificate 3'!U25)</f>
        <v/>
      </c>
      <c r="B52" s="332"/>
      <c r="C52" s="332"/>
      <c r="D52" s="332"/>
      <c r="E52" s="332"/>
      <c r="F52" s="332"/>
      <c r="G52" s="332"/>
      <c r="H52" s="332"/>
      <c r="I52" s="332"/>
      <c r="J52" s="332"/>
      <c r="K52" s="332"/>
      <c r="L52" s="332"/>
      <c r="M52" s="332"/>
      <c r="N52" s="332"/>
      <c r="O52" s="332"/>
      <c r="P52" s="332"/>
      <c r="Q52" s="332"/>
      <c r="R52" s="332"/>
      <c r="S52" s="332"/>
      <c r="T52" s="332"/>
      <c r="U52" s="332"/>
      <c r="V52" s="311" t="str">
        <f>IF(OR(AQ52="",BL52=""),"",BL52/AQ52)</f>
        <v/>
      </c>
      <c r="W52" s="311"/>
      <c r="X52" s="311"/>
      <c r="Y52" s="311"/>
      <c r="Z52" s="311"/>
      <c r="AA52" s="311"/>
      <c r="AB52" s="311"/>
      <c r="AC52" s="311"/>
      <c r="AD52" s="311"/>
      <c r="AE52" s="311"/>
      <c r="AF52" s="311"/>
      <c r="AG52" s="311"/>
      <c r="AH52" s="311"/>
      <c r="AI52" s="311"/>
      <c r="AJ52" s="311"/>
      <c r="AK52" s="311"/>
      <c r="AL52" s="311"/>
      <c r="AM52" s="311"/>
      <c r="AN52" s="311"/>
      <c r="AO52" s="311"/>
      <c r="AP52" s="311"/>
      <c r="AQ52" s="332" t="str">
        <f>IF(A52="","",A52-0.0011)</f>
        <v/>
      </c>
      <c r="AR52" s="332"/>
      <c r="AS52" s="332"/>
      <c r="AT52" s="332"/>
      <c r="AU52" s="332"/>
      <c r="AV52" s="332"/>
      <c r="AW52" s="332"/>
      <c r="AX52" s="332"/>
      <c r="AY52" s="332"/>
      <c r="AZ52" s="332"/>
      <c r="BA52" s="332"/>
      <c r="BB52" s="332"/>
      <c r="BC52" s="332"/>
      <c r="BD52" s="332"/>
      <c r="BE52" s="332"/>
      <c r="BF52" s="332"/>
      <c r="BG52" s="332"/>
      <c r="BH52" s="332"/>
      <c r="BI52" s="332"/>
      <c r="BJ52" s="332"/>
      <c r="BK52" s="332"/>
      <c r="BL52" s="311" t="str">
        <f>IF(BR11="","",BR11)</f>
        <v/>
      </c>
      <c r="BM52" s="311"/>
      <c r="BN52" s="311"/>
      <c r="BO52" s="311"/>
      <c r="BP52" s="311"/>
      <c r="BQ52" s="311"/>
      <c r="BR52" s="311"/>
      <c r="BS52" s="311"/>
      <c r="BT52" s="311"/>
      <c r="BU52" s="311"/>
      <c r="BV52" s="311"/>
      <c r="BW52" s="311"/>
      <c r="BX52" s="311"/>
      <c r="BY52" s="311"/>
      <c r="BZ52" s="311"/>
      <c r="CA52" s="311"/>
      <c r="CB52" s="311"/>
      <c r="CC52" s="311"/>
      <c r="CD52" s="311"/>
      <c r="CE52" s="311"/>
      <c r="CF52" s="311"/>
      <c r="CG52" s="311"/>
      <c r="CN52" s="1" t="s">
        <v>222</v>
      </c>
    </row>
    <row r="53" spans="1:131" ht="11.45" hidden="1" customHeight="1" x14ac:dyDescent="0.2">
      <c r="A53" s="159" t="s">
        <v>441</v>
      </c>
      <c r="B53" s="159"/>
      <c r="C53" s="159"/>
      <c r="D53" s="159"/>
      <c r="E53" s="90" t="s">
        <v>0</v>
      </c>
      <c r="F53" s="198"/>
      <c r="G53" s="198"/>
      <c r="H53" s="198"/>
      <c r="I53" s="198"/>
      <c r="J53" s="198"/>
      <c r="K53" s="198"/>
      <c r="L53" s="198"/>
      <c r="M53" s="198"/>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N53" s="100">
        <f>IF(BI17=CN44,1,IF(BI17=CN45,2,IF(BI17=CN46,3,IF(BI17=CN47,4,IF(BI17=CN48,5,6)))))</f>
        <v>6</v>
      </c>
    </row>
    <row r="54" spans="1:131" ht="11.45" customHeight="1" x14ac:dyDescent="0.2">
      <c r="A54" s="154"/>
      <c r="B54" s="154"/>
      <c r="C54" s="215" t="str">
        <f>IF('Data Entry'!N29="","",'Data Entry'!N29)&amp;IF(OR('Data Entry'!N29="",'Data Entry'!N30=""),""," / Licence No")&amp; IF('Data Entry'!N30="","",'Data Entry'!N30)</f>
        <v>MEHMET EROĞLU</v>
      </c>
      <c r="D54" s="215"/>
      <c r="E54" s="215"/>
      <c r="F54" s="215"/>
      <c r="G54" s="215"/>
      <c r="H54" s="215"/>
      <c r="I54" s="215"/>
      <c r="J54" s="215"/>
      <c r="K54" s="215"/>
      <c r="L54" s="215"/>
      <c r="M54" s="215"/>
      <c r="N54" s="215"/>
      <c r="O54" s="215"/>
      <c r="P54" s="215"/>
      <c r="Q54" s="154"/>
      <c r="R54" s="154"/>
      <c r="S54" s="154"/>
      <c r="T54" s="154"/>
      <c r="U54" s="154"/>
      <c r="V54" s="154"/>
      <c r="W54" s="154"/>
      <c r="X54" s="154"/>
      <c r="Y54" s="154"/>
      <c r="Z54" s="154"/>
      <c r="AA54" s="154"/>
      <c r="AB54" s="154"/>
      <c r="AC54" s="154"/>
      <c r="AD54" s="154"/>
      <c r="AE54" s="154"/>
      <c r="AF54" s="154"/>
      <c r="AG54" s="154"/>
      <c r="AH54" s="154"/>
      <c r="AI54" s="154"/>
      <c r="AJ54" s="154"/>
      <c r="AK54" s="215" t="str">
        <f>IF('Data Entry'!N23="","",'Data Entry'!N23)</f>
        <v/>
      </c>
      <c r="AL54" s="215"/>
      <c r="AM54" s="215"/>
      <c r="AN54" s="215"/>
      <c r="AO54" s="215"/>
      <c r="AP54" s="215"/>
      <c r="AQ54" s="215"/>
      <c r="AR54" s="215"/>
      <c r="AS54" s="215"/>
      <c r="AT54" s="215"/>
      <c r="AU54" s="215"/>
      <c r="AV54" s="215"/>
      <c r="AW54" s="215"/>
      <c r="AX54" s="215"/>
      <c r="AY54" s="154"/>
      <c r="AZ54" s="154"/>
      <c r="BA54" s="154"/>
      <c r="BB54" s="154"/>
      <c r="BC54" s="154"/>
      <c r="BD54" s="154"/>
      <c r="BE54" s="154"/>
      <c r="BF54" s="154"/>
      <c r="BG54" s="154"/>
      <c r="BH54" s="154"/>
      <c r="BI54" s="154"/>
      <c r="BJ54" s="154"/>
      <c r="BK54" s="154"/>
      <c r="BL54" s="154"/>
      <c r="BM54" s="154"/>
      <c r="BN54" s="154"/>
      <c r="BO54" s="154"/>
      <c r="BP54" s="154"/>
      <c r="BQ54" s="154"/>
      <c r="BR54" s="215" t="str">
        <f>IF('Data Entry'!N9="","",'Data Entry'!N9)</f>
        <v/>
      </c>
      <c r="BS54" s="215"/>
      <c r="BT54" s="215"/>
      <c r="BU54" s="215"/>
      <c r="BV54" s="215"/>
      <c r="BW54" s="215"/>
      <c r="BX54" s="215"/>
      <c r="BY54" s="215"/>
      <c r="BZ54" s="215"/>
      <c r="CA54" s="215"/>
      <c r="CB54" s="215"/>
      <c r="CC54" s="215"/>
      <c r="CD54" s="215"/>
      <c r="CE54" s="215"/>
      <c r="CF54" s="375"/>
      <c r="CG54" s="375"/>
      <c r="CN54" s="91"/>
    </row>
    <row r="55" spans="1:131" ht="11.45" customHeight="1" x14ac:dyDescent="0.2">
      <c r="A55" s="154"/>
      <c r="B55" s="154"/>
      <c r="C55" s="215"/>
      <c r="D55" s="215"/>
      <c r="E55" s="215"/>
      <c r="F55" s="215"/>
      <c r="G55" s="215"/>
      <c r="H55" s="215"/>
      <c r="I55" s="215"/>
      <c r="J55" s="215"/>
      <c r="K55" s="215"/>
      <c r="L55" s="215"/>
      <c r="M55" s="215"/>
      <c r="N55" s="215"/>
      <c r="O55" s="215"/>
      <c r="P55" s="215"/>
      <c r="Q55" s="154"/>
      <c r="R55" s="154"/>
      <c r="S55" s="154"/>
      <c r="T55" s="154"/>
      <c r="U55" s="154"/>
      <c r="V55" s="154"/>
      <c r="W55" s="154"/>
      <c r="X55" s="154"/>
      <c r="Y55" s="154"/>
      <c r="Z55" s="154"/>
      <c r="AA55" s="154"/>
      <c r="AB55" s="154"/>
      <c r="AC55" s="154"/>
      <c r="AD55" s="154"/>
      <c r="AE55" s="154"/>
      <c r="AF55" s="154"/>
      <c r="AG55" s="154"/>
      <c r="AH55" s="154"/>
      <c r="AI55" s="154"/>
      <c r="AJ55" s="154"/>
      <c r="AK55" s="215"/>
      <c r="AL55" s="215"/>
      <c r="AM55" s="215"/>
      <c r="AN55" s="215"/>
      <c r="AO55" s="215"/>
      <c r="AP55" s="215"/>
      <c r="AQ55" s="215"/>
      <c r="AR55" s="215"/>
      <c r="AS55" s="215"/>
      <c r="AT55" s="215"/>
      <c r="AU55" s="215"/>
      <c r="AV55" s="215"/>
      <c r="AW55" s="215"/>
      <c r="AX55" s="215"/>
      <c r="AY55" s="154"/>
      <c r="AZ55" s="154"/>
      <c r="BA55" s="154"/>
      <c r="BB55" s="154"/>
      <c r="BC55" s="154"/>
      <c r="BD55" s="154"/>
      <c r="BE55" s="154"/>
      <c r="BF55" s="154"/>
      <c r="BG55" s="154"/>
      <c r="BH55" s="154"/>
      <c r="BI55" s="154"/>
      <c r="BJ55" s="154"/>
      <c r="BK55" s="154"/>
      <c r="BL55" s="154"/>
      <c r="BM55" s="154"/>
      <c r="BN55" s="154"/>
      <c r="BO55" s="154"/>
      <c r="BP55" s="154"/>
      <c r="BQ55" s="154"/>
      <c r="BR55" s="215"/>
      <c r="BS55" s="215"/>
      <c r="BT55" s="215"/>
      <c r="BU55" s="215"/>
      <c r="BV55" s="215"/>
      <c r="BW55" s="215"/>
      <c r="BX55" s="215"/>
      <c r="BY55" s="215"/>
      <c r="BZ55" s="215"/>
      <c r="CA55" s="215"/>
      <c r="CB55" s="215"/>
      <c r="CC55" s="215"/>
      <c r="CD55" s="215"/>
      <c r="CE55" s="215"/>
      <c r="CF55" s="375"/>
      <c r="CG55" s="375"/>
    </row>
    <row r="56" spans="1:131" ht="11.45" customHeight="1" x14ac:dyDescent="0.2">
      <c r="A56" s="154"/>
      <c r="B56" s="154"/>
      <c r="C56" s="216"/>
      <c r="D56" s="216"/>
      <c r="E56" s="216"/>
      <c r="F56" s="216"/>
      <c r="G56" s="216"/>
      <c r="H56" s="216"/>
      <c r="I56" s="216"/>
      <c r="J56" s="216"/>
      <c r="K56" s="216"/>
      <c r="L56" s="216"/>
      <c r="M56" s="216"/>
      <c r="N56" s="216"/>
      <c r="O56" s="216"/>
      <c r="P56" s="216"/>
      <c r="Q56" s="154"/>
      <c r="R56" s="154"/>
      <c r="S56" s="154"/>
      <c r="T56" s="154"/>
      <c r="U56" s="154"/>
      <c r="V56" s="154"/>
      <c r="W56" s="154"/>
      <c r="X56" s="154"/>
      <c r="Y56" s="154"/>
      <c r="Z56" s="154"/>
      <c r="AA56" s="154"/>
      <c r="AB56" s="154"/>
      <c r="AC56" s="154"/>
      <c r="AD56" s="154"/>
      <c r="AE56" s="154"/>
      <c r="AF56" s="154"/>
      <c r="AG56" s="154"/>
      <c r="AH56" s="154"/>
      <c r="AI56" s="154"/>
      <c r="AJ56" s="154"/>
      <c r="AK56" s="216"/>
      <c r="AL56" s="216"/>
      <c r="AM56" s="216"/>
      <c r="AN56" s="216"/>
      <c r="AO56" s="216"/>
      <c r="AP56" s="216"/>
      <c r="AQ56" s="216"/>
      <c r="AR56" s="216"/>
      <c r="AS56" s="216"/>
      <c r="AT56" s="216"/>
      <c r="AU56" s="216"/>
      <c r="AV56" s="216"/>
      <c r="AW56" s="216"/>
      <c r="AX56" s="216"/>
      <c r="AY56" s="154"/>
      <c r="AZ56" s="154"/>
      <c r="BA56" s="154"/>
      <c r="BB56" s="154"/>
      <c r="BC56" s="154"/>
      <c r="BD56" s="154"/>
      <c r="BE56" s="154"/>
      <c r="BF56" s="154"/>
      <c r="BG56" s="154"/>
      <c r="BH56" s="154"/>
      <c r="BI56" s="154"/>
      <c r="BJ56" s="154"/>
      <c r="BK56" s="154"/>
      <c r="BL56" s="154"/>
      <c r="BM56" s="154"/>
      <c r="BN56" s="154"/>
      <c r="BO56" s="154"/>
      <c r="BP56" s="154"/>
      <c r="BQ56" s="154"/>
      <c r="BR56" s="216"/>
      <c r="BS56" s="216"/>
      <c r="BT56" s="216"/>
      <c r="BU56" s="216"/>
      <c r="BV56" s="216"/>
      <c r="BW56" s="216"/>
      <c r="BX56" s="216"/>
      <c r="BY56" s="216"/>
      <c r="BZ56" s="216"/>
      <c r="CA56" s="216"/>
      <c r="CB56" s="216"/>
      <c r="CC56" s="216"/>
      <c r="CD56" s="216"/>
      <c r="CE56" s="216"/>
      <c r="CF56" s="375"/>
      <c r="CG56" s="375"/>
      <c r="CN56" s="1" t="s">
        <v>425</v>
      </c>
    </row>
    <row r="57" spans="1:131" ht="11.45" customHeight="1" x14ac:dyDescent="0.2">
      <c r="A57" s="154"/>
      <c r="B57" s="154"/>
      <c r="C57" s="211" t="s">
        <v>184</v>
      </c>
      <c r="D57" s="211"/>
      <c r="E57" s="211"/>
      <c r="F57" s="211"/>
      <c r="G57" s="211"/>
      <c r="H57" s="211"/>
      <c r="I57" s="211"/>
      <c r="J57" s="211"/>
      <c r="K57" s="211"/>
      <c r="L57" s="211"/>
      <c r="M57" s="211"/>
      <c r="N57" s="211"/>
      <c r="O57" s="211"/>
      <c r="P57" s="211"/>
      <c r="Q57" s="154"/>
      <c r="R57" s="154"/>
      <c r="S57" s="154"/>
      <c r="T57" s="154"/>
      <c r="U57" s="154"/>
      <c r="V57" s="154"/>
      <c r="W57" s="154"/>
      <c r="X57" s="154"/>
      <c r="Y57" s="154"/>
      <c r="Z57" s="154"/>
      <c r="AA57" s="154"/>
      <c r="AB57" s="154"/>
      <c r="AC57" s="154"/>
      <c r="AD57" s="154"/>
      <c r="AE57" s="154"/>
      <c r="AF57" s="154"/>
      <c r="AG57" s="154"/>
      <c r="AH57" s="154"/>
      <c r="AI57" s="154"/>
      <c r="AJ57" s="154"/>
      <c r="AK57" s="218" t="s">
        <v>51</v>
      </c>
      <c r="AL57" s="218"/>
      <c r="AM57" s="218"/>
      <c r="AN57" s="218"/>
      <c r="AO57" s="218"/>
      <c r="AP57" s="218"/>
      <c r="AQ57" s="218"/>
      <c r="AR57" s="218"/>
      <c r="AS57" s="218"/>
      <c r="AT57" s="218"/>
      <c r="AU57" s="218"/>
      <c r="AV57" s="218"/>
      <c r="AW57" s="218"/>
      <c r="AX57" s="218"/>
      <c r="AY57" s="154"/>
      <c r="AZ57" s="154"/>
      <c r="BA57" s="154"/>
      <c r="BB57" s="154"/>
      <c r="BC57" s="154"/>
      <c r="BD57" s="154"/>
      <c r="BE57" s="154"/>
      <c r="BF57" s="154"/>
      <c r="BG57" s="154"/>
      <c r="BH57" s="154"/>
      <c r="BI57" s="154"/>
      <c r="BJ57" s="154"/>
      <c r="BK57" s="154"/>
      <c r="BL57" s="154"/>
      <c r="BM57" s="154"/>
      <c r="BN57" s="154"/>
      <c r="BO57" s="154"/>
      <c r="BP57" s="154"/>
      <c r="BQ57" s="154"/>
      <c r="BR57" s="218" t="s">
        <v>17</v>
      </c>
      <c r="BS57" s="218"/>
      <c r="BT57" s="218"/>
      <c r="BU57" s="218"/>
      <c r="BV57" s="218"/>
      <c r="BW57" s="218"/>
      <c r="BX57" s="218"/>
      <c r="BY57" s="218"/>
      <c r="BZ57" s="218"/>
      <c r="CA57" s="218"/>
      <c r="CB57" s="218"/>
      <c r="CC57" s="218"/>
      <c r="CD57" s="218"/>
      <c r="CE57" s="218"/>
      <c r="CF57" s="375"/>
      <c r="CG57" s="375"/>
      <c r="CM57" s="91"/>
      <c r="CN57" s="107" t="s">
        <v>429</v>
      </c>
      <c r="CO57" s="91"/>
      <c r="CP57" s="91"/>
      <c r="CQ57" s="91"/>
    </row>
    <row r="58" spans="1:131" ht="11.45" hidden="1" customHeight="1" x14ac:dyDescent="0.2">
      <c r="A58" s="390" t="s">
        <v>442</v>
      </c>
      <c r="B58" s="390"/>
      <c r="C58" s="390"/>
      <c r="D58" s="390"/>
      <c r="E58" s="390" t="s">
        <v>0</v>
      </c>
      <c r="F58" s="374" t="s">
        <v>443</v>
      </c>
      <c r="G58" s="374"/>
      <c r="H58" s="374"/>
      <c r="I58" s="374"/>
      <c r="J58" s="374"/>
      <c r="K58" s="374"/>
      <c r="L58" s="374"/>
      <c r="M58" s="374"/>
      <c r="N58" s="374"/>
      <c r="O58" s="374"/>
      <c r="P58" s="374"/>
      <c r="Q58" s="374"/>
      <c r="R58" s="374"/>
      <c r="S58" s="374"/>
      <c r="T58" s="374"/>
      <c r="U58" s="374"/>
      <c r="V58" s="374"/>
      <c r="W58" s="374"/>
      <c r="X58" s="374"/>
      <c r="Y58" s="374"/>
      <c r="Z58" s="374" t="s">
        <v>438</v>
      </c>
      <c r="AA58" s="374"/>
      <c r="AB58" s="374"/>
      <c r="AC58" s="374"/>
      <c r="AD58" s="374"/>
      <c r="AE58" s="374"/>
      <c r="AF58" s="374"/>
      <c r="AG58" s="374"/>
      <c r="AH58" s="374"/>
      <c r="AI58" s="374"/>
      <c r="AJ58" s="374"/>
      <c r="AK58" s="374"/>
      <c r="AL58" s="374"/>
      <c r="AM58" s="374"/>
      <c r="AN58" s="374"/>
      <c r="AO58" s="374"/>
      <c r="AP58" s="374"/>
      <c r="AQ58" s="374"/>
      <c r="AR58" s="374"/>
      <c r="AS58" s="374"/>
      <c r="AT58" s="374" t="s">
        <v>439</v>
      </c>
      <c r="AU58" s="374"/>
      <c r="AV58" s="374"/>
      <c r="AW58" s="374"/>
      <c r="AX58" s="374"/>
      <c r="AY58" s="374"/>
      <c r="AZ58" s="374"/>
      <c r="BA58" s="374"/>
      <c r="BB58" s="374"/>
      <c r="BC58" s="374"/>
      <c r="BD58" s="374"/>
      <c r="BE58" s="374"/>
      <c r="BF58" s="374"/>
      <c r="BG58" s="374"/>
      <c r="BH58" s="374"/>
      <c r="BI58" s="374"/>
      <c r="BJ58" s="374"/>
      <c r="BK58" s="374"/>
      <c r="BL58" s="374"/>
      <c r="BM58" s="374"/>
      <c r="BN58" s="374" t="s">
        <v>440</v>
      </c>
      <c r="BO58" s="374"/>
      <c r="BP58" s="374"/>
      <c r="BQ58" s="374"/>
      <c r="BR58" s="374"/>
      <c r="BS58" s="374"/>
      <c r="BT58" s="374"/>
      <c r="BU58" s="374"/>
      <c r="BV58" s="374"/>
      <c r="BW58" s="374"/>
      <c r="BX58" s="374"/>
      <c r="BY58" s="374"/>
      <c r="BZ58" s="374"/>
      <c r="CA58" s="374"/>
      <c r="CB58" s="374"/>
      <c r="CC58" s="374"/>
      <c r="CD58" s="374"/>
      <c r="CE58" s="374"/>
      <c r="CF58" s="374"/>
      <c r="CG58" s="374"/>
      <c r="CN58" s="87" t="s">
        <v>430</v>
      </c>
    </row>
    <row r="59" spans="1:131" ht="11.45" hidden="1" customHeight="1" x14ac:dyDescent="0.2">
      <c r="A59" s="390"/>
      <c r="B59" s="390"/>
      <c r="C59" s="390"/>
      <c r="D59" s="390"/>
      <c r="E59" s="390"/>
      <c r="F59" s="313"/>
      <c r="G59" s="313"/>
      <c r="H59" s="313"/>
      <c r="I59" s="313"/>
      <c r="J59" s="313"/>
      <c r="K59" s="313"/>
      <c r="L59" s="313"/>
      <c r="M59" s="313"/>
      <c r="N59" s="313"/>
      <c r="O59" s="313"/>
      <c r="P59" s="313"/>
      <c r="Q59" s="313"/>
      <c r="R59" s="313"/>
      <c r="S59" s="313"/>
      <c r="T59" s="313"/>
      <c r="U59" s="313"/>
      <c r="V59" s="313"/>
      <c r="W59" s="313"/>
      <c r="X59" s="313"/>
      <c r="Y59" s="313"/>
      <c r="Z59" s="308" t="str">
        <f>IF(V52="","",V52)</f>
        <v/>
      </c>
      <c r="AA59" s="308"/>
      <c r="AB59" s="308"/>
      <c r="AC59" s="308"/>
      <c r="AD59" s="308"/>
      <c r="AE59" s="308"/>
      <c r="AF59" s="308"/>
      <c r="AG59" s="308"/>
      <c r="AH59" s="308"/>
      <c r="AI59" s="308"/>
      <c r="AJ59" s="308"/>
      <c r="AK59" s="308"/>
      <c r="AL59" s="308"/>
      <c r="AM59" s="308"/>
      <c r="AN59" s="308"/>
      <c r="AO59" s="308"/>
      <c r="AP59" s="308"/>
      <c r="AQ59" s="308"/>
      <c r="AR59" s="308"/>
      <c r="AS59" s="308"/>
      <c r="AT59" s="313" t="str">
        <f>IF(F59="","",F59-0.0011)</f>
        <v/>
      </c>
      <c r="AU59" s="313"/>
      <c r="AV59" s="313"/>
      <c r="AW59" s="313"/>
      <c r="AX59" s="313"/>
      <c r="AY59" s="313"/>
      <c r="AZ59" s="313"/>
      <c r="BA59" s="313"/>
      <c r="BB59" s="313"/>
      <c r="BC59" s="313"/>
      <c r="BD59" s="313"/>
      <c r="BE59" s="313"/>
      <c r="BF59" s="313"/>
      <c r="BG59" s="313"/>
      <c r="BH59" s="313"/>
      <c r="BI59" s="313"/>
      <c r="BJ59" s="313"/>
      <c r="BK59" s="313"/>
      <c r="BL59" s="313"/>
      <c r="BM59" s="313"/>
      <c r="BN59" s="308" t="str">
        <f>IF(OR(Z59="",AT59=""),"",Z59*AT59)</f>
        <v/>
      </c>
      <c r="BO59" s="308"/>
      <c r="BP59" s="308"/>
      <c r="BQ59" s="308"/>
      <c r="BR59" s="308"/>
      <c r="BS59" s="308"/>
      <c r="BT59" s="308"/>
      <c r="BU59" s="308"/>
      <c r="BV59" s="308"/>
      <c r="BW59" s="308"/>
      <c r="BX59" s="308"/>
      <c r="BY59" s="308"/>
      <c r="BZ59" s="308"/>
      <c r="CA59" s="308"/>
      <c r="CB59" s="308"/>
      <c r="CC59" s="308"/>
      <c r="CD59" s="308"/>
      <c r="CE59" s="308"/>
      <c r="CF59" s="308"/>
      <c r="CG59" s="308"/>
      <c r="CN59" s="87" t="s">
        <v>444</v>
      </c>
      <c r="DW59" s="91"/>
      <c r="DX59" s="91"/>
      <c r="DZ59" s="91"/>
      <c r="EA59" s="91"/>
    </row>
    <row r="60" spans="1:131" ht="11.45" customHeight="1" x14ac:dyDescent="0.2">
      <c r="A60" s="148" t="s">
        <v>180</v>
      </c>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9" t="str">
        <f>'Data Entry'!AK9</f>
        <v>LTS-CUS-F-01 rev 2.0</v>
      </c>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c r="BS60" s="149"/>
      <c r="BT60" s="149"/>
      <c r="BU60" s="149"/>
      <c r="BV60" s="149"/>
      <c r="BW60" s="149"/>
      <c r="BX60" s="149"/>
      <c r="BY60" s="149"/>
      <c r="BZ60" s="149"/>
      <c r="CA60" s="149"/>
      <c r="CB60" s="149"/>
      <c r="CC60" s="149"/>
      <c r="CD60" s="149"/>
      <c r="CE60" s="149"/>
      <c r="CF60" s="149"/>
      <c r="CG60" s="149"/>
      <c r="CN60" s="87" t="s">
        <v>430</v>
      </c>
    </row>
    <row r="61" spans="1:131" ht="11.45" customHeight="1" x14ac:dyDescent="0.2">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N61" s="87" t="s">
        <v>444</v>
      </c>
      <c r="DW61" s="91"/>
      <c r="DX61" s="91"/>
      <c r="DZ61" s="91"/>
      <c r="EA61" s="91"/>
    </row>
    <row r="62" spans="1:131" ht="11.45" customHeight="1" x14ac:dyDescent="0.2">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N62" s="2" t="s">
        <v>431</v>
      </c>
      <c r="DW62" s="35"/>
      <c r="DX62" s="56"/>
      <c r="DZ62" s="35"/>
      <c r="EA62" s="56"/>
    </row>
    <row r="63" spans="1:131" ht="11.45" customHeight="1" x14ac:dyDescent="0.2">
      <c r="CB63" s="90"/>
      <c r="CC63" s="90"/>
      <c r="CD63" s="90"/>
      <c r="CE63" s="90"/>
      <c r="CF63" s="90"/>
      <c r="CG63" s="90"/>
      <c r="CN63" s="91"/>
      <c r="DW63" s="35"/>
      <c r="DX63" s="56"/>
      <c r="DZ63" s="35"/>
      <c r="EA63" s="56"/>
    </row>
    <row r="64" spans="1:131" ht="11.45" customHeight="1" x14ac:dyDescent="0.2">
      <c r="DW64" s="35"/>
      <c r="DX64" s="56"/>
      <c r="DZ64" s="35"/>
      <c r="EA64" s="56"/>
    </row>
    <row r="65" spans="92:131" ht="11.45" customHeight="1" x14ac:dyDescent="0.2">
      <c r="CN65" s="1" t="s">
        <v>428</v>
      </c>
      <c r="DW65" s="35"/>
      <c r="DX65" s="56"/>
      <c r="DZ65" s="35"/>
      <c r="EA65" s="56"/>
    </row>
    <row r="66" spans="92:131" ht="11.45" customHeight="1" x14ac:dyDescent="0.2">
      <c r="CN66" s="107" t="s">
        <v>432</v>
      </c>
      <c r="DW66" s="35"/>
      <c r="DX66" s="56"/>
      <c r="DZ66" s="35"/>
      <c r="EA66" s="56"/>
    </row>
    <row r="67" spans="92:131" ht="11.45" customHeight="1" x14ac:dyDescent="0.2">
      <c r="CN67" s="2" t="s">
        <v>433</v>
      </c>
      <c r="DW67" s="35"/>
      <c r="DX67" s="56"/>
      <c r="DZ67" s="35"/>
      <c r="EA67" s="56"/>
    </row>
    <row r="68" spans="92:131" ht="11.45" customHeight="1" x14ac:dyDescent="0.2">
      <c r="DW68" s="35"/>
      <c r="DX68" s="56"/>
      <c r="DZ68" s="35"/>
      <c r="EA68" s="56"/>
    </row>
    <row r="69" spans="92:131" ht="11.45" customHeight="1" x14ac:dyDescent="0.2">
      <c r="DW69" s="35"/>
      <c r="DX69" s="56"/>
      <c r="DZ69" s="35"/>
      <c r="EA69" s="56"/>
    </row>
    <row r="70" spans="92:131" ht="11.45" customHeight="1" x14ac:dyDescent="0.2">
      <c r="DW70" s="35"/>
      <c r="DX70" s="56"/>
      <c r="DZ70" s="35"/>
      <c r="EA70" s="56"/>
    </row>
    <row r="71" spans="92:131" ht="11.45" customHeight="1" x14ac:dyDescent="0.2">
      <c r="DW71" s="35"/>
      <c r="DX71" s="56"/>
      <c r="DZ71" s="35"/>
      <c r="EA71" s="56"/>
    </row>
  </sheetData>
  <sheetProtection formatCells="0" selectLockedCells="1"/>
  <mergeCells count="643">
    <mergeCell ref="CI44:CL45"/>
    <mergeCell ref="G33:L33"/>
    <mergeCell ref="N33:S33"/>
    <mergeCell ref="T33:W33"/>
    <mergeCell ref="X33:AC34"/>
    <mergeCell ref="AD33:AF33"/>
    <mergeCell ref="G34:L34"/>
    <mergeCell ref="N34:S34"/>
    <mergeCell ref="CC38:CG38"/>
    <mergeCell ref="AQ33:AU34"/>
    <mergeCell ref="AV33:BL33"/>
    <mergeCell ref="BX38:CB38"/>
    <mergeCell ref="Z38:AD38"/>
    <mergeCell ref="AE38:AI38"/>
    <mergeCell ref="AJ38:AN38"/>
    <mergeCell ref="AO38:AS38"/>
    <mergeCell ref="AY38:BC38"/>
    <mergeCell ref="BD38:BH38"/>
    <mergeCell ref="BI38:BM38"/>
    <mergeCell ref="BN38:BR38"/>
    <mergeCell ref="AT38:AX38"/>
    <mergeCell ref="AE35:AI35"/>
    <mergeCell ref="AY36:BC36"/>
    <mergeCell ref="AT36:AX36"/>
    <mergeCell ref="A53:D53"/>
    <mergeCell ref="F53:CG53"/>
    <mergeCell ref="BN34:BQ34"/>
    <mergeCell ref="A50:CG50"/>
    <mergeCell ref="A51:U51"/>
    <mergeCell ref="V51:AP51"/>
    <mergeCell ref="AQ51:BK51"/>
    <mergeCell ref="BL51:CG51"/>
    <mergeCell ref="CC48:CG48"/>
    <mergeCell ref="CC39:CG39"/>
    <mergeCell ref="A48:H48"/>
    <mergeCell ref="I48:O48"/>
    <mergeCell ref="P48:T48"/>
    <mergeCell ref="U48:Y48"/>
    <mergeCell ref="Z48:AD48"/>
    <mergeCell ref="AE48:AI48"/>
    <mergeCell ref="AJ48:AN48"/>
    <mergeCell ref="A47:H47"/>
    <mergeCell ref="I47:O47"/>
    <mergeCell ref="P47:T47"/>
    <mergeCell ref="U47:Y47"/>
    <mergeCell ref="Z47:AD47"/>
    <mergeCell ref="AE47:AI47"/>
    <mergeCell ref="AQ52:BK52"/>
    <mergeCell ref="AO48:AS48"/>
    <mergeCell ref="CC40:CG40"/>
    <mergeCell ref="CC41:CG41"/>
    <mergeCell ref="CC42:CG42"/>
    <mergeCell ref="CC43:CG43"/>
    <mergeCell ref="CC44:CG44"/>
    <mergeCell ref="CC45:CG45"/>
    <mergeCell ref="CC46:CG46"/>
    <mergeCell ref="CC47:CG47"/>
    <mergeCell ref="BS43:BW43"/>
    <mergeCell ref="BX43:CB43"/>
    <mergeCell ref="AT42:AX42"/>
    <mergeCell ref="BX42:CB42"/>
    <mergeCell ref="CC49:CG49"/>
    <mergeCell ref="BL52:CG52"/>
    <mergeCell ref="BS48:BW48"/>
    <mergeCell ref="BD48:BH48"/>
    <mergeCell ref="BI48:BM48"/>
    <mergeCell ref="BN48:BR48"/>
    <mergeCell ref="AT48:AX48"/>
    <mergeCell ref="AY48:BC48"/>
    <mergeCell ref="BI47:BM47"/>
    <mergeCell ref="BN47:BR47"/>
    <mergeCell ref="BX47:CB47"/>
    <mergeCell ref="BX48:CB48"/>
    <mergeCell ref="CC27:CG27"/>
    <mergeCell ref="CC28:CG28"/>
    <mergeCell ref="CC29:CG29"/>
    <mergeCell ref="BS29:BW29"/>
    <mergeCell ref="BX28:CB28"/>
    <mergeCell ref="A29:H29"/>
    <mergeCell ref="I29:O29"/>
    <mergeCell ref="CC36:CG36"/>
    <mergeCell ref="A32:AK32"/>
    <mergeCell ref="AL32:AN32"/>
    <mergeCell ref="AP32:AW32"/>
    <mergeCell ref="AX32:AZ32"/>
    <mergeCell ref="Z35:AD35"/>
    <mergeCell ref="BB32:BI32"/>
    <mergeCell ref="BJ32:BP32"/>
    <mergeCell ref="A30:AD30"/>
    <mergeCell ref="AE30:AI30"/>
    <mergeCell ref="AJ30:AN30"/>
    <mergeCell ref="BR32:CG32"/>
    <mergeCell ref="A31:CG31"/>
    <mergeCell ref="BS30:BW30"/>
    <mergeCell ref="A33:F34"/>
    <mergeCell ref="BN33:BQ33"/>
    <mergeCell ref="BD36:BH36"/>
    <mergeCell ref="CC20:CG20"/>
    <mergeCell ref="CC21:CG21"/>
    <mergeCell ref="A14:F15"/>
    <mergeCell ref="G14:L14"/>
    <mergeCell ref="N14:S14"/>
    <mergeCell ref="T14:W14"/>
    <mergeCell ref="CC24:CG24"/>
    <mergeCell ref="CC25:CG25"/>
    <mergeCell ref="CC26:CG26"/>
    <mergeCell ref="AH14:AL14"/>
    <mergeCell ref="AM14:AP14"/>
    <mergeCell ref="X14:AC15"/>
    <mergeCell ref="AD14:AF14"/>
    <mergeCell ref="G15:L15"/>
    <mergeCell ref="N15:S15"/>
    <mergeCell ref="T15:W15"/>
    <mergeCell ref="AD15:AF15"/>
    <mergeCell ref="AQ14:AV15"/>
    <mergeCell ref="AW14:BL14"/>
    <mergeCell ref="BN14:BQ14"/>
    <mergeCell ref="BR14:CG15"/>
    <mergeCell ref="CC19:CG19"/>
    <mergeCell ref="BX19:CB19"/>
    <mergeCell ref="A19:H19"/>
    <mergeCell ref="BZ11:CG11"/>
    <mergeCell ref="A12:CG12"/>
    <mergeCell ref="CC16:CG16"/>
    <mergeCell ref="CC17:CG17"/>
    <mergeCell ref="CC18:CG18"/>
    <mergeCell ref="A18:H18"/>
    <mergeCell ref="I18:O18"/>
    <mergeCell ref="P18:T18"/>
    <mergeCell ref="U18:Y18"/>
    <mergeCell ref="A13:AK13"/>
    <mergeCell ref="AL13:AN13"/>
    <mergeCell ref="AP13:AW13"/>
    <mergeCell ref="AX13:AZ13"/>
    <mergeCell ref="BB13:BI13"/>
    <mergeCell ref="BJ13:BP13"/>
    <mergeCell ref="BR13:CG13"/>
    <mergeCell ref="BN15:BQ15"/>
    <mergeCell ref="BC11:BP11"/>
    <mergeCell ref="A16:H16"/>
    <mergeCell ref="BX18:CB18"/>
    <mergeCell ref="AJ16:AN16"/>
    <mergeCell ref="AO16:AS16"/>
    <mergeCell ref="BR11:BY11"/>
    <mergeCell ref="BS18:BW18"/>
    <mergeCell ref="A60:AN60"/>
    <mergeCell ref="BS49:BW49"/>
    <mergeCell ref="BX49:CB49"/>
    <mergeCell ref="A54:B57"/>
    <mergeCell ref="C54:P56"/>
    <mergeCell ref="C57:P57"/>
    <mergeCell ref="BN49:BR49"/>
    <mergeCell ref="A52:U52"/>
    <mergeCell ref="V52:AP52"/>
    <mergeCell ref="AO60:CG60"/>
    <mergeCell ref="A49:AD49"/>
    <mergeCell ref="AE49:AI49"/>
    <mergeCell ref="AJ49:AN49"/>
    <mergeCell ref="AO49:AS49"/>
    <mergeCell ref="AT49:AX49"/>
    <mergeCell ref="AY49:BC49"/>
    <mergeCell ref="BD49:BH49"/>
    <mergeCell ref="BI49:BM49"/>
    <mergeCell ref="Q54:AJ57"/>
    <mergeCell ref="AK57:AX57"/>
    <mergeCell ref="AK54:AX56"/>
    <mergeCell ref="AY54:BQ57"/>
    <mergeCell ref="BR54:CE56"/>
    <mergeCell ref="CF54:CG57"/>
    <mergeCell ref="BR57:CE57"/>
    <mergeCell ref="AT47:AX47"/>
    <mergeCell ref="BS47:BW47"/>
    <mergeCell ref="AY47:BC47"/>
    <mergeCell ref="BD47:BH47"/>
    <mergeCell ref="BX45:CB45"/>
    <mergeCell ref="A46:H46"/>
    <mergeCell ref="I46:O46"/>
    <mergeCell ref="P46:T46"/>
    <mergeCell ref="U46:Y46"/>
    <mergeCell ref="Z46:AD46"/>
    <mergeCell ref="AE46:AI46"/>
    <mergeCell ref="AJ46:AN46"/>
    <mergeCell ref="AO46:AS46"/>
    <mergeCell ref="BI45:BM45"/>
    <mergeCell ref="BI46:BM46"/>
    <mergeCell ref="BN46:BR46"/>
    <mergeCell ref="AY46:BC46"/>
    <mergeCell ref="BX46:CB46"/>
    <mergeCell ref="BS46:BW46"/>
    <mergeCell ref="AT46:AX46"/>
    <mergeCell ref="BD46:BH46"/>
    <mergeCell ref="AO47:AS47"/>
    <mergeCell ref="AJ47:AN47"/>
    <mergeCell ref="A44:H44"/>
    <mergeCell ref="I44:O44"/>
    <mergeCell ref="P44:T44"/>
    <mergeCell ref="U44:Y44"/>
    <mergeCell ref="BX44:CB44"/>
    <mergeCell ref="A45:H45"/>
    <mergeCell ref="I45:O45"/>
    <mergeCell ref="P45:T45"/>
    <mergeCell ref="U45:Y45"/>
    <mergeCell ref="Z45:AD45"/>
    <mergeCell ref="AE45:AI45"/>
    <mergeCell ref="AJ45:AN45"/>
    <mergeCell ref="AT44:AX44"/>
    <mergeCell ref="AY44:BC44"/>
    <mergeCell ref="AO45:AS45"/>
    <mergeCell ref="BD45:BH45"/>
    <mergeCell ref="AT45:AX45"/>
    <mergeCell ref="AY45:BC45"/>
    <mergeCell ref="BN45:BR45"/>
    <mergeCell ref="BN44:BR44"/>
    <mergeCell ref="BS44:BW44"/>
    <mergeCell ref="BD44:BH44"/>
    <mergeCell ref="BI44:BM44"/>
    <mergeCell ref="BS45:BW45"/>
    <mergeCell ref="Z44:AD44"/>
    <mergeCell ref="AE44:AI44"/>
    <mergeCell ref="AJ44:AN44"/>
    <mergeCell ref="AO44:AS44"/>
    <mergeCell ref="BN42:BR42"/>
    <mergeCell ref="BS42:BW42"/>
    <mergeCell ref="AJ42:AN42"/>
    <mergeCell ref="AY42:BC42"/>
    <mergeCell ref="BD42:BH42"/>
    <mergeCell ref="BI42:BM42"/>
    <mergeCell ref="A43:H43"/>
    <mergeCell ref="I43:O43"/>
    <mergeCell ref="P43:T43"/>
    <mergeCell ref="U43:Y43"/>
    <mergeCell ref="BI43:BM43"/>
    <mergeCell ref="BN43:BR43"/>
    <mergeCell ref="AY43:BC43"/>
    <mergeCell ref="Z43:AD43"/>
    <mergeCell ref="AE43:AI43"/>
    <mergeCell ref="AJ43:AN43"/>
    <mergeCell ref="BD43:BH43"/>
    <mergeCell ref="AO43:AS43"/>
    <mergeCell ref="AT43:AX43"/>
    <mergeCell ref="A42:H42"/>
    <mergeCell ref="I42:O42"/>
    <mergeCell ref="P42:T42"/>
    <mergeCell ref="U42:Y42"/>
    <mergeCell ref="Z42:AD42"/>
    <mergeCell ref="AE42:AI42"/>
    <mergeCell ref="AY41:BC41"/>
    <mergeCell ref="AO41:AS41"/>
    <mergeCell ref="BX41:CB41"/>
    <mergeCell ref="AT41:AX41"/>
    <mergeCell ref="AO42:AS42"/>
    <mergeCell ref="BN41:BR41"/>
    <mergeCell ref="BD41:BH41"/>
    <mergeCell ref="BS41:BW41"/>
    <mergeCell ref="A41:H41"/>
    <mergeCell ref="I41:O41"/>
    <mergeCell ref="P41:T41"/>
    <mergeCell ref="U41:Y41"/>
    <mergeCell ref="Z41:AD41"/>
    <mergeCell ref="AE41:AI41"/>
    <mergeCell ref="BI41:BM41"/>
    <mergeCell ref="AJ41:AN41"/>
    <mergeCell ref="A38:H38"/>
    <mergeCell ref="I38:O38"/>
    <mergeCell ref="P38:T38"/>
    <mergeCell ref="U38:Y38"/>
    <mergeCell ref="A39:H39"/>
    <mergeCell ref="I39:O39"/>
    <mergeCell ref="P39:T39"/>
    <mergeCell ref="U39:Y39"/>
    <mergeCell ref="AY39:BC39"/>
    <mergeCell ref="BS39:BW39"/>
    <mergeCell ref="BX39:CB39"/>
    <mergeCell ref="Z39:AD39"/>
    <mergeCell ref="AE39:AI39"/>
    <mergeCell ref="AJ39:AN39"/>
    <mergeCell ref="AO39:AS39"/>
    <mergeCell ref="BN39:BR39"/>
    <mergeCell ref="A40:H40"/>
    <mergeCell ref="I40:O40"/>
    <mergeCell ref="P40:T40"/>
    <mergeCell ref="U40:Y40"/>
    <mergeCell ref="AY40:BC40"/>
    <mergeCell ref="BD39:BH39"/>
    <mergeCell ref="Z40:AD40"/>
    <mergeCell ref="AE40:AI40"/>
    <mergeCell ref="AJ40:AN40"/>
    <mergeCell ref="AO40:AS40"/>
    <mergeCell ref="BI39:BM39"/>
    <mergeCell ref="AT39:AX39"/>
    <mergeCell ref="AT40:AX40"/>
    <mergeCell ref="BX40:CB40"/>
    <mergeCell ref="BS38:BW38"/>
    <mergeCell ref="BS40:BW40"/>
    <mergeCell ref="BD40:BH40"/>
    <mergeCell ref="BI40:BM40"/>
    <mergeCell ref="BN40:BR40"/>
    <mergeCell ref="DY35:DZ35"/>
    <mergeCell ref="EA35:EB35"/>
    <mergeCell ref="BI36:BM36"/>
    <mergeCell ref="BN36:BR36"/>
    <mergeCell ref="BX36:CB36"/>
    <mergeCell ref="DF35:DI35"/>
    <mergeCell ref="BI37:BM37"/>
    <mergeCell ref="BN37:BR37"/>
    <mergeCell ref="BS37:BW37"/>
    <mergeCell ref="BX37:CB37"/>
    <mergeCell ref="CC37:CG37"/>
    <mergeCell ref="DW35:DX35"/>
    <mergeCell ref="BX35:CB35"/>
    <mergeCell ref="CR35:CS35"/>
    <mergeCell ref="CV35:CX35"/>
    <mergeCell ref="DA35:DC35"/>
    <mergeCell ref="CC35:CG35"/>
    <mergeCell ref="DR35:DU35"/>
    <mergeCell ref="CI39:CL40"/>
    <mergeCell ref="DL35:DO35"/>
    <mergeCell ref="AT37:AX37"/>
    <mergeCell ref="A37:H37"/>
    <mergeCell ref="I37:O37"/>
    <mergeCell ref="P37:T37"/>
    <mergeCell ref="U37:Y37"/>
    <mergeCell ref="Z37:AD37"/>
    <mergeCell ref="AE37:AI37"/>
    <mergeCell ref="AJ37:AN37"/>
    <mergeCell ref="AO37:AS37"/>
    <mergeCell ref="AY37:BC37"/>
    <mergeCell ref="A35:H35"/>
    <mergeCell ref="I35:O36"/>
    <mergeCell ref="P35:T35"/>
    <mergeCell ref="U35:Y35"/>
    <mergeCell ref="A36:H36"/>
    <mergeCell ref="P36:T36"/>
    <mergeCell ref="U36:Y36"/>
    <mergeCell ref="BD35:BH35"/>
    <mergeCell ref="BI35:BM35"/>
    <mergeCell ref="Z36:AD36"/>
    <mergeCell ref="AE36:AI36"/>
    <mergeCell ref="AJ36:AN36"/>
    <mergeCell ref="AO36:AS36"/>
    <mergeCell ref="AJ35:AN35"/>
    <mergeCell ref="AO35:AS35"/>
    <mergeCell ref="AT35:AX35"/>
    <mergeCell ref="AY35:BC35"/>
    <mergeCell ref="CI29:CL30"/>
    <mergeCell ref="BX29:CB29"/>
    <mergeCell ref="CC30:CG30"/>
    <mergeCell ref="AO30:AS30"/>
    <mergeCell ref="AT30:AX30"/>
    <mergeCell ref="AY30:BC30"/>
    <mergeCell ref="BD30:BH30"/>
    <mergeCell ref="BN29:BR29"/>
    <mergeCell ref="AT29:AX29"/>
    <mergeCell ref="AY29:BC29"/>
    <mergeCell ref="BD29:BH29"/>
    <mergeCell ref="BI29:BM29"/>
    <mergeCell ref="BX30:CB30"/>
    <mergeCell ref="BI30:BM30"/>
    <mergeCell ref="AH33:AL33"/>
    <mergeCell ref="AM33:AP33"/>
    <mergeCell ref="BR33:CG34"/>
    <mergeCell ref="BX27:CB27"/>
    <mergeCell ref="AO27:AS27"/>
    <mergeCell ref="AT27:AX27"/>
    <mergeCell ref="AY27:BC27"/>
    <mergeCell ref="BD27:BH27"/>
    <mergeCell ref="BN28:BR28"/>
    <mergeCell ref="BS28:BW28"/>
    <mergeCell ref="A28:H28"/>
    <mergeCell ref="I28:O28"/>
    <mergeCell ref="P28:T28"/>
    <mergeCell ref="U28:Y28"/>
    <mergeCell ref="AY28:BC28"/>
    <mergeCell ref="AT28:AX28"/>
    <mergeCell ref="AO28:AS28"/>
    <mergeCell ref="BD28:BH28"/>
    <mergeCell ref="BI28:BM28"/>
    <mergeCell ref="Z28:AD28"/>
    <mergeCell ref="AE28:AI28"/>
    <mergeCell ref="AJ28:AN28"/>
    <mergeCell ref="A27:H27"/>
    <mergeCell ref="I27:O27"/>
    <mergeCell ref="U27:Y27"/>
    <mergeCell ref="Z27:AD27"/>
    <mergeCell ref="AE27:AI27"/>
    <mergeCell ref="BX25:CB25"/>
    <mergeCell ref="AO25:AS25"/>
    <mergeCell ref="AT25:AX25"/>
    <mergeCell ref="AY25:BC25"/>
    <mergeCell ref="BD25:BH25"/>
    <mergeCell ref="A26:H26"/>
    <mergeCell ref="I26:O26"/>
    <mergeCell ref="P26:T26"/>
    <mergeCell ref="U26:Y26"/>
    <mergeCell ref="BI25:BM25"/>
    <mergeCell ref="BN25:BR25"/>
    <mergeCell ref="AT26:AX26"/>
    <mergeCell ref="AY26:BC26"/>
    <mergeCell ref="BD26:BH26"/>
    <mergeCell ref="BI26:BM26"/>
    <mergeCell ref="Z26:AD26"/>
    <mergeCell ref="AE26:AI26"/>
    <mergeCell ref="AJ26:AN26"/>
    <mergeCell ref="AO26:AS26"/>
    <mergeCell ref="BN26:BR26"/>
    <mergeCell ref="BS26:BW26"/>
    <mergeCell ref="BX26:CB26"/>
    <mergeCell ref="P25:T25"/>
    <mergeCell ref="A25:H25"/>
    <mergeCell ref="BX23:CB23"/>
    <mergeCell ref="CC22:CG22"/>
    <mergeCell ref="CC23:CG23"/>
    <mergeCell ref="A24:H24"/>
    <mergeCell ref="I24:O24"/>
    <mergeCell ref="P24:T24"/>
    <mergeCell ref="U24:Y24"/>
    <mergeCell ref="AY23:BC23"/>
    <mergeCell ref="BD23:BH23"/>
    <mergeCell ref="AT24:AX24"/>
    <mergeCell ref="AY24:BC24"/>
    <mergeCell ref="BD24:BH24"/>
    <mergeCell ref="AE23:AI23"/>
    <mergeCell ref="BI24:BM24"/>
    <mergeCell ref="Z24:AD24"/>
    <mergeCell ref="AE24:AI24"/>
    <mergeCell ref="AJ24:AN24"/>
    <mergeCell ref="AO24:AS24"/>
    <mergeCell ref="BN24:BR24"/>
    <mergeCell ref="BS24:BW24"/>
    <mergeCell ref="BX24:CB24"/>
    <mergeCell ref="BD22:BH22"/>
    <mergeCell ref="A23:H23"/>
    <mergeCell ref="A22:H22"/>
    <mergeCell ref="A21:H21"/>
    <mergeCell ref="I21:O21"/>
    <mergeCell ref="P21:T21"/>
    <mergeCell ref="U21:Y21"/>
    <mergeCell ref="Z21:AD21"/>
    <mergeCell ref="AE21:AI21"/>
    <mergeCell ref="AJ21:AN21"/>
    <mergeCell ref="BN21:BR21"/>
    <mergeCell ref="AE20:AI20"/>
    <mergeCell ref="AJ20:AN20"/>
    <mergeCell ref="AO20:AS20"/>
    <mergeCell ref="A20:H20"/>
    <mergeCell ref="I20:O20"/>
    <mergeCell ref="P20:T20"/>
    <mergeCell ref="U20:Y20"/>
    <mergeCell ref="Z20:AD20"/>
    <mergeCell ref="AT20:AX20"/>
    <mergeCell ref="AO21:AS21"/>
    <mergeCell ref="BN20:BR20"/>
    <mergeCell ref="BI20:BM20"/>
    <mergeCell ref="I19:O19"/>
    <mergeCell ref="P19:T19"/>
    <mergeCell ref="U19:Y19"/>
    <mergeCell ref="Z19:AD19"/>
    <mergeCell ref="AE19:AI19"/>
    <mergeCell ref="BI18:BM18"/>
    <mergeCell ref="BN18:BR18"/>
    <mergeCell ref="Z18:AD18"/>
    <mergeCell ref="AE18:AI18"/>
    <mergeCell ref="AO19:AS19"/>
    <mergeCell ref="AJ19:AN19"/>
    <mergeCell ref="BI19:BM19"/>
    <mergeCell ref="AJ18:AN18"/>
    <mergeCell ref="AO18:AS18"/>
    <mergeCell ref="AT18:AX18"/>
    <mergeCell ref="AY18:BC18"/>
    <mergeCell ref="BD18:BH18"/>
    <mergeCell ref="AY19:BC19"/>
    <mergeCell ref="BD19:BH19"/>
    <mergeCell ref="AT19:AX19"/>
    <mergeCell ref="BN19:BR19"/>
    <mergeCell ref="DY16:DZ16"/>
    <mergeCell ref="EA16:EB16"/>
    <mergeCell ref="A17:H17"/>
    <mergeCell ref="P17:T17"/>
    <mergeCell ref="U17:Y17"/>
    <mergeCell ref="Z17:AD17"/>
    <mergeCell ref="AE17:AI17"/>
    <mergeCell ref="AJ17:AN17"/>
    <mergeCell ref="AT17:AX17"/>
    <mergeCell ref="DF16:DI16"/>
    <mergeCell ref="DL16:DO16"/>
    <mergeCell ref="DR16:DU16"/>
    <mergeCell ref="DW16:DX16"/>
    <mergeCell ref="BX16:CB16"/>
    <mergeCell ref="CR16:CS16"/>
    <mergeCell ref="CV16:CX16"/>
    <mergeCell ref="DA16:DC16"/>
    <mergeCell ref="BX17:CB17"/>
    <mergeCell ref="AO17:AS17"/>
    <mergeCell ref="AY16:BC16"/>
    <mergeCell ref="BD16:BH16"/>
    <mergeCell ref="BI16:BM16"/>
    <mergeCell ref="AT16:AX16"/>
    <mergeCell ref="BD17:BH17"/>
    <mergeCell ref="L10:R10"/>
    <mergeCell ref="AH15:AL15"/>
    <mergeCell ref="AM15:AP15"/>
    <mergeCell ref="AW15:BL15"/>
    <mergeCell ref="I16:O17"/>
    <mergeCell ref="P16:T16"/>
    <mergeCell ref="U16:Y16"/>
    <mergeCell ref="Z16:AD16"/>
    <mergeCell ref="AE16:AI16"/>
    <mergeCell ref="A11:M11"/>
    <mergeCell ref="O11:V11"/>
    <mergeCell ref="W11:AB11"/>
    <mergeCell ref="AC11:AO11"/>
    <mergeCell ref="S10:U10"/>
    <mergeCell ref="W10:AB10"/>
    <mergeCell ref="AC10:AO10"/>
    <mergeCell ref="AQ10:AX10"/>
    <mergeCell ref="AY10:BB10"/>
    <mergeCell ref="BC10:BP10"/>
    <mergeCell ref="A10:J10"/>
    <mergeCell ref="AY17:BC17"/>
    <mergeCell ref="BN17:BR17"/>
    <mergeCell ref="BI17:BM17"/>
    <mergeCell ref="CI11:CJ11"/>
    <mergeCell ref="BR10:BY10"/>
    <mergeCell ref="AY9:BB9"/>
    <mergeCell ref="CI10:CJ10"/>
    <mergeCell ref="AQ11:AX11"/>
    <mergeCell ref="AY11:BB11"/>
    <mergeCell ref="AO23:AS23"/>
    <mergeCell ref="AT23:AX23"/>
    <mergeCell ref="AY21:BC21"/>
    <mergeCell ref="BD21:BH21"/>
    <mergeCell ref="BI21:BM21"/>
    <mergeCell ref="AT21:AX21"/>
    <mergeCell ref="BS20:BW20"/>
    <mergeCell ref="BX20:CB20"/>
    <mergeCell ref="BN22:BR22"/>
    <mergeCell ref="BS22:BW22"/>
    <mergeCell ref="BS21:BW21"/>
    <mergeCell ref="BX21:CB21"/>
    <mergeCell ref="BI22:BM22"/>
    <mergeCell ref="BI23:BM23"/>
    <mergeCell ref="BN23:BR23"/>
    <mergeCell ref="BX22:CB22"/>
    <mergeCell ref="CI21:CL22"/>
    <mergeCell ref="BZ10:CG10"/>
    <mergeCell ref="CN1:EB2"/>
    <mergeCell ref="CI7:CL8"/>
    <mergeCell ref="A8:AB8"/>
    <mergeCell ref="AC8:BB8"/>
    <mergeCell ref="A7:CG7"/>
    <mergeCell ref="BC8:CG8"/>
    <mergeCell ref="BC9:BP9"/>
    <mergeCell ref="BR9:BY9"/>
    <mergeCell ref="A9:J9"/>
    <mergeCell ref="L9:AB9"/>
    <mergeCell ref="CI9:CJ9"/>
    <mergeCell ref="A6:CG6"/>
    <mergeCell ref="A4:G4"/>
    <mergeCell ref="A5:G5"/>
    <mergeCell ref="AC9:AO9"/>
    <mergeCell ref="AQ9:AX9"/>
    <mergeCell ref="A1:BK1"/>
    <mergeCell ref="BL1:BP1"/>
    <mergeCell ref="BR1:CG1"/>
    <mergeCell ref="A2:BK2"/>
    <mergeCell ref="BL2:BP2"/>
    <mergeCell ref="BR2:CG2"/>
    <mergeCell ref="BX5:CG5"/>
    <mergeCell ref="BZ9:CG9"/>
    <mergeCell ref="U29:Y29"/>
    <mergeCell ref="Z29:AD29"/>
    <mergeCell ref="AE29:AI29"/>
    <mergeCell ref="P23:T23"/>
    <mergeCell ref="I23:O23"/>
    <mergeCell ref="I22:O22"/>
    <mergeCell ref="P22:T22"/>
    <mergeCell ref="U22:Y22"/>
    <mergeCell ref="Z22:AD22"/>
    <mergeCell ref="AE22:AI22"/>
    <mergeCell ref="I25:O25"/>
    <mergeCell ref="T34:W34"/>
    <mergeCell ref="AD34:AF34"/>
    <mergeCell ref="AT22:AX22"/>
    <mergeCell ref="AJ23:AN23"/>
    <mergeCell ref="AY20:BC20"/>
    <mergeCell ref="BD20:BH20"/>
    <mergeCell ref="AO22:AS22"/>
    <mergeCell ref="U25:Y25"/>
    <mergeCell ref="Z25:AD25"/>
    <mergeCell ref="AE25:AI25"/>
    <mergeCell ref="AJ25:AN25"/>
    <mergeCell ref="P27:T27"/>
    <mergeCell ref="Z23:AD23"/>
    <mergeCell ref="AJ29:AN29"/>
    <mergeCell ref="AO29:AS29"/>
    <mergeCell ref="AV34:BL34"/>
    <mergeCell ref="AY22:BC22"/>
    <mergeCell ref="BI27:BM27"/>
    <mergeCell ref="AH34:AL34"/>
    <mergeCell ref="AM34:AP34"/>
    <mergeCell ref="AJ27:AN27"/>
    <mergeCell ref="U23:Y23"/>
    <mergeCell ref="AJ22:AN22"/>
    <mergeCell ref="P29:T29"/>
    <mergeCell ref="BS19:BW19"/>
    <mergeCell ref="BN16:BR16"/>
    <mergeCell ref="BS23:BW23"/>
    <mergeCell ref="BS25:BW25"/>
    <mergeCell ref="BN27:BR27"/>
    <mergeCell ref="BS27:BW27"/>
    <mergeCell ref="BN30:BR30"/>
    <mergeCell ref="BD37:BH37"/>
    <mergeCell ref="BN35:BR35"/>
    <mergeCell ref="BS35:BW36"/>
    <mergeCell ref="BS16:BW17"/>
    <mergeCell ref="A3:BQ3"/>
    <mergeCell ref="BR3:CG3"/>
    <mergeCell ref="AQ4:AZ4"/>
    <mergeCell ref="BB4:BL4"/>
    <mergeCell ref="BM4:BV4"/>
    <mergeCell ref="BX4:CG4"/>
    <mergeCell ref="I5:T5"/>
    <mergeCell ref="U5:AA5"/>
    <mergeCell ref="AC5:AN5"/>
    <mergeCell ref="AQ5:AZ5"/>
    <mergeCell ref="BB5:BL5"/>
    <mergeCell ref="BM5:BV5"/>
    <mergeCell ref="I4:T4"/>
    <mergeCell ref="U4:W4"/>
    <mergeCell ref="Y4:AD4"/>
    <mergeCell ref="AE4:AG4"/>
    <mergeCell ref="AI4:AN4"/>
    <mergeCell ref="AO4:AP5"/>
    <mergeCell ref="A58:D59"/>
    <mergeCell ref="E58:E59"/>
    <mergeCell ref="F58:Y58"/>
    <mergeCell ref="Z58:AS58"/>
    <mergeCell ref="AT58:BM58"/>
    <mergeCell ref="BN58:CG58"/>
    <mergeCell ref="F59:Y59"/>
    <mergeCell ref="Z59:AS59"/>
    <mergeCell ref="AT59:BM59"/>
    <mergeCell ref="BN59:CG59"/>
  </mergeCells>
  <phoneticPr fontId="2" type="noConversion"/>
  <conditionalFormatting sqref="BR9 BR11 AJ30 AT30 BD30 BN30 BX30 U37:Y48 A37:O48 C54 AK54 BR54 CC30 BD18:CG29 BD37:CG48 AJ49 AT49 BD49 BN49 BX49 CC49">
    <cfRule type="containsBlanks" dxfId="38" priority="12" stopIfTrue="1">
      <formula>LEN(TRIM(A9))=0</formula>
    </cfRule>
  </conditionalFormatting>
  <conditionalFormatting sqref="AQ9:AX11 L9:L10 O11 W10 BR10 A18:BC29 P37:T48 Z37:BC48">
    <cfRule type="containsBlanks" dxfId="37" priority="11" stopIfTrue="1">
      <formula>LEN(TRIM(A9))=0</formula>
    </cfRule>
  </conditionalFormatting>
  <conditionalFormatting sqref="N14:S15 AM15 BN14:BQ15 AH15 BR13 BB13">
    <cfRule type="containsBlanks" dxfId="36" priority="10" stopIfTrue="1">
      <formula>LEN(TRIM(N13))=0</formula>
    </cfRule>
  </conditionalFormatting>
  <conditionalFormatting sqref="AH14 AP13">
    <cfRule type="containsBlanks" dxfId="35" priority="9" stopIfTrue="1">
      <formula>LEN(TRIM(AH13))=0</formula>
    </cfRule>
  </conditionalFormatting>
  <conditionalFormatting sqref="AH34:AP34 N33:N34 BB32 BN33:BQ34 BR32">
    <cfRule type="containsBlanks" dxfId="34" priority="8" stopIfTrue="1">
      <formula>LEN(TRIM(N32))=0</formula>
    </cfRule>
  </conditionalFormatting>
  <conditionalFormatting sqref="AH33">
    <cfRule type="containsBlanks" dxfId="33" priority="7" stopIfTrue="1">
      <formula>LEN(TRIM(AH33))=0</formula>
    </cfRule>
  </conditionalFormatting>
  <conditionalFormatting sqref="A52:CG52 CK50">
    <cfRule type="containsBlanks" dxfId="32" priority="5" stopIfTrue="1">
      <formula>LEN(TRIM(A50))=0</formula>
    </cfRule>
  </conditionalFormatting>
  <conditionalFormatting sqref="BB4:BL5 BX4:CG5 AP32">
    <cfRule type="containsBlanks" dxfId="31" priority="4" stopIfTrue="1">
      <formula>LEN(TRIM(AP4))=0</formula>
    </cfRule>
  </conditionalFormatting>
  <conditionalFormatting sqref="BR1:CG2 I4:T5 Y4 AC5 AI4">
    <cfRule type="containsBlanks" dxfId="30" priority="3" stopIfTrue="1">
      <formula>LEN(TRIM(I1))=0</formula>
    </cfRule>
  </conditionalFormatting>
  <dataValidations count="56">
    <dataValidation type="list" allowBlank="1" showInputMessage="1" showErrorMessage="1" sqref="U17:Y17" xr:uid="{00000000-0002-0000-1400-000000000000}">
      <formula1>$CN$24:$CN$25</formula1>
    </dataValidation>
    <dataValidation type="list" allowBlank="1" showInputMessage="1" showErrorMessage="1" sqref="T14 T33" xr:uid="{00000000-0002-0000-1400-000001000000}">
      <formula1>$CN$8:$CN$9</formula1>
    </dataValidation>
    <dataValidation type="list" allowBlank="1" showInputMessage="1" showErrorMessage="1" sqref="AY17:BC17" xr:uid="{00000000-0002-0000-1400-000002000000}">
      <formula1>$CN$39:$CN$40</formula1>
    </dataValidation>
    <dataValidation type="list" allowBlank="1" showInputMessage="1" showErrorMessage="1" sqref="P16:T16" xr:uid="{00000000-0002-0000-1400-000003000000}">
      <formula1>$CN$18:$CN$20</formula1>
    </dataValidation>
    <dataValidation type="list" allowBlank="1" showInputMessage="1" showErrorMessage="1" sqref="AJ17:AN17" xr:uid="{00000000-0002-0000-1400-000004000000}">
      <formula1>$CN$34:$CN$35</formula1>
    </dataValidation>
    <dataValidation type="list" allowBlank="1" showInputMessage="1" showErrorMessage="1" sqref="Z36:AD36 Z17:AD17 AO17:AS17 AO36:AS36" xr:uid="{00000000-0002-0000-1400-000005000000}">
      <formula1>$CN$29:$CN$30</formula1>
    </dataValidation>
    <dataValidation allowBlank="1" showInputMessage="1" showErrorMessage="1" prompt="Enter the amount of bunkers on departure from the last port of call as advised by the vessel" sqref="O11:V11" xr:uid="{00000000-0002-0000-1400-000006000000}"/>
    <dataValidation allowBlank="1" showInputMessage="1" showErrorMessage="1" prompt="Enter the time vessel sailed from the last port of call" sqref="W10:AB10" xr:uid="{00000000-0002-0000-1400-000007000000}"/>
    <dataValidation allowBlank="1" showInputMessage="1" showErrorMessage="1" prompt="Enter the date vessel sailed from the last port of call" sqref="L10:R10" xr:uid="{00000000-0002-0000-1400-000008000000}"/>
    <dataValidation allowBlank="1" showInputMessage="1" showErrorMessage="1" prompt="Enter the vessel's last port of call" sqref="L9:AB9" xr:uid="{00000000-0002-0000-1400-000009000000}"/>
    <dataValidation allowBlank="1" showInputMessage="1" showErrorMessage="1" prompt="Enter the consumption rate at anchorage as advised by the vessel" sqref="AQ11:AX11" xr:uid="{00000000-0002-0000-1400-00000A000000}"/>
    <dataValidation allowBlank="1" showInputMessage="1" showErrorMessage="1" prompt="Enter the consumption rate in port as advised by the vessel" sqref="AQ10:AX10" xr:uid="{00000000-0002-0000-1400-00000B000000}"/>
    <dataValidation allowBlank="1" showInputMessage="1" showErrorMessage="1" prompt="Enter the consumption rate at sea as advised by the vessel" sqref="AQ9:AX9" xr:uid="{00000000-0002-0000-1400-00000C000000}"/>
    <dataValidation allowBlank="1" showInputMessage="1" showErrorMessage="1" prompt="Enter the quantity of bunkers consumed during the survey" sqref="BR10:BY10" xr:uid="{00000000-0002-0000-1400-00000D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1400-00000E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1400-00000F000000}"/>
    <dataValidation allowBlank="1" showInputMessage="1" showErrorMessage="1" promptTitle="Opening Temperatures" prompt="Enter the temperature of the fuel within the tank in either °C or °F. Ensure the correct units are selected above." sqref="AY18:BC18" xr:uid="{00000000-0002-0000-1400-000010000000}"/>
    <dataValidation allowBlank="1" showInputMessage="1" showErrorMessage="1" promptTitle="Opening Soundings" prompt="Calculate the volume of F.W. This can be entered in m³ or barrels, ensure the correct units are selected above." sqref="AT18:AX18" xr:uid="{00000000-0002-0000-1400-000011000000}"/>
    <dataValidation allowBlank="1" showInputMessage="1" showErrorMessage="1" promptTitle="Opening Soundings" prompt="Enter if any Free Water (F.W.) was observed during the soundings." sqref="AO18:AS18" xr:uid="{00000000-0002-0000-1400-000012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xr:uid="{00000000-0002-0000-1400-000013000000}"/>
    <dataValidation allowBlank="1" showInputMessage="1" showErrorMessage="1" promptTitle="Opening Soundings" prompt="Enter corrected innage/ullage figures. Ensure that innage or ullage is correctly stated above." sqref="AE18:AI18" xr:uid="{00000000-0002-0000-1400-000014000000}"/>
    <dataValidation allowBlank="1" showInputMessage="1" showErrorMessage="1" promptTitle="Opening Soundings" prompt="Enter observed innage/ullage figures. Ensure that innage or ullage is correctly stated above." sqref="Z18:AD18" xr:uid="{00000000-0002-0000-1400-000015000000}"/>
    <dataValidation allowBlank="1" showInputMessage="1" showErrorMessage="1" prompt="Enter the reference height in metres or in Ft&amp;In, this should be available in the vessels calibration tables. Ensure to select the correct units above._x000a_" sqref="U18:Y18" xr:uid="{00000000-0002-0000-1400-000016000000}"/>
    <dataValidation allowBlank="1" showInputMessage="1" showErrorMessage="1" promptTitle="Opening Density" prompt="Enter the density/API/specific gravity of the fuel within the tank as advised by the vessel. Ensure that it is correctly stated above." sqref="P18:T18" xr:uid="{00000000-0002-0000-1400-000017000000}"/>
    <dataValidation allowBlank="1" showInputMessage="1" showErrorMessage="1" prompt="Enter the grade of fuel within the tank" sqref="I18:O18" xr:uid="{00000000-0002-0000-1400-000018000000}"/>
    <dataValidation allowBlank="1" showInputMessage="1" showErrorMessage="1" prompt="Enter the name of the vessel tank" sqref="A18:H18" xr:uid="{00000000-0002-0000-1400-000019000000}"/>
    <dataValidation allowBlank="1" showInputMessage="1" showErrorMessage="1" promptTitle="Closing Soundings" prompt="Enter the temperature of the fuel within the tank in either °C or °F. Ensure the correct units are selected above." sqref="AY37:BC37" xr:uid="{00000000-0002-0000-1400-00001A000000}"/>
    <dataValidation allowBlank="1" showInputMessage="1" showErrorMessage="1" promptTitle="Closing Soundings" prompt="Calculate the volume of F.W. This can be entered in m³ or barrels, ensure the correct units are selected above." sqref="AT37:AX37" xr:uid="{00000000-0002-0000-1400-00001B000000}"/>
    <dataValidation allowBlank="1" showInputMessage="1" showErrorMessage="1" promptTitle="Closing Soundings" prompt="Enter if any Free Water (F.W.) was observed during the soundings." sqref="AO37:AS37" xr:uid="{00000000-0002-0000-1400-00001C000000}"/>
    <dataValidation allowBlank="1" showInputMessage="1" showErrorMessage="1" promptTitle="Closing Soundings" prompt="Enter the Total Observed Volume (T.O.V.), this can be ascertained by using the vessel's calibration tables. This can be entered in m³ or barrels, ensure the correct units are selected above." sqref="AJ37:AN37" xr:uid="{00000000-0002-0000-1400-00001D000000}"/>
    <dataValidation allowBlank="1" showInputMessage="1" showErrorMessage="1" promptTitle="Closing soundings" prompt="Enter corrected innage/ullage figures. Ensure that innage or ullage is correctly stated above." sqref="AE37:AI37" xr:uid="{00000000-0002-0000-1400-00001E000000}"/>
    <dataValidation allowBlank="1" showInputMessage="1" showErrorMessage="1" promptTitle="Closing soundings" prompt="Enter observed innage/ullage figures. Ensure that innage or ullage is correctly stated above." sqref="Z37:AD37" xr:uid="{00000000-0002-0000-1400-00001F000000}"/>
    <dataValidation allowBlank="1" showInputMessage="1" showErrorMessage="1" promptTitle="Closing Density" prompt="Enter the density/API/specific gravity of the fuel within the tank. Ensure that it is correctly stated above._x000a__x000a_If you need to calculate the weighted average density the adjacent calculator can be utilised." sqref="P37:T37" xr:uid="{00000000-0002-0000-1400-000020000000}"/>
    <dataValidation type="list" allowBlank="1" showInputMessage="1" showErrorMessage="1" prompt="Advise the sea condition during the opening soundings" sqref="BR13:CG13" xr:uid="{00000000-0002-0000-1400-000021000000}">
      <formula1>$CN$57:$CN$62</formula1>
    </dataValidation>
    <dataValidation allowBlank="1" showInputMessage="1" showErrorMessage="1" prompt="Advise the list of the vessel when opening soundings were made and select either °P or °S in the adjacent box" sqref="AH15:AL15" xr:uid="{00000000-0002-0000-1400-000022000000}"/>
    <dataValidation type="list" allowBlank="1" showInputMessage="1" showErrorMessage="1" prompt="Advise whether trim corrections were made on arrival" sqref="BN14:BQ14" xr:uid="{00000000-0002-0000-1400-000023000000}">
      <formula1>$CN$13:$CN$14</formula1>
    </dataValidation>
    <dataValidation allowBlank="1" showInputMessage="1" showErrorMessage="1" prompt="Advise time that the opening soundings were made_x000a_" sqref="BB13:BI13" xr:uid="{00000000-0002-0000-1400-000024000000}"/>
    <dataValidation type="list" allowBlank="1" showInputMessage="1" showErrorMessage="1" sqref="AM15 AM34" xr:uid="{00000000-0002-0000-1400-000025000000}">
      <formula1>$CN$66:$CN$67</formula1>
    </dataValidation>
    <dataValidation type="list" allowBlank="1" showInputMessage="1" showErrorMessage="1" prompt="Advise whether list corrections were made on arrival" sqref="BN15:BQ15" xr:uid="{00000000-0002-0000-1400-000026000000}">
      <formula1>$CN$13:$CN$14</formula1>
    </dataValidation>
    <dataValidation type="list" allowBlank="1" showInputMessage="1" showErrorMessage="1" prompt="Advise the sea condition during the closing soundings" sqref="BR32:CG32" xr:uid="{00000000-0002-0000-1400-000027000000}">
      <formula1>$CN$57:$CN$62</formula1>
    </dataValidation>
    <dataValidation type="list" allowBlank="1" showInputMessage="1" showErrorMessage="1" prompt="Advise whether list corrections were made on departure_x000a_" sqref="BN34:BQ34" xr:uid="{00000000-0002-0000-1400-000028000000}">
      <formula1>$CN$13:$CN$14</formula1>
    </dataValidation>
    <dataValidation type="list" allowBlank="1" showInputMessage="1" showErrorMessage="1" prompt="Advise whether trim corrections were made on departure" sqref="BN33:BQ33" xr:uid="{00000000-0002-0000-1400-000029000000}">
      <formula1>$CN$13:$CN$14</formula1>
    </dataValidation>
    <dataValidation allowBlank="1" showInputMessage="1" showErrorMessage="1" prompt="Advise time that the closing soundings were made_x000a_" sqref="BB32:BI32" xr:uid="{00000000-0002-0000-1400-00002A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1400-00002B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1400-00002C000000}"/>
    <dataValidation allowBlank="1" showInputMessage="1" showErrorMessage="1" prompt="Advise the list of the vessel when closing soundings were made and select either °P or °S in the adjacent box" sqref="AH34:AL34" xr:uid="{00000000-0002-0000-1400-00002D000000}"/>
    <dataValidation allowBlank="1" showInputMessage="1" showErrorMessage="1" prompt="Please enter the name of the company that has certified/created the calibration table." sqref="BB4:BL4" xr:uid="{00000000-0002-0000-1400-00002E000000}"/>
    <dataValidation operator="greaterThan" allowBlank="1" showInputMessage="1" showErrorMessage="1" prompt="Enter the date of the calibration table_x000a_" sqref="BB5:BL5" xr:uid="{00000000-0002-0000-1400-00002F000000}"/>
    <dataValidation allowBlank="1" showInputMessage="1" showErrorMessage="1" prompt="Enter the serial number of the sounding tape used" sqref="BX4:CG4" xr:uid="{00000000-0002-0000-1400-000030000000}"/>
    <dataValidation allowBlank="1" showInputMessage="1" showErrorMessage="1" prompt="Enter the serial number of the thermometer used" sqref="BX5:CG5" xr:uid="{00000000-0002-0000-1400-000031000000}"/>
    <dataValidation allowBlank="1" showInputMessage="1" showErrorMessage="1" prompt="Advise date closing measurements were made" sqref="AP32:AW32" xr:uid="{8367985C-EC4B-438A-B92B-978D7C731667}"/>
    <dataValidation allowBlank="1" showInputMessage="1" showErrorMessage="1" promptTitle="Laboratory Density" prompt="If sample is analysed in the laboratory please enter the laboratory density." sqref="F59:Y59" xr:uid="{74F39FD3-C07C-4303-84E6-155D582A2569}"/>
    <dataValidation allowBlank="1" showInputMessage="1" showErrorMessage="1" prompt="Use the density of the supplied fuel as advised by the barge/supplier" sqref="CK49" xr:uid="{39396414-4A24-4D2C-A4C0-EFB49B7FC234}"/>
    <dataValidation allowBlank="1" showInputMessage="1" showErrorMessage="1" prompt="Use the density of the fuel within the tank as advised by the C/E" sqref="CK48" xr:uid="{32C2423D-DB6A-47A1-A522-6EF6E9ABDE80}"/>
    <dataValidation allowBlank="1" showInputMessage="1" showErrorMessage="1" prompt="Use the GOV of the tank after bunkering" sqref="CK47" xr:uid="{F18BE40B-C015-45E8-88A7-AA1835CB45DD}"/>
    <dataValidation allowBlank="1" showInputMessage="1" showErrorMessage="1" prompt="Use the GOV of the tank before bunkering" sqref="CK46" xr:uid="{715AB54A-43DB-4C5B-917E-CEF57012843A}"/>
  </dataValidations>
  <printOptions horizontalCentered="1" verticalCentered="1"/>
  <pageMargins left="0.23622047244094491" right="0.23622047244094491" top="0.23622047244094491" bottom="0.23622047244094491" header="0.51181102362204722" footer="0.23622047244094491"/>
  <pageSetup scale="94" orientation="landscape" r:id="rId1"/>
  <headerFooter alignWithMargins="0">
    <oddFooter>&amp;C&amp;06 &amp;P &amp; of &amp;N</oddFooter>
  </headerFooter>
  <drawing r:id="rId2"/>
  <extLst>
    <ext xmlns:x14="http://schemas.microsoft.com/office/spreadsheetml/2009/9/main" uri="{78C0D931-6437-407d-A8EE-F0AAD7539E65}">
      <x14:conditionalFormattings>
        <x14:conditionalFormatting xmlns:xm="http://schemas.microsoft.com/office/excel/2006/main">
          <x14:cfRule type="containsBlanks" priority="2" stopIfTrue="1" id="{15CC4CD0-0CE4-4F39-9313-4F2112846D5F}">
            <xm:f>LEN(TRIM('Vessel Survey 1'!F46))=0</xm:f>
            <x14:dxf>
              <fill>
                <patternFill>
                  <bgColor rgb="FFCCCCFF"/>
                </patternFill>
              </fill>
            </x14:dxf>
          </x14:cfRule>
          <xm:sqref>F59 CK46:CK49</xm:sqref>
        </x14:conditionalFormatting>
        <x14:conditionalFormatting xmlns:xm="http://schemas.microsoft.com/office/excel/2006/main">
          <x14:cfRule type="containsBlanks" priority="1" stopIfTrue="1" id="{D48A71B4-53F6-45FB-A89D-7A62D27467A9}">
            <xm:f>LEN(TRIM('Vessel Survey 1'!Z59))=0</xm:f>
            <x14:dxf>
              <fill>
                <patternFill>
                  <bgColor rgb="FF99FFCC"/>
                </patternFill>
              </fill>
            </x14:dxf>
          </x14:cfRule>
          <xm:sqref>Z59:CG59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2">
    <tabColor theme="7" tint="0.39997558519241921"/>
    <pageSetUpPr fitToPage="1"/>
  </sheetPr>
  <dimension ref="A1:EB66"/>
  <sheetViews>
    <sheetView topLeftCell="A19" zoomScaleNormal="100" workbookViewId="0">
      <selection activeCell="BG36" sqref="BG36"/>
    </sheetView>
  </sheetViews>
  <sheetFormatPr defaultColWidth="9.140625" defaultRowHeight="11.45" customHeight="1" x14ac:dyDescent="0.2"/>
  <cols>
    <col min="1" max="85" width="1.7109375" style="6" customWidth="1"/>
    <col min="86" max="86" width="4.7109375" style="6" customWidth="1"/>
    <col min="87" max="90" width="9.140625" style="6"/>
    <col min="91" max="91" width="4.7109375" style="6" customWidth="1"/>
    <col min="92" max="92" width="10.7109375" style="6" hidden="1" customWidth="1"/>
    <col min="93" max="93" width="2.7109375" style="6" hidden="1" customWidth="1"/>
    <col min="94" max="94" width="10.7109375" style="6" hidden="1" customWidth="1"/>
    <col min="95" max="95" width="2.7109375" style="6" hidden="1" customWidth="1"/>
    <col min="96" max="97" width="9.140625" style="6" hidden="1" customWidth="1"/>
    <col min="98" max="98" width="2.7109375" style="6" hidden="1" customWidth="1"/>
    <col min="99" max="102" width="9.140625" style="6" hidden="1" customWidth="1"/>
    <col min="103" max="103" width="2.7109375" style="6" hidden="1" customWidth="1"/>
    <col min="104" max="107" width="9.140625" style="6" hidden="1" customWidth="1"/>
    <col min="108" max="108" width="2.7109375" style="6" hidden="1" customWidth="1"/>
    <col min="109" max="113" width="9.140625" style="6" hidden="1" customWidth="1"/>
    <col min="114" max="114" width="2.7109375" style="6" hidden="1" customWidth="1"/>
    <col min="115" max="119" width="9.140625" style="6" hidden="1" customWidth="1"/>
    <col min="120" max="120" width="2.7109375" style="6" hidden="1" customWidth="1"/>
    <col min="121" max="125" width="9.140625" style="6" hidden="1" customWidth="1"/>
    <col min="126" max="126" width="2.7109375" style="6" hidden="1" customWidth="1"/>
    <col min="127" max="132" width="9.140625" style="6" hidden="1" customWidth="1"/>
    <col min="133" max="16384" width="9.140625" style="6"/>
  </cols>
  <sheetData>
    <row r="1" spans="1:132" ht="11.4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5" t="s">
        <v>280</v>
      </c>
      <c r="BM1" s="155"/>
      <c r="BN1" s="155"/>
      <c r="BO1" s="155"/>
      <c r="BP1" s="155"/>
      <c r="BQ1" s="90" t="s">
        <v>0</v>
      </c>
      <c r="BR1" s="155" t="str">
        <f>IF('Data Entry'!N28="","",'Data Entry'!N28)</f>
        <v/>
      </c>
      <c r="BS1" s="155"/>
      <c r="BT1" s="155"/>
      <c r="BU1" s="155"/>
      <c r="BV1" s="155"/>
      <c r="BW1" s="155"/>
      <c r="BX1" s="155"/>
      <c r="BY1" s="155"/>
      <c r="BZ1" s="155"/>
      <c r="CA1" s="155"/>
      <c r="CB1" s="155"/>
      <c r="CC1" s="155"/>
      <c r="CD1" s="155"/>
      <c r="CE1" s="155"/>
      <c r="CF1" s="155"/>
      <c r="CG1" s="155"/>
      <c r="CN1" s="368" t="s">
        <v>225</v>
      </c>
      <c r="CO1" s="369"/>
      <c r="CP1" s="369"/>
      <c r="CQ1" s="369"/>
      <c r="CR1" s="369"/>
      <c r="CS1" s="369"/>
      <c r="CT1" s="369"/>
      <c r="CU1" s="369"/>
      <c r="CV1" s="369"/>
      <c r="CW1" s="369"/>
      <c r="CX1" s="369"/>
      <c r="CY1" s="369"/>
      <c r="CZ1" s="369"/>
      <c r="DA1" s="369"/>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70"/>
    </row>
    <row r="2" spans="1:132" ht="11.45" customHeight="1" x14ac:dyDescent="0.2">
      <c r="A2" s="164" t="s">
        <v>233</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55" t="s">
        <v>281</v>
      </c>
      <c r="BM2" s="155"/>
      <c r="BN2" s="155"/>
      <c r="BO2" s="155"/>
      <c r="BP2" s="155"/>
      <c r="BQ2" s="90" t="s">
        <v>0</v>
      </c>
      <c r="BR2" s="155" t="str">
        <f>IF('Data Entry'!N39="","",'Data Entry'!N39)</f>
        <v>SC17124</v>
      </c>
      <c r="BS2" s="155"/>
      <c r="BT2" s="155"/>
      <c r="BU2" s="155"/>
      <c r="BV2" s="155"/>
      <c r="BW2" s="155"/>
      <c r="BX2" s="155"/>
      <c r="BY2" s="155"/>
      <c r="BZ2" s="155"/>
      <c r="CA2" s="155"/>
      <c r="CB2" s="155"/>
      <c r="CC2" s="155"/>
      <c r="CD2" s="155"/>
      <c r="CE2" s="155"/>
      <c r="CF2" s="155"/>
      <c r="CG2" s="155"/>
      <c r="CN2" s="371"/>
      <c r="CO2" s="372"/>
      <c r="CP2" s="372"/>
      <c r="CQ2" s="372"/>
      <c r="CR2" s="372"/>
      <c r="CS2" s="372"/>
      <c r="CT2" s="372"/>
      <c r="CU2" s="372"/>
      <c r="CV2" s="372"/>
      <c r="CW2" s="372"/>
      <c r="CX2" s="372"/>
      <c r="CY2" s="372"/>
      <c r="CZ2" s="372"/>
      <c r="DA2" s="372"/>
      <c r="DB2" s="372"/>
      <c r="DC2" s="372"/>
      <c r="DD2" s="372"/>
      <c r="DE2" s="372"/>
      <c r="DF2" s="372"/>
      <c r="DG2" s="372"/>
      <c r="DH2" s="372"/>
      <c r="DI2" s="372"/>
      <c r="DJ2" s="372"/>
      <c r="DK2" s="372"/>
      <c r="DL2" s="372"/>
      <c r="DM2" s="372"/>
      <c r="DN2" s="372"/>
      <c r="DO2" s="372"/>
      <c r="DP2" s="372"/>
      <c r="DQ2" s="372"/>
      <c r="DR2" s="372"/>
      <c r="DS2" s="372"/>
      <c r="DT2" s="372"/>
      <c r="DU2" s="372"/>
      <c r="DV2" s="372"/>
      <c r="DW2" s="372"/>
      <c r="DX2" s="372"/>
      <c r="DY2" s="372"/>
      <c r="DZ2" s="372"/>
      <c r="EA2" s="372"/>
      <c r="EB2" s="373"/>
    </row>
    <row r="3" spans="1:132" ht="11.4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t="str">
        <f>'Bunker Certificate 1'!Y4</f>
        <v/>
      </c>
      <c r="BS3" s="154"/>
      <c r="BT3" s="154"/>
      <c r="BU3" s="154"/>
      <c r="BV3" s="154"/>
      <c r="BW3" s="154"/>
      <c r="BX3" s="154"/>
      <c r="BY3" s="154"/>
      <c r="BZ3" s="154"/>
      <c r="CA3" s="154"/>
      <c r="CB3" s="154"/>
      <c r="CC3" s="154"/>
      <c r="CD3" s="154"/>
      <c r="CE3" s="154"/>
      <c r="CF3" s="154"/>
      <c r="CG3" s="154"/>
    </row>
    <row r="4" spans="1:132" ht="11.45" customHeight="1" x14ac:dyDescent="0.2">
      <c r="A4" s="155" t="s">
        <v>419</v>
      </c>
      <c r="B4" s="155"/>
      <c r="C4" s="155"/>
      <c r="D4" s="155"/>
      <c r="E4" s="155"/>
      <c r="F4" s="155"/>
      <c r="G4" s="155"/>
      <c r="H4" s="90" t="s">
        <v>0</v>
      </c>
      <c r="I4" s="155" t="str">
        <f>IF('Data Entry'!N6="","",'Data Entry'!N6)</f>
        <v/>
      </c>
      <c r="J4" s="155"/>
      <c r="K4" s="155"/>
      <c r="L4" s="155"/>
      <c r="M4" s="155"/>
      <c r="N4" s="155"/>
      <c r="O4" s="155"/>
      <c r="P4" s="155"/>
      <c r="Q4" s="155"/>
      <c r="R4" s="155"/>
      <c r="S4" s="155"/>
      <c r="T4" s="155"/>
      <c r="U4" s="155" t="s">
        <v>2</v>
      </c>
      <c r="V4" s="155"/>
      <c r="W4" s="155"/>
      <c r="X4" s="90" t="s">
        <v>0</v>
      </c>
      <c r="Y4" s="392" t="str">
        <f>IF('Data Entry'!N20="","",'Data Entry'!N20)</f>
        <v/>
      </c>
      <c r="Z4" s="392"/>
      <c r="AA4" s="392"/>
      <c r="AB4" s="392"/>
      <c r="AC4" s="392"/>
      <c r="AD4" s="392"/>
      <c r="AE4" s="155" t="s">
        <v>25</v>
      </c>
      <c r="AF4" s="155"/>
      <c r="AG4" s="155"/>
      <c r="AH4" s="90" t="s">
        <v>0</v>
      </c>
      <c r="AI4" s="155" t="str">
        <f>IF('Data Entry'!N24="","",'Data Entry'!N24)</f>
        <v/>
      </c>
      <c r="AJ4" s="155"/>
      <c r="AK4" s="155"/>
      <c r="AL4" s="155"/>
      <c r="AM4" s="155"/>
      <c r="AN4" s="155"/>
      <c r="AO4" s="155"/>
      <c r="AP4" s="155"/>
      <c r="AQ4" s="155" t="s">
        <v>421</v>
      </c>
      <c r="AR4" s="155"/>
      <c r="AS4" s="155"/>
      <c r="AT4" s="155"/>
      <c r="AU4" s="155"/>
      <c r="AV4" s="155"/>
      <c r="AW4" s="155"/>
      <c r="AX4" s="155"/>
      <c r="AY4" s="155"/>
      <c r="AZ4" s="155"/>
      <c r="BA4" s="90" t="s">
        <v>0</v>
      </c>
      <c r="BB4" s="155"/>
      <c r="BC4" s="155"/>
      <c r="BD4" s="155"/>
      <c r="BE4" s="155"/>
      <c r="BF4" s="155"/>
      <c r="BG4" s="155"/>
      <c r="BH4" s="155"/>
      <c r="BI4" s="155"/>
      <c r="BJ4" s="155"/>
      <c r="BK4" s="155"/>
      <c r="BL4" s="155"/>
      <c r="BM4" s="155" t="s">
        <v>423</v>
      </c>
      <c r="BN4" s="155"/>
      <c r="BO4" s="155"/>
      <c r="BP4" s="155"/>
      <c r="BQ4" s="155"/>
      <c r="BR4" s="155"/>
      <c r="BS4" s="155"/>
      <c r="BT4" s="155"/>
      <c r="BU4" s="155"/>
      <c r="BV4" s="155"/>
      <c r="BW4" s="90" t="s">
        <v>0</v>
      </c>
      <c r="BX4" s="155"/>
      <c r="BY4" s="155"/>
      <c r="BZ4" s="155"/>
      <c r="CA4" s="155"/>
      <c r="CB4" s="155"/>
      <c r="CC4" s="155"/>
      <c r="CD4" s="155"/>
      <c r="CE4" s="155"/>
      <c r="CF4" s="155"/>
      <c r="CG4" s="155"/>
    </row>
    <row r="5" spans="1:132" ht="11.45" customHeight="1" x14ac:dyDescent="0.2">
      <c r="A5" s="155" t="s">
        <v>420</v>
      </c>
      <c r="B5" s="155"/>
      <c r="C5" s="155"/>
      <c r="D5" s="155"/>
      <c r="E5" s="155"/>
      <c r="F5" s="155"/>
      <c r="G5" s="155"/>
      <c r="H5" s="90" t="s">
        <v>0</v>
      </c>
      <c r="I5" s="155" t="str">
        <f>IF('Data Entry'!N22="","",'Data Entry'!N22)</f>
        <v/>
      </c>
      <c r="J5" s="155"/>
      <c r="K5" s="155"/>
      <c r="L5" s="155"/>
      <c r="M5" s="155"/>
      <c r="N5" s="155"/>
      <c r="O5" s="155"/>
      <c r="P5" s="155"/>
      <c r="Q5" s="155"/>
      <c r="R5" s="155"/>
      <c r="S5" s="155"/>
      <c r="T5" s="155"/>
      <c r="U5" s="155" t="s">
        <v>124</v>
      </c>
      <c r="V5" s="155"/>
      <c r="W5" s="155"/>
      <c r="X5" s="155"/>
      <c r="Y5" s="155"/>
      <c r="Z5" s="155"/>
      <c r="AA5" s="155"/>
      <c r="AB5" s="90" t="s">
        <v>0</v>
      </c>
      <c r="AC5" s="155" t="str">
        <f>IF('Data Entry'!N26="","",'Data Entry'!N26)&amp;IF(OR('Data Entry'!N26="",'Data Entry'!N27=""),"","/")&amp; IF('Data Entry'!N27="","",'Data Entry'!N27)</f>
        <v>ANCHORAGE AREA/İSTANBUL</v>
      </c>
      <c r="AD5" s="155"/>
      <c r="AE5" s="155"/>
      <c r="AF5" s="155"/>
      <c r="AG5" s="155"/>
      <c r="AH5" s="155"/>
      <c r="AI5" s="155"/>
      <c r="AJ5" s="155"/>
      <c r="AK5" s="155"/>
      <c r="AL5" s="155"/>
      <c r="AM5" s="155"/>
      <c r="AN5" s="155"/>
      <c r="AO5" s="155"/>
      <c r="AP5" s="155"/>
      <c r="AQ5" s="155" t="s">
        <v>422</v>
      </c>
      <c r="AR5" s="155"/>
      <c r="AS5" s="155"/>
      <c r="AT5" s="155"/>
      <c r="AU5" s="155"/>
      <c r="AV5" s="155"/>
      <c r="AW5" s="155"/>
      <c r="AX5" s="155"/>
      <c r="AY5" s="155"/>
      <c r="AZ5" s="155"/>
      <c r="BA5" s="90" t="s">
        <v>0</v>
      </c>
      <c r="BB5" s="392"/>
      <c r="BC5" s="392"/>
      <c r="BD5" s="392"/>
      <c r="BE5" s="392"/>
      <c r="BF5" s="392"/>
      <c r="BG5" s="392"/>
      <c r="BH5" s="392"/>
      <c r="BI5" s="392"/>
      <c r="BJ5" s="392"/>
      <c r="BK5" s="392"/>
      <c r="BL5" s="392"/>
      <c r="BM5" s="155" t="s">
        <v>424</v>
      </c>
      <c r="BN5" s="155"/>
      <c r="BO5" s="155"/>
      <c r="BP5" s="155"/>
      <c r="BQ5" s="155"/>
      <c r="BR5" s="155"/>
      <c r="BS5" s="155"/>
      <c r="BT5" s="155"/>
      <c r="BU5" s="155"/>
      <c r="BV5" s="155"/>
      <c r="BW5" s="90" t="s">
        <v>0</v>
      </c>
      <c r="BX5" s="155"/>
      <c r="BY5" s="155"/>
      <c r="BZ5" s="155"/>
      <c r="CA5" s="155"/>
      <c r="CB5" s="155"/>
      <c r="CC5" s="155"/>
      <c r="CD5" s="155"/>
      <c r="CE5" s="155"/>
      <c r="CF5" s="155"/>
      <c r="CG5" s="155"/>
    </row>
    <row r="6" spans="1:132" ht="11.45" customHeight="1" thickBot="1" x14ac:dyDescent="0.25">
      <c r="A6" s="363"/>
      <c r="B6" s="363"/>
      <c r="C6" s="363"/>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3"/>
      <c r="AP6" s="363"/>
      <c r="AQ6" s="363"/>
      <c r="AR6" s="363"/>
      <c r="AS6" s="363"/>
      <c r="AT6" s="363"/>
      <c r="AU6" s="363"/>
      <c r="AV6" s="363"/>
      <c r="AW6" s="363"/>
      <c r="AX6" s="363"/>
      <c r="AY6" s="363"/>
      <c r="AZ6" s="363"/>
      <c r="BA6" s="363"/>
      <c r="BB6" s="363"/>
      <c r="BC6" s="363"/>
      <c r="BD6" s="363"/>
      <c r="BE6" s="363"/>
      <c r="BF6" s="363"/>
      <c r="BG6" s="363"/>
      <c r="BH6" s="363"/>
      <c r="BI6" s="363"/>
      <c r="BJ6" s="363"/>
      <c r="BK6" s="363"/>
      <c r="BL6" s="363"/>
      <c r="BM6" s="363"/>
      <c r="BN6" s="363"/>
      <c r="BO6" s="363"/>
      <c r="BP6" s="363"/>
      <c r="BQ6" s="363"/>
      <c r="BR6" s="363"/>
      <c r="BS6" s="363"/>
      <c r="BT6" s="363"/>
      <c r="BU6" s="363"/>
      <c r="BV6" s="363"/>
      <c r="BW6" s="363"/>
      <c r="BX6" s="363"/>
      <c r="BY6" s="363"/>
      <c r="BZ6" s="363"/>
      <c r="CA6" s="363"/>
      <c r="CB6" s="363"/>
      <c r="CC6" s="363"/>
      <c r="CD6" s="363"/>
      <c r="CE6" s="363"/>
      <c r="CF6" s="363"/>
      <c r="CG6" s="363"/>
    </row>
    <row r="7" spans="1:132" ht="11.45" customHeight="1" x14ac:dyDescent="0.2">
      <c r="A7" s="219" t="s">
        <v>29</v>
      </c>
      <c r="B7" s="219"/>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N7" s="1" t="s">
        <v>223</v>
      </c>
    </row>
    <row r="8" spans="1:132" ht="11.45" customHeight="1" x14ac:dyDescent="0.2">
      <c r="A8" s="154" t="s">
        <v>4</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367"/>
      <c r="AO8" s="195" t="s">
        <v>351</v>
      </c>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N8" s="107" t="s">
        <v>192</v>
      </c>
    </row>
    <row r="9" spans="1:132" ht="11.45" customHeight="1" x14ac:dyDescent="0.2">
      <c r="A9" s="155" t="s">
        <v>4</v>
      </c>
      <c r="B9" s="155"/>
      <c r="C9" s="155"/>
      <c r="D9" s="155"/>
      <c r="E9" s="155"/>
      <c r="F9" s="155"/>
      <c r="G9" s="155"/>
      <c r="H9" s="155"/>
      <c r="I9" s="155"/>
      <c r="J9" s="155"/>
      <c r="K9" s="91" t="s">
        <v>0</v>
      </c>
      <c r="L9" s="182"/>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402"/>
      <c r="AO9" s="330" t="s">
        <v>229</v>
      </c>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91" t="s">
        <v>0</v>
      </c>
      <c r="BR9" s="335" t="str">
        <f>IF(BX30="","",BX30)</f>
        <v/>
      </c>
      <c r="BS9" s="335"/>
      <c r="BT9" s="335"/>
      <c r="BU9" s="335"/>
      <c r="BV9" s="335"/>
      <c r="BW9" s="335"/>
      <c r="BX9" s="335"/>
      <c r="BY9" s="335"/>
      <c r="BZ9" s="155" t="s">
        <v>173</v>
      </c>
      <c r="CA9" s="155"/>
      <c r="CB9" s="155"/>
      <c r="CC9" s="155"/>
      <c r="CD9" s="155"/>
      <c r="CE9" s="155"/>
      <c r="CF9" s="155"/>
      <c r="CG9" s="155"/>
      <c r="CN9" s="2" t="s">
        <v>193</v>
      </c>
    </row>
    <row r="10" spans="1:132" ht="11.45" customHeight="1" x14ac:dyDescent="0.2">
      <c r="A10" s="155" t="s">
        <v>228</v>
      </c>
      <c r="B10" s="155"/>
      <c r="C10" s="155"/>
      <c r="D10" s="155"/>
      <c r="E10" s="155"/>
      <c r="F10" s="155"/>
      <c r="G10" s="155"/>
      <c r="H10" s="155"/>
      <c r="I10" s="155"/>
      <c r="J10" s="155"/>
      <c r="K10" s="155"/>
      <c r="L10" s="155"/>
      <c r="M10" s="155"/>
      <c r="N10" s="155"/>
      <c r="O10" s="155" t="s">
        <v>2</v>
      </c>
      <c r="P10" s="155"/>
      <c r="Q10" s="155"/>
      <c r="R10" s="155"/>
      <c r="S10" s="91" t="s">
        <v>0</v>
      </c>
      <c r="T10" s="236"/>
      <c r="U10" s="236"/>
      <c r="V10" s="236"/>
      <c r="W10" s="236"/>
      <c r="X10" s="236"/>
      <c r="Y10" s="236"/>
      <c r="Z10" s="236"/>
      <c r="AA10" s="236"/>
      <c r="AB10" s="236"/>
      <c r="AC10" s="315" t="s">
        <v>16</v>
      </c>
      <c r="AD10" s="315"/>
      <c r="AE10" s="315"/>
      <c r="AF10" s="315"/>
      <c r="AG10" s="91" t="s">
        <v>0</v>
      </c>
      <c r="AH10" s="156"/>
      <c r="AI10" s="156"/>
      <c r="AJ10" s="156"/>
      <c r="AK10" s="156"/>
      <c r="AL10" s="156"/>
      <c r="AM10" s="156"/>
      <c r="AN10" s="157"/>
      <c r="AO10" s="330" t="s">
        <v>230</v>
      </c>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91" t="s">
        <v>0</v>
      </c>
      <c r="BR10" s="335" t="str">
        <f>IF(BX49="","",BX49)</f>
        <v/>
      </c>
      <c r="BS10" s="335"/>
      <c r="BT10" s="335"/>
      <c r="BU10" s="335"/>
      <c r="BV10" s="335"/>
      <c r="BW10" s="335"/>
      <c r="BX10" s="335"/>
      <c r="BY10" s="335"/>
      <c r="BZ10" s="155" t="s">
        <v>173</v>
      </c>
      <c r="CA10" s="155"/>
      <c r="CB10" s="155"/>
      <c r="CC10" s="155"/>
      <c r="CD10" s="155"/>
      <c r="CE10" s="155"/>
      <c r="CF10" s="155"/>
      <c r="CG10" s="155"/>
    </row>
    <row r="11" spans="1:132" ht="11.45" customHeight="1" x14ac:dyDescent="0.2">
      <c r="A11" s="155" t="s">
        <v>227</v>
      </c>
      <c r="B11" s="155"/>
      <c r="C11" s="155"/>
      <c r="D11" s="155"/>
      <c r="E11" s="155"/>
      <c r="F11" s="155"/>
      <c r="G11" s="155"/>
      <c r="H11" s="155"/>
      <c r="I11" s="155"/>
      <c r="J11" s="155"/>
      <c r="K11" s="155"/>
      <c r="L11" s="155"/>
      <c r="M11" s="155"/>
      <c r="N11" s="155"/>
      <c r="O11" s="155"/>
      <c r="P11" s="155"/>
      <c r="Q11" s="155"/>
      <c r="R11" s="155"/>
      <c r="S11" s="155"/>
      <c r="T11" s="155"/>
      <c r="U11" s="155"/>
      <c r="V11" s="155"/>
      <c r="W11" s="155"/>
      <c r="X11" s="155"/>
      <c r="Y11" s="155"/>
      <c r="Z11" s="91" t="s">
        <v>0</v>
      </c>
      <c r="AA11" s="364"/>
      <c r="AB11" s="364"/>
      <c r="AC11" s="364"/>
      <c r="AD11" s="364"/>
      <c r="AE11" s="364"/>
      <c r="AF11" s="364"/>
      <c r="AG11" s="364"/>
      <c r="AH11" s="364"/>
      <c r="AI11" s="155" t="s">
        <v>173</v>
      </c>
      <c r="AJ11" s="155"/>
      <c r="AK11" s="155"/>
      <c r="AL11" s="155"/>
      <c r="AM11" s="155"/>
      <c r="AN11" s="366"/>
      <c r="AO11" s="155" t="s">
        <v>234</v>
      </c>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91" t="s">
        <v>0</v>
      </c>
      <c r="BR11" s="382" t="str">
        <f>IF(OR(BR9="",BR10=""),"",ROUND(ABS(BR9-BR10),3))</f>
        <v/>
      </c>
      <c r="BS11" s="382"/>
      <c r="BT11" s="382"/>
      <c r="BU11" s="382"/>
      <c r="BV11" s="382"/>
      <c r="BW11" s="382"/>
      <c r="BX11" s="382"/>
      <c r="BY11" s="382"/>
      <c r="BZ11" s="155" t="s">
        <v>173</v>
      </c>
      <c r="CA11" s="155"/>
      <c r="CB11" s="155"/>
      <c r="CC11" s="155"/>
      <c r="CD11" s="155"/>
      <c r="CE11" s="155"/>
      <c r="CF11" s="155"/>
      <c r="CG11" s="155"/>
    </row>
    <row r="12" spans="1:132" ht="11.45" customHeight="1" thickBot="1" x14ac:dyDescent="0.25">
      <c r="A12" s="363"/>
      <c r="B12" s="363"/>
      <c r="C12" s="363"/>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c r="AP12" s="363"/>
      <c r="AQ12" s="363"/>
      <c r="AR12" s="363"/>
      <c r="AS12" s="363"/>
      <c r="AT12" s="363"/>
      <c r="AU12" s="363"/>
      <c r="AV12" s="363"/>
      <c r="AW12" s="363"/>
      <c r="AX12" s="363"/>
      <c r="AY12" s="363"/>
      <c r="AZ12" s="363"/>
      <c r="BA12" s="363"/>
      <c r="BB12" s="363"/>
      <c r="BC12" s="363"/>
      <c r="BD12" s="363"/>
      <c r="BE12" s="363"/>
      <c r="BF12" s="363"/>
      <c r="BG12" s="363"/>
      <c r="BH12" s="363"/>
      <c r="BI12" s="363"/>
      <c r="BJ12" s="363"/>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N12" s="1" t="s">
        <v>224</v>
      </c>
    </row>
    <row r="13" spans="1:132" ht="11.45" customHeight="1" x14ac:dyDescent="0.2">
      <c r="A13" s="396" t="s">
        <v>27</v>
      </c>
      <c r="B13" s="396"/>
      <c r="C13" s="396"/>
      <c r="D13" s="396"/>
      <c r="E13" s="396"/>
      <c r="F13" s="396"/>
      <c r="G13" s="396"/>
      <c r="H13" s="396"/>
      <c r="I13" s="396"/>
      <c r="J13" s="396"/>
      <c r="K13" s="396"/>
      <c r="L13" s="396"/>
      <c r="M13" s="396"/>
      <c r="N13" s="396"/>
      <c r="O13" s="396"/>
      <c r="P13" s="396"/>
      <c r="Q13" s="396"/>
      <c r="R13" s="396"/>
      <c r="S13" s="396"/>
      <c r="T13" s="396"/>
      <c r="U13" s="396"/>
      <c r="V13" s="396"/>
      <c r="W13" s="396"/>
      <c r="X13" s="396"/>
      <c r="Y13" s="396"/>
      <c r="Z13" s="396"/>
      <c r="AA13" s="396"/>
      <c r="AB13" s="396"/>
      <c r="AC13" s="396"/>
      <c r="AD13" s="396"/>
      <c r="AE13" s="396"/>
      <c r="AF13" s="396"/>
      <c r="AG13" s="396"/>
      <c r="AH13" s="396"/>
      <c r="AI13" s="396"/>
      <c r="AJ13" s="396"/>
      <c r="AK13" s="396"/>
      <c r="AL13" s="397" t="s">
        <v>2</v>
      </c>
      <c r="AM13" s="397"/>
      <c r="AN13" s="397"/>
      <c r="AO13" s="97" t="s">
        <v>0</v>
      </c>
      <c r="AP13" s="440" t="str">
        <f>IF('Data Entry'!N20="","",'Data Entry'!N20)</f>
        <v/>
      </c>
      <c r="AQ13" s="440"/>
      <c r="AR13" s="440"/>
      <c r="AS13" s="440"/>
      <c r="AT13" s="440"/>
      <c r="AU13" s="440"/>
      <c r="AV13" s="440"/>
      <c r="AW13" s="440"/>
      <c r="AX13" s="397" t="s">
        <v>16</v>
      </c>
      <c r="AY13" s="397"/>
      <c r="AZ13" s="397"/>
      <c r="BA13" s="97" t="s">
        <v>0</v>
      </c>
      <c r="BB13" s="399"/>
      <c r="BC13" s="399"/>
      <c r="BD13" s="399"/>
      <c r="BE13" s="399"/>
      <c r="BF13" s="399"/>
      <c r="BG13" s="399"/>
      <c r="BH13" s="399"/>
      <c r="BI13" s="399"/>
      <c r="BJ13" s="397" t="s">
        <v>425</v>
      </c>
      <c r="BK13" s="397"/>
      <c r="BL13" s="397"/>
      <c r="BM13" s="397"/>
      <c r="BN13" s="397"/>
      <c r="BO13" s="397"/>
      <c r="BP13" s="397"/>
      <c r="BQ13" s="97" t="s">
        <v>0</v>
      </c>
      <c r="BR13" s="397"/>
      <c r="BS13" s="397"/>
      <c r="BT13" s="397"/>
      <c r="BU13" s="397"/>
      <c r="BV13" s="397"/>
      <c r="BW13" s="397"/>
      <c r="BX13" s="397"/>
      <c r="BY13" s="397"/>
      <c r="BZ13" s="397"/>
      <c r="CA13" s="397"/>
      <c r="CB13" s="397"/>
      <c r="CC13" s="397"/>
      <c r="CD13" s="397"/>
      <c r="CE13" s="397"/>
      <c r="CF13" s="397"/>
      <c r="CG13" s="397"/>
      <c r="CN13" s="107" t="s">
        <v>93</v>
      </c>
      <c r="CO13" s="91"/>
      <c r="CP13" s="91"/>
      <c r="CQ13" s="91"/>
    </row>
    <row r="14" spans="1:132" ht="11.45" customHeight="1" x14ac:dyDescent="0.2">
      <c r="A14" s="196"/>
      <c r="B14" s="196"/>
      <c r="C14" s="196"/>
      <c r="D14" s="196"/>
      <c r="E14" s="196"/>
      <c r="F14" s="196"/>
      <c r="G14" s="196" t="s">
        <v>196</v>
      </c>
      <c r="H14" s="196"/>
      <c r="I14" s="196"/>
      <c r="J14" s="196"/>
      <c r="K14" s="196"/>
      <c r="L14" s="196"/>
      <c r="M14" s="6" t="s">
        <v>0</v>
      </c>
      <c r="N14" s="403"/>
      <c r="O14" s="403"/>
      <c r="P14" s="403"/>
      <c r="Q14" s="403"/>
      <c r="R14" s="403"/>
      <c r="S14" s="403"/>
      <c r="T14" s="403" t="s">
        <v>192</v>
      </c>
      <c r="U14" s="403"/>
      <c r="V14" s="403"/>
      <c r="W14" s="403"/>
      <c r="X14" s="408"/>
      <c r="Y14" s="408"/>
      <c r="Z14" s="408"/>
      <c r="AA14" s="408"/>
      <c r="AB14" s="408"/>
      <c r="AC14" s="408"/>
      <c r="AD14" s="404" t="s">
        <v>427</v>
      </c>
      <c r="AE14" s="404"/>
      <c r="AF14" s="404"/>
      <c r="AG14" s="6" t="s">
        <v>0</v>
      </c>
      <c r="AH14" s="403" t="str">
        <f>IF(OR(N14="",N15=""),"",(N15-N14))</f>
        <v/>
      </c>
      <c r="AI14" s="403"/>
      <c r="AJ14" s="403"/>
      <c r="AK14" s="403"/>
      <c r="AL14" s="403"/>
      <c r="AM14" s="410" t="str">
        <f>T14</f>
        <v xml:space="preserve"> M</v>
      </c>
      <c r="AN14" s="410"/>
      <c r="AO14" s="410"/>
      <c r="AP14" s="410"/>
      <c r="AQ14" s="196"/>
      <c r="AR14" s="196"/>
      <c r="AS14" s="196"/>
      <c r="AT14" s="196"/>
      <c r="AU14" s="196"/>
      <c r="AV14" s="196"/>
      <c r="AW14" s="403" t="s">
        <v>434</v>
      </c>
      <c r="AX14" s="403"/>
      <c r="AY14" s="403"/>
      <c r="AZ14" s="403"/>
      <c r="BA14" s="403"/>
      <c r="BB14" s="403"/>
      <c r="BC14" s="403"/>
      <c r="BD14" s="403"/>
      <c r="BE14" s="403"/>
      <c r="BF14" s="403"/>
      <c r="BG14" s="403"/>
      <c r="BH14" s="403"/>
      <c r="BI14" s="403"/>
      <c r="BJ14" s="403"/>
      <c r="BK14" s="403"/>
      <c r="BL14" s="403"/>
      <c r="BM14" s="88" t="s">
        <v>0</v>
      </c>
      <c r="BN14" s="196"/>
      <c r="BO14" s="196"/>
      <c r="BP14" s="196"/>
      <c r="BQ14" s="196"/>
      <c r="BR14" s="196"/>
      <c r="BS14" s="196"/>
      <c r="BT14" s="196"/>
      <c r="BU14" s="196"/>
      <c r="BV14" s="196"/>
      <c r="BW14" s="196"/>
      <c r="BX14" s="196"/>
      <c r="BY14" s="196"/>
      <c r="BZ14" s="196"/>
      <c r="CA14" s="196"/>
      <c r="CB14" s="196"/>
      <c r="CC14" s="196"/>
      <c r="CD14" s="196"/>
      <c r="CE14" s="196"/>
      <c r="CF14" s="196"/>
      <c r="CG14" s="196"/>
      <c r="CN14" s="2" t="s">
        <v>94</v>
      </c>
      <c r="CZ14" s="91"/>
      <c r="DA14" s="91"/>
      <c r="DB14" s="91"/>
      <c r="DC14" s="91"/>
      <c r="DD14" s="91"/>
    </row>
    <row r="15" spans="1:132" ht="11.45" customHeight="1" x14ac:dyDescent="0.2">
      <c r="A15" s="395"/>
      <c r="B15" s="395"/>
      <c r="C15" s="395"/>
      <c r="D15" s="395"/>
      <c r="E15" s="395"/>
      <c r="F15" s="395"/>
      <c r="G15" s="395" t="s">
        <v>426</v>
      </c>
      <c r="H15" s="395"/>
      <c r="I15" s="395"/>
      <c r="J15" s="395"/>
      <c r="K15" s="395"/>
      <c r="L15" s="395"/>
      <c r="M15" s="6" t="s">
        <v>0</v>
      </c>
      <c r="N15" s="406"/>
      <c r="O15" s="406"/>
      <c r="P15" s="406"/>
      <c r="Q15" s="406"/>
      <c r="R15" s="406"/>
      <c r="S15" s="406"/>
      <c r="T15" s="407" t="str">
        <f>T14</f>
        <v xml:space="preserve"> M</v>
      </c>
      <c r="U15" s="407"/>
      <c r="V15" s="407"/>
      <c r="W15" s="407"/>
      <c r="X15" s="409"/>
      <c r="Y15" s="409"/>
      <c r="Z15" s="409"/>
      <c r="AA15" s="409"/>
      <c r="AB15" s="409"/>
      <c r="AC15" s="409"/>
      <c r="AD15" s="405" t="s">
        <v>428</v>
      </c>
      <c r="AE15" s="405"/>
      <c r="AF15" s="405"/>
      <c r="AG15" s="6" t="s">
        <v>0</v>
      </c>
      <c r="AH15" s="395"/>
      <c r="AI15" s="395"/>
      <c r="AJ15" s="395"/>
      <c r="AK15" s="395"/>
      <c r="AL15" s="395"/>
      <c r="AM15" s="395"/>
      <c r="AN15" s="395"/>
      <c r="AO15" s="395"/>
      <c r="AP15" s="395"/>
      <c r="AQ15" s="395"/>
      <c r="AR15" s="395"/>
      <c r="AS15" s="395"/>
      <c r="AT15" s="395"/>
      <c r="AU15" s="395"/>
      <c r="AV15" s="395"/>
      <c r="AW15" s="406" t="s">
        <v>435</v>
      </c>
      <c r="AX15" s="406"/>
      <c r="AY15" s="406"/>
      <c r="AZ15" s="406"/>
      <c r="BA15" s="406"/>
      <c r="BB15" s="406"/>
      <c r="BC15" s="406"/>
      <c r="BD15" s="406"/>
      <c r="BE15" s="406"/>
      <c r="BF15" s="406"/>
      <c r="BG15" s="406"/>
      <c r="BH15" s="406"/>
      <c r="BI15" s="406"/>
      <c r="BJ15" s="406"/>
      <c r="BK15" s="406"/>
      <c r="BL15" s="406"/>
      <c r="BM15" s="88" t="s">
        <v>0</v>
      </c>
      <c r="BN15" s="395"/>
      <c r="BO15" s="395"/>
      <c r="BP15" s="395"/>
      <c r="BQ15" s="395"/>
      <c r="BR15" s="395"/>
      <c r="BS15" s="395"/>
      <c r="BT15" s="395"/>
      <c r="BU15" s="395"/>
      <c r="BV15" s="395"/>
      <c r="BW15" s="395"/>
      <c r="BX15" s="395"/>
      <c r="BY15" s="395"/>
      <c r="BZ15" s="395"/>
      <c r="CA15" s="395"/>
      <c r="CB15" s="395"/>
      <c r="CC15" s="395"/>
      <c r="CD15" s="395"/>
      <c r="CE15" s="395"/>
      <c r="CF15" s="395"/>
      <c r="CG15" s="395"/>
    </row>
    <row r="16" spans="1:132" ht="11.45" customHeight="1" x14ac:dyDescent="0.2">
      <c r="A16" s="359" t="s">
        <v>7</v>
      </c>
      <c r="B16" s="360"/>
      <c r="C16" s="360"/>
      <c r="D16" s="360"/>
      <c r="E16" s="360"/>
      <c r="F16" s="360"/>
      <c r="G16" s="360"/>
      <c r="H16" s="388"/>
      <c r="I16" s="329" t="s">
        <v>197</v>
      </c>
      <c r="J16" s="414"/>
      <c r="K16" s="414"/>
      <c r="L16" s="414"/>
      <c r="M16" s="414"/>
      <c r="N16" s="414"/>
      <c r="O16" s="415"/>
      <c r="P16" s="385" t="s">
        <v>84</v>
      </c>
      <c r="Q16" s="386"/>
      <c r="R16" s="386"/>
      <c r="S16" s="386"/>
      <c r="T16" s="387"/>
      <c r="U16" s="337" t="s">
        <v>215</v>
      </c>
      <c r="V16" s="338"/>
      <c r="W16" s="338"/>
      <c r="X16" s="338"/>
      <c r="Y16" s="339"/>
      <c r="Z16" s="337" t="s">
        <v>207</v>
      </c>
      <c r="AA16" s="338"/>
      <c r="AB16" s="338"/>
      <c r="AC16" s="338"/>
      <c r="AD16" s="339"/>
      <c r="AE16" s="337" t="s">
        <v>208</v>
      </c>
      <c r="AF16" s="338"/>
      <c r="AG16" s="338"/>
      <c r="AH16" s="338"/>
      <c r="AI16" s="339"/>
      <c r="AJ16" s="197" t="s">
        <v>213</v>
      </c>
      <c r="AK16" s="198"/>
      <c r="AL16" s="198"/>
      <c r="AM16" s="198"/>
      <c r="AN16" s="199"/>
      <c r="AO16" s="337" t="s">
        <v>206</v>
      </c>
      <c r="AP16" s="338"/>
      <c r="AQ16" s="338"/>
      <c r="AR16" s="338"/>
      <c r="AS16" s="339"/>
      <c r="AT16" s="197" t="s">
        <v>206</v>
      </c>
      <c r="AU16" s="198"/>
      <c r="AV16" s="198"/>
      <c r="AW16" s="198"/>
      <c r="AX16" s="199"/>
      <c r="AY16" s="197" t="s">
        <v>9</v>
      </c>
      <c r="AZ16" s="198"/>
      <c r="BA16" s="198"/>
      <c r="BB16" s="198"/>
      <c r="BC16" s="199"/>
      <c r="BD16" s="197" t="s">
        <v>8</v>
      </c>
      <c r="BE16" s="198"/>
      <c r="BF16" s="198"/>
      <c r="BG16" s="198"/>
      <c r="BH16" s="199"/>
      <c r="BI16" s="197" t="s">
        <v>10</v>
      </c>
      <c r="BJ16" s="198"/>
      <c r="BK16" s="198"/>
      <c r="BL16" s="198"/>
      <c r="BM16" s="199"/>
      <c r="BN16" s="197" t="s">
        <v>83</v>
      </c>
      <c r="BO16" s="198"/>
      <c r="BP16" s="198"/>
      <c r="BQ16" s="198"/>
      <c r="BR16" s="199"/>
      <c r="BS16" s="197" t="s">
        <v>205</v>
      </c>
      <c r="BT16" s="198"/>
      <c r="BU16" s="198"/>
      <c r="BV16" s="198"/>
      <c r="BW16" s="199"/>
      <c r="BX16" s="197" t="s">
        <v>82</v>
      </c>
      <c r="BY16" s="198"/>
      <c r="BZ16" s="198"/>
      <c r="CA16" s="198"/>
      <c r="CB16" s="199"/>
      <c r="CC16" s="197" t="s">
        <v>82</v>
      </c>
      <c r="CD16" s="198"/>
      <c r="CE16" s="198"/>
      <c r="CF16" s="198"/>
      <c r="CG16" s="199"/>
      <c r="CP16" s="24" t="s">
        <v>235</v>
      </c>
      <c r="CR16" s="323" t="s">
        <v>8</v>
      </c>
      <c r="CS16" s="325"/>
      <c r="CU16" s="24" t="s">
        <v>12</v>
      </c>
      <c r="CV16" s="192" t="s">
        <v>6</v>
      </c>
      <c r="CW16" s="193"/>
      <c r="CX16" s="194"/>
      <c r="CY16" s="91"/>
      <c r="CZ16" s="24" t="s">
        <v>11</v>
      </c>
      <c r="DA16" s="192" t="s">
        <v>6</v>
      </c>
      <c r="DB16" s="193"/>
      <c r="DC16" s="194"/>
      <c r="DD16" s="91"/>
      <c r="DE16" s="24" t="s">
        <v>13</v>
      </c>
      <c r="DF16" s="192" t="s">
        <v>6</v>
      </c>
      <c r="DG16" s="193"/>
      <c r="DH16" s="193"/>
      <c r="DI16" s="194"/>
      <c r="DK16" s="24" t="s">
        <v>20</v>
      </c>
      <c r="DL16" s="192" t="s">
        <v>6</v>
      </c>
      <c r="DM16" s="193"/>
      <c r="DN16" s="193"/>
      <c r="DO16" s="194"/>
      <c r="DQ16" s="24" t="s">
        <v>21</v>
      </c>
      <c r="DR16" s="192" t="s">
        <v>6</v>
      </c>
      <c r="DS16" s="193"/>
      <c r="DT16" s="193"/>
      <c r="DU16" s="194"/>
      <c r="DW16" s="323" t="s">
        <v>22</v>
      </c>
      <c r="DX16" s="325"/>
      <c r="DY16" s="323" t="s">
        <v>23</v>
      </c>
      <c r="DZ16" s="325"/>
      <c r="EA16" s="323" t="s">
        <v>24</v>
      </c>
      <c r="EB16" s="325"/>
    </row>
    <row r="17" spans="1:132" ht="11.45" customHeight="1" x14ac:dyDescent="0.2">
      <c r="A17" s="356" t="s">
        <v>14</v>
      </c>
      <c r="B17" s="357"/>
      <c r="C17" s="357"/>
      <c r="D17" s="357"/>
      <c r="E17" s="357"/>
      <c r="F17" s="357"/>
      <c r="G17" s="357"/>
      <c r="H17" s="384"/>
      <c r="I17" s="416"/>
      <c r="J17" s="417"/>
      <c r="K17" s="417"/>
      <c r="L17" s="417"/>
      <c r="M17" s="417"/>
      <c r="N17" s="417"/>
      <c r="O17" s="418"/>
      <c r="P17" s="333" t="str">
        <f>IF(P16=$CN$18,"@ 60°F",IF(P16=$CN$19,"@ 60/60°F","@ 15°C"))</f>
        <v>@ 15°C</v>
      </c>
      <c r="Q17" s="209"/>
      <c r="R17" s="209"/>
      <c r="S17" s="209"/>
      <c r="T17" s="334"/>
      <c r="U17" s="347" t="s">
        <v>459</v>
      </c>
      <c r="V17" s="348"/>
      <c r="W17" s="348"/>
      <c r="X17" s="348"/>
      <c r="Y17" s="349"/>
      <c r="Z17" s="347" t="s">
        <v>198</v>
      </c>
      <c r="AA17" s="348"/>
      <c r="AB17" s="348"/>
      <c r="AC17" s="348"/>
      <c r="AD17" s="349"/>
      <c r="AE17" s="333" t="str">
        <f>Z17</f>
        <v>ULLAGE</v>
      </c>
      <c r="AF17" s="209"/>
      <c r="AG17" s="209"/>
      <c r="AH17" s="209"/>
      <c r="AI17" s="334"/>
      <c r="AJ17" s="347" t="s">
        <v>453</v>
      </c>
      <c r="AK17" s="348"/>
      <c r="AL17" s="348"/>
      <c r="AM17" s="348"/>
      <c r="AN17" s="349"/>
      <c r="AO17" s="347" t="s">
        <v>226</v>
      </c>
      <c r="AP17" s="348"/>
      <c r="AQ17" s="348"/>
      <c r="AR17" s="348"/>
      <c r="AS17" s="349"/>
      <c r="AT17" s="333" t="str">
        <f>AJ17</f>
        <v>M³</v>
      </c>
      <c r="AU17" s="209"/>
      <c r="AV17" s="209"/>
      <c r="AW17" s="209"/>
      <c r="AX17" s="334"/>
      <c r="AY17" s="347" t="s">
        <v>56</v>
      </c>
      <c r="AZ17" s="348"/>
      <c r="BA17" s="348"/>
      <c r="BB17" s="348"/>
      <c r="BC17" s="349"/>
      <c r="BD17" s="333" t="str">
        <f>AJ17</f>
        <v>M³</v>
      </c>
      <c r="BE17" s="209"/>
      <c r="BF17" s="209"/>
      <c r="BG17" s="209"/>
      <c r="BH17" s="334"/>
      <c r="BI17" s="333" t="str">
        <f>IF('Data Entry'!G50=1,CN44,IF('Data Entry'!G50=2,CN45,IF('Data Entry'!G50=3,CN46,IF('Data Entry'!G50=4,CN47,IF('Data Entry'!G50=5,CN48,IF('Data Entry'!G50=6,CN49,""))))))</f>
        <v>T54B-2004</v>
      </c>
      <c r="BJ17" s="209"/>
      <c r="BK17" s="209"/>
      <c r="BL17" s="209"/>
      <c r="BM17" s="334"/>
      <c r="BN17" s="333" t="str">
        <f>BD17</f>
        <v>M³</v>
      </c>
      <c r="BO17" s="209"/>
      <c r="BP17" s="209"/>
      <c r="BQ17" s="209"/>
      <c r="BR17" s="334"/>
      <c r="BS17" s="333"/>
      <c r="BT17" s="209"/>
      <c r="BU17" s="209"/>
      <c r="BV17" s="209"/>
      <c r="BW17" s="334"/>
      <c r="BX17" s="333" t="s">
        <v>87</v>
      </c>
      <c r="BY17" s="209"/>
      <c r="BZ17" s="209"/>
      <c r="CA17" s="209"/>
      <c r="CB17" s="334"/>
      <c r="CC17" s="333" t="s">
        <v>347</v>
      </c>
      <c r="CD17" s="209"/>
      <c r="CE17" s="209"/>
      <c r="CF17" s="209"/>
      <c r="CG17" s="334"/>
      <c r="CN17" s="1" t="s">
        <v>221</v>
      </c>
      <c r="CP17" s="25" t="s">
        <v>236</v>
      </c>
      <c r="CR17" s="92" t="s">
        <v>18</v>
      </c>
      <c r="CS17" s="92" t="s">
        <v>19</v>
      </c>
      <c r="CU17" s="25" t="s">
        <v>15</v>
      </c>
      <c r="CV17" s="94">
        <v>0.5</v>
      </c>
      <c r="CW17" s="25">
        <v>0.1</v>
      </c>
      <c r="CX17" s="24" t="s">
        <v>101</v>
      </c>
      <c r="CY17" s="26"/>
      <c r="CZ17" s="25" t="s">
        <v>15</v>
      </c>
      <c r="DA17" s="25">
        <v>0.25</v>
      </c>
      <c r="DB17" s="25">
        <v>0.1</v>
      </c>
      <c r="DC17" s="24" t="s">
        <v>101</v>
      </c>
      <c r="DD17" s="91"/>
      <c r="DE17" s="27" t="s">
        <v>15</v>
      </c>
      <c r="DF17" s="25">
        <v>0.5</v>
      </c>
      <c r="DG17" s="25">
        <v>0.1</v>
      </c>
      <c r="DH17" s="25" t="s">
        <v>99</v>
      </c>
      <c r="DI17" s="92" t="s">
        <v>100</v>
      </c>
      <c r="DK17" s="27" t="s">
        <v>15</v>
      </c>
      <c r="DL17" s="25">
        <v>2E-3</v>
      </c>
      <c r="DM17" s="25">
        <v>1E-4</v>
      </c>
      <c r="DN17" s="25" t="s">
        <v>99</v>
      </c>
      <c r="DO17" s="92" t="s">
        <v>100</v>
      </c>
      <c r="DQ17" s="25" t="s">
        <v>15</v>
      </c>
      <c r="DR17" s="25">
        <v>2E-3</v>
      </c>
      <c r="DS17" s="25">
        <v>1E-4</v>
      </c>
      <c r="DT17" s="25" t="s">
        <v>102</v>
      </c>
      <c r="DU17" s="92" t="s">
        <v>100</v>
      </c>
      <c r="DW17" s="92">
        <v>1980</v>
      </c>
      <c r="DX17" s="92">
        <v>2004</v>
      </c>
      <c r="DY17" s="92">
        <v>1980</v>
      </c>
      <c r="DZ17" s="92">
        <v>2004</v>
      </c>
      <c r="EA17" s="92">
        <v>1980</v>
      </c>
      <c r="EB17" s="92">
        <v>2004</v>
      </c>
    </row>
    <row r="18" spans="1:132" ht="11.45" customHeight="1" x14ac:dyDescent="0.2">
      <c r="A18" s="317"/>
      <c r="B18" s="317"/>
      <c r="C18" s="317"/>
      <c r="D18" s="317"/>
      <c r="E18" s="317"/>
      <c r="F18" s="317"/>
      <c r="G18" s="317"/>
      <c r="H18" s="317"/>
      <c r="I18" s="345"/>
      <c r="J18" s="345"/>
      <c r="K18" s="345"/>
      <c r="L18" s="345"/>
      <c r="M18" s="345"/>
      <c r="N18" s="345"/>
      <c r="O18" s="345"/>
      <c r="P18" s="313"/>
      <c r="Q18" s="313"/>
      <c r="R18" s="313"/>
      <c r="S18" s="313"/>
      <c r="T18" s="313"/>
      <c r="U18" s="308"/>
      <c r="V18" s="308"/>
      <c r="W18" s="308"/>
      <c r="X18" s="308"/>
      <c r="Y18" s="308"/>
      <c r="Z18" s="308"/>
      <c r="AA18" s="308"/>
      <c r="AB18" s="308"/>
      <c r="AC18" s="309"/>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12"/>
      <c r="AZ18" s="312"/>
      <c r="BA18" s="312"/>
      <c r="BB18" s="312"/>
      <c r="BC18" s="312"/>
      <c r="BD18" s="311" t="str">
        <f>IF(OR(AJ18="",AT18=""),"",AJ18-AT18)</f>
        <v/>
      </c>
      <c r="BE18" s="311"/>
      <c r="BF18" s="311"/>
      <c r="BG18" s="311"/>
      <c r="BH18" s="311"/>
      <c r="BI18" s="310" t="str">
        <f t="shared" ref="BI18:BI29" si="0">IF(OR(AY18="",P18=""),"",IF($CN$53=1,DW18,IF($CN$53=2,DY18,IF($CN$53=3,EA18,IF($CN$53=4,DX18,IF($CN$53=5,DZ18,IF($CN$53=6,EB18)))))))</f>
        <v/>
      </c>
      <c r="BJ18" s="310"/>
      <c r="BK18" s="310"/>
      <c r="BL18" s="310"/>
      <c r="BM18" s="310"/>
      <c r="BN18" s="311" t="str">
        <f t="shared" ref="BN18:BN29" si="1">IF(OR(BD18="",BI18=""),"",BD18*BI18)</f>
        <v/>
      </c>
      <c r="BO18" s="311"/>
      <c r="BP18" s="311"/>
      <c r="BQ18" s="311"/>
      <c r="BR18" s="311"/>
      <c r="BS18" s="332" t="str">
        <f t="shared" ref="BS18:BS29" si="2">IF(OR(BD18="",P18="",BI18=""),"",ROUND((DS18-0.0011),4))</f>
        <v/>
      </c>
      <c r="BT18" s="332"/>
      <c r="BU18" s="332"/>
      <c r="BV18" s="332"/>
      <c r="BW18" s="332"/>
      <c r="BX18" s="311" t="str">
        <f t="shared" ref="BX18:BX29" si="3">IF(OR(BD18="",P18="",BI18=""),"",IF($AJ$17=$CN$34,ROUND(BN18*BS18,3),ROUND(CS18*BI18*BS18,3)))</f>
        <v/>
      </c>
      <c r="BY18" s="311"/>
      <c r="BZ18" s="311"/>
      <c r="CA18" s="311"/>
      <c r="CB18" s="311"/>
      <c r="CC18" s="311" t="str">
        <f t="shared" ref="CC18:CC29" si="4">IF(OR(BD18="",P18="",BI18=""),"",IF($AJ$17=$CN$34,ROUND(BN18*DQ18,3),ROUND(CS18*BI18*DQ18,3)))</f>
        <v/>
      </c>
      <c r="CD18" s="311"/>
      <c r="CE18" s="311"/>
      <c r="CF18" s="311"/>
      <c r="CG18" s="311"/>
      <c r="CN18" s="107" t="s">
        <v>13</v>
      </c>
      <c r="CP18" s="107">
        <f t="shared" ref="CP18:CP29" si="5">IF(OR(AY18="",BD18=""),0,AY18*BD18)</f>
        <v>0</v>
      </c>
      <c r="CR18" s="28" t="e">
        <f t="shared" ref="CR18:CR29" si="6">IF($BD$17=$CN$35,BD18,(BD18*6.28981))</f>
        <v>#VALUE!</v>
      </c>
      <c r="CS18" s="29" t="str">
        <f t="shared" ref="CS18:CS29" si="7">IF($BD$17=$CN$34,BD18,(BD18/6.28981))</f>
        <v/>
      </c>
      <c r="CU18" s="30">
        <f t="shared" ref="CU18:CU29" si="8">IF($AY$17=$CN$40,AY18,(AY18*1.8+32))</f>
        <v>32</v>
      </c>
      <c r="CV18" s="31">
        <f t="shared" ref="CV18:CV29" si="9">ROUND(CU18*2,0)/2</f>
        <v>32</v>
      </c>
      <c r="CW18" s="32">
        <f>ROUND(CU18,1)</f>
        <v>32</v>
      </c>
      <c r="CX18" s="33">
        <f>(1.8*((((CW18-32)/1.8)-((-0.148759+((-0.267408+((1.08076+((1.269056+((-4.089591+((-1.871251+((7.438081+(-3.536296*(((CW18-32)/1.8)/630)))*(((CW18-32)/1.8)/630)))*(((CW18-32)/1.8)/630)))*(((CW18-32)/1.8)/630)))*(((CW18-32)/1.8)/630)))*(((CW18-32)/1.8)/630)))*(((CW18-32)/1.8)/630)))*(((CW18-32)/1.8)/630)))))+32</f>
        <v>32</v>
      </c>
      <c r="CY18" s="26"/>
      <c r="CZ18" s="30">
        <f t="shared" ref="CZ18:CZ29" si="10">IF($AY$17=$CN$39,AY18,(AY18-32)/1.8)</f>
        <v>0</v>
      </c>
      <c r="DA18" s="28">
        <f t="shared" ref="DA18:DA29" si="11">ROUND(CZ18*4,0)/4</f>
        <v>0</v>
      </c>
      <c r="DB18" s="34">
        <f>ROUND(CZ18,1)</f>
        <v>0</v>
      </c>
      <c r="DC18" s="33">
        <f>DB18-((-0.148759+((-0.267408+((1.08076+((1.269056+((-4.089591+((-1.871251+((7.438081+(-3.536296*(DB18/630)))*(DB18/630)))*(DB18/630)))*(DB18/630)))*(DB18/630)))*(DB18/630)))*(DB18/630)))*(DB18/630))</f>
        <v>0</v>
      </c>
      <c r="DD18" s="35"/>
      <c r="DE18" s="30" t="e">
        <f t="shared" ref="DE18:DE29" si="12">IF($P$16=$CN$18,P18,(141.5/DK18)-131.5)</f>
        <v>#DIV/0!</v>
      </c>
      <c r="DF18" s="31" t="e">
        <f t="shared" ref="DF18:DF29" si="13">ROUND(DE18*2,0)/2</f>
        <v>#DIV/0!</v>
      </c>
      <c r="DG18" s="32" t="e">
        <f>ROUND(DE18,1)</f>
        <v>#DIV/0!</v>
      </c>
      <c r="DH18" s="33" t="e">
        <f>(141.5/(DG18+131.5))*999.016</f>
        <v>#DIV/0!</v>
      </c>
      <c r="DI18" s="33" t="e">
        <f>DH18*(1+((EXP(((0.01374979547/2)*(((103.872/DH18)+0.2701)*(1/DH18)))*(1+(0.8*((0.01374979547/2)*(((103.872/DH18)+0.2701)*(1/DH18))))))-1)/(1+(((0.01374979547/2)*(((103.872/DH18)+0.2701)*(1/DH18)))*(1+(1.6*((0.01374979547/2)*(((103.872/DH18)+0.2701)*(1/DH18)))))*(((2*103.872)+(0.2701+DH18))/(103.872+(0.2701*DH18)))))))</f>
        <v>#DIV/0!</v>
      </c>
      <c r="DK18" s="36" t="e">
        <f t="shared" ref="DK18:DK29" si="14">IF($P$16=$CN$19,P18,IF($P$16=$CN$18,141.5/(P18+131.5),DQ18*ROUND(EXP(-(186.9696/(((TRUNC(5*(DQ18*100)+0.5)/5)*0.01)*1000)^2+0.4862/(((TRUNC(5*(DQ18*100)+0.5)/5)*0.01)*1000))*(0.56)*(1+0.8*(186.9696/(((TRUNC(5*(DQ18*100)+0.5)/5)*0.01)*1000)^2+0.4862/(((TRUNC(5*(DQ18*100)+0.5)/5)*0.01)*1000))*0.56)),4)/0.999012))</f>
        <v>#DIV/0!</v>
      </c>
      <c r="DL18" s="37" t="e">
        <f>ROUND(DK18*5,2)/5</f>
        <v>#DIV/0!</v>
      </c>
      <c r="DM18" s="38" t="e">
        <f>ROUND(DK18,4)</f>
        <v>#DIV/0!</v>
      </c>
      <c r="DN18" s="33" t="e">
        <f>DM18*999.016</f>
        <v>#DIV/0!</v>
      </c>
      <c r="DO18" s="33" t="e">
        <f>DN18*(1+((EXP(((0.01374979547/2)*(((103.872/DN18)+0.2701)*(1/DN18)))*(1+(0.8*((0.01374979547/2)*(((103.872/DN18)+0.2701)*(1/DN18))))))-1)/(1+(((0.01374979547/2)*(((103.872/DN18)+0.2701)*(1/DN18)))*(1+(1.6*((0.01374979547/2)*(((103.872/DN18)+0.2701)*(1/DN18)))))*(((2*103.872)+(0.2701+DN18))/(103.872+(0.2701*DN18)))))))</f>
        <v>#DIV/0!</v>
      </c>
      <c r="DQ18" s="36">
        <f t="shared" ref="DQ18:DQ29" si="15">IF($P$16=$CN$20,P18,DK18*0.999012*ROUND(EXP(-((103.872/((((TRUNC(5*(DK18*100)+0.5)/5)*0.01)*999.012)^2))+(0.2701/(((TRUNC(5*(DK18*100)+0.5)/5)*0.01)*999.012)))*(-1)*(1+(0.8*((103.872/((((TRUNC(5*(DK18*100)+0.5)/5)*0.01)*999.012)^2))+(0.2701/(((TRUNC(5*(DK18*100)+0.5)/5)*0.01)*999.012)))*(-1)))),4))</f>
        <v>0</v>
      </c>
      <c r="DR18" s="39">
        <f>ROUND(DQ18*5,2)/5</f>
        <v>0</v>
      </c>
      <c r="DS18" s="38">
        <f>ROUND(DQ18,4)</f>
        <v>0</v>
      </c>
      <c r="DT18" s="33">
        <f>DS18*1000</f>
        <v>0</v>
      </c>
      <c r="DU18" s="33" t="e">
        <f>DT18*(1+((EXP(((0.01374979547/2)*(((186.9696/DT18)+0.4862)*(1/DT18)))*(1+(0.8*((0.01374979547/2)*(((186.9696/DT18)+0.4862)*(1/DT18))))))-1)/(1+(((0.01374979547/2)*(((186.9696/DT18)+0.4862)*(1/DT18)))*(1+(1.6*((0.01374979547/2)*(((186.9696/DT18)+0.4862)*(1/DT18)))))*(((2*186.9696)+(0.4862+DT18))/(186.9696+(0.4862*DT18)))))))</f>
        <v>#DIV/0!</v>
      </c>
      <c r="DW18" s="38" t="e">
        <f>ROUND(EXP(-((103.872/(((141.5/(DF18+131.5))*999.012)^2))+(0.2701/((141.5/(DF18+131.5))*999.012)))*(CV18-60)*(1+(0.8*((103.872/(((141.5/(DF18+131.5))*999.012)^2))+(0.2701/((141.5/(DF18+131.5))*999.012)))*(CV18-60)))),4)</f>
        <v>#DIV/0!</v>
      </c>
      <c r="DX18" s="40" t="e">
        <f>ROUND(EXP(-(((103.872/DI18)+0.2701)*(1/DI18))*(CX18-60.0068749)*(1+(0.8*(((103.872/DI18)+0.2701)*(1/DI18))*((CX18-60.0068749)+0.01374979547)))),5)</f>
        <v>#DIV/0!</v>
      </c>
      <c r="DY18" s="36" t="e">
        <f>ROUND(EXP(-((103.872/((DL18*999.012)^2))+(0.2701/(DL18*999.012)))*(CV18-60)*(1+(0.8*((103.872/((DL18*999.012)^2))+(0.2701/(DL18*999.012)))*(CV18-60)))),4)</f>
        <v>#DIV/0!</v>
      </c>
      <c r="DZ18" s="40" t="e">
        <f>ROUND(EXP(-(((103.872/DO18)+0.2701)*(1/DO18))*(CX18-60.0068749)*(1+(0.8*(((103.872/DO18)+0.2701)*(1/DO18))*((CX18-60.0068749)+0.01374979547)))),5)</f>
        <v>#DIV/0!</v>
      </c>
      <c r="EA18" s="36" t="e">
        <f>ROUND(EXP(-((186.9696/((DR18*1000)^2))+(0.4862/(DR18*1000)))*(DA18-15)*(1+(0.8*((186.9696/((DR18*1000)^2))+(0.4862/(DR18*1000)))*(DA18-15)))),4)</f>
        <v>#DIV/0!</v>
      </c>
      <c r="EB18" s="40" t="e">
        <f>ROUND(EXP(-((((186.9696/DU18)+0.4862)*(1/DU18)))*(DC18-15.00367851)*(1+(0.8*((((186.9696/DU18)+0.4862)*(1/DU18)))*((DC18-15.00367851)+0.01374979547)))),5)</f>
        <v>#DIV/0!</v>
      </c>
    </row>
    <row r="19" spans="1:132" ht="11.45" customHeight="1" x14ac:dyDescent="0.2">
      <c r="A19" s="317"/>
      <c r="B19" s="317"/>
      <c r="C19" s="317"/>
      <c r="D19" s="317"/>
      <c r="E19" s="317"/>
      <c r="F19" s="317"/>
      <c r="G19" s="317"/>
      <c r="H19" s="317"/>
      <c r="I19" s="345"/>
      <c r="J19" s="345"/>
      <c r="K19" s="345"/>
      <c r="L19" s="345"/>
      <c r="M19" s="345"/>
      <c r="N19" s="345"/>
      <c r="O19" s="345"/>
      <c r="P19" s="313"/>
      <c r="Q19" s="313"/>
      <c r="R19" s="313"/>
      <c r="S19" s="313"/>
      <c r="T19" s="313"/>
      <c r="U19" s="308"/>
      <c r="V19" s="308"/>
      <c r="W19" s="308"/>
      <c r="X19" s="308"/>
      <c r="Y19" s="308"/>
      <c r="Z19" s="308"/>
      <c r="AA19" s="308"/>
      <c r="AB19" s="308"/>
      <c r="AC19" s="309"/>
      <c r="AD19" s="308"/>
      <c r="AE19" s="308"/>
      <c r="AF19" s="308"/>
      <c r="AG19" s="308"/>
      <c r="AH19" s="308"/>
      <c r="AI19" s="308"/>
      <c r="AJ19" s="308"/>
      <c r="AK19" s="308"/>
      <c r="AL19" s="308"/>
      <c r="AM19" s="308"/>
      <c r="AN19" s="308"/>
      <c r="AO19" s="308"/>
      <c r="AP19" s="308"/>
      <c r="AQ19" s="308"/>
      <c r="AR19" s="308"/>
      <c r="AS19" s="308"/>
      <c r="AT19" s="308"/>
      <c r="AU19" s="308"/>
      <c r="AV19" s="308"/>
      <c r="AW19" s="308"/>
      <c r="AX19" s="308"/>
      <c r="AY19" s="312"/>
      <c r="AZ19" s="312"/>
      <c r="BA19" s="312"/>
      <c r="BB19" s="312"/>
      <c r="BC19" s="312"/>
      <c r="BD19" s="311" t="str">
        <f t="shared" ref="BD19:BD29" si="16">IF(OR(AJ19="",AT19=""),"",AJ19-AT19)</f>
        <v/>
      </c>
      <c r="BE19" s="311"/>
      <c r="BF19" s="311"/>
      <c r="BG19" s="311"/>
      <c r="BH19" s="311"/>
      <c r="BI19" s="310" t="str">
        <f t="shared" si="0"/>
        <v/>
      </c>
      <c r="BJ19" s="310"/>
      <c r="BK19" s="310"/>
      <c r="BL19" s="310"/>
      <c r="BM19" s="310"/>
      <c r="BN19" s="311" t="str">
        <f t="shared" si="1"/>
        <v/>
      </c>
      <c r="BO19" s="311"/>
      <c r="BP19" s="311"/>
      <c r="BQ19" s="311"/>
      <c r="BR19" s="311"/>
      <c r="BS19" s="332" t="str">
        <f t="shared" si="2"/>
        <v/>
      </c>
      <c r="BT19" s="332"/>
      <c r="BU19" s="332"/>
      <c r="BV19" s="332"/>
      <c r="BW19" s="332"/>
      <c r="BX19" s="311" t="str">
        <f t="shared" si="3"/>
        <v/>
      </c>
      <c r="BY19" s="311"/>
      <c r="BZ19" s="311"/>
      <c r="CA19" s="311"/>
      <c r="CB19" s="311"/>
      <c r="CC19" s="311" t="str">
        <f t="shared" si="4"/>
        <v/>
      </c>
      <c r="CD19" s="311"/>
      <c r="CE19" s="311"/>
      <c r="CF19" s="311"/>
      <c r="CG19" s="311"/>
      <c r="CN19" s="87" t="s">
        <v>85</v>
      </c>
      <c r="CP19" s="87">
        <f t="shared" si="5"/>
        <v>0</v>
      </c>
      <c r="CR19" s="28" t="e">
        <f t="shared" si="6"/>
        <v>#VALUE!</v>
      </c>
      <c r="CS19" s="29" t="str">
        <f t="shared" si="7"/>
        <v/>
      </c>
      <c r="CU19" s="28">
        <f t="shared" si="8"/>
        <v>32</v>
      </c>
      <c r="CV19" s="31">
        <f t="shared" si="9"/>
        <v>32</v>
      </c>
      <c r="CW19" s="32">
        <f>ROUND(CU19,1)</f>
        <v>32</v>
      </c>
      <c r="CX19" s="32">
        <f t="shared" ref="CX19:CX29" si="17">(1.8*((((CW19-32)/1.8)-((-0.148759+((-0.267408+((1.08076+((1.269056+((-4.089591+((-1.871251+((7.438081+(-3.536296*(((CW19-32)/1.8)/630)))*(((CW19-32)/1.8)/630)))*(((CW19-32)/1.8)/630)))*(((CW19-32)/1.8)/630)))*(((CW19-32)/1.8)/630)))*(((CW19-32)/1.8)/630)))*(((CW19-32)/1.8)/630)))*(((CW19-32)/1.8)/630)))))+32</f>
        <v>32</v>
      </c>
      <c r="CY19" s="26"/>
      <c r="CZ19" s="28">
        <f t="shared" si="10"/>
        <v>0</v>
      </c>
      <c r="DA19" s="28">
        <f t="shared" si="11"/>
        <v>0</v>
      </c>
      <c r="DB19" s="34">
        <f>ROUND(CZ19,1)</f>
        <v>0</v>
      </c>
      <c r="DC19" s="32">
        <f t="shared" ref="DC19:DC29" si="18">DB19-((-0.148759+((-0.267408+((1.08076+((1.269056+((-4.089591+((-1.871251+((7.438081+(-3.536296*(DB19/630)))*(DB19/630)))*(DB19/630)))*(DB19/630)))*(DB19/630)))*(DB19/630)))*(DB19/630)))*(DB19/630))</f>
        <v>0</v>
      </c>
      <c r="DD19" s="35"/>
      <c r="DE19" s="28" t="e">
        <f t="shared" si="12"/>
        <v>#DIV/0!</v>
      </c>
      <c r="DF19" s="31" t="e">
        <f t="shared" si="13"/>
        <v>#DIV/0!</v>
      </c>
      <c r="DG19" s="32" t="e">
        <f>ROUND(DE19,1)</f>
        <v>#DIV/0!</v>
      </c>
      <c r="DH19" s="32" t="e">
        <f t="shared" ref="DH19:DH29" si="19">(141.5/(DG19+131.5))*999.016</f>
        <v>#DIV/0!</v>
      </c>
      <c r="DI19" s="32" t="e">
        <f t="shared" ref="DI19:DI29" si="20">DH19*(1+((EXP(((0.01374979547/2)*(((103.872/DH19)+0.2701)*(1/DH19)))*(1+(0.8*((0.01374979547/2)*(((103.872/DH19)+0.2701)*(1/DH19))))))-1)/(1+(((0.01374979547/2)*(((103.872/DH19)+0.2701)*(1/DH19)))*(1+(1.6*((0.01374979547/2)*(((103.872/DH19)+0.2701)*(1/DH19)))))*(((2*103.872)+(0.2701+DH19))/(103.872+(0.2701*DH19)))))))</f>
        <v>#DIV/0!</v>
      </c>
      <c r="DK19" s="38" t="e">
        <f t="shared" si="14"/>
        <v>#DIV/0!</v>
      </c>
      <c r="DL19" s="41" t="e">
        <f>ROUND(DK19*5,2)/5</f>
        <v>#DIV/0!</v>
      </c>
      <c r="DM19" s="38" t="e">
        <f>ROUND(DK19,4)</f>
        <v>#DIV/0!</v>
      </c>
      <c r="DN19" s="32" t="e">
        <f t="shared" ref="DN19:DN29" si="21">DM19*999.016</f>
        <v>#DIV/0!</v>
      </c>
      <c r="DO19" s="32" t="e">
        <f>DN19*(1+((EXP(((0.01374979547/2)*(((103.872/DN19)+0.2701)*(1/DN19)))*(1+(0.8*((0.01374979547/2)*(((103.872/DN19)+0.2701)*(1/DN19))))))-1)/(1+(((0.01374979547/2)*(((103.872/DN19)+0.2701)*(1/DN19)))*(1+(1.6*((0.01374979547/2)*(((103.872/DN19)+0.2701)*(1/DN19)))))*(((2*103.872)+(0.2701+DN19))/(103.872+(0.2701*DN19)))))))</f>
        <v>#DIV/0!</v>
      </c>
      <c r="DQ19" s="38">
        <f t="shared" si="15"/>
        <v>0</v>
      </c>
      <c r="DR19" s="29">
        <f>ROUND(DQ19*5,2)/5</f>
        <v>0</v>
      </c>
      <c r="DS19" s="38">
        <f>ROUND(DQ19,4)</f>
        <v>0</v>
      </c>
      <c r="DT19" s="32">
        <f t="shared" ref="DT19:DT29" si="22">DS19*1000</f>
        <v>0</v>
      </c>
      <c r="DU19" s="32" t="e">
        <f t="shared" ref="DU19:DU29" si="23">DT19*(1+((EXP(((0.01374979547/2)*(((186.9696/DT19)+0.4862)*(1/DT19)))*(1+(0.8*((0.01374979547/2)*(((186.9696/DT19)+0.4862)*(1/DT19))))))-1)/(1+(((0.01374979547/2)*(((186.9696/DT19)+0.4862)*(1/DT19)))*(1+(1.6*((0.01374979547/2)*(((186.9696/DT19)+0.4862)*(1/DT19)))))*(((2*186.9696)+(0.4862+DT19))/(186.9696+(0.4862*DT19)))))))</f>
        <v>#DIV/0!</v>
      </c>
      <c r="DW19" s="38" t="e">
        <f>ROUND(EXP(-((103.872/(((141.5/(DF19+131.5))*999.012)^2))+(0.2701/((141.5/(DF19+131.5))*999.012)))*(CV19-60)*(1+(0.8*((103.872/(((141.5/(DF19+131.5))*999.012)^2))+(0.2701/((141.5/(DF19+131.5))*999.012)))*(CV19-60)))),4)</f>
        <v>#DIV/0!</v>
      </c>
      <c r="DX19" s="42" t="e">
        <f>ROUND(EXP(-(((103.872/DI19)+0.2701)*(1/DI19))*(CX19-60.0068749)*(1+(0.8*(((103.872/DI19)+0.2701)*(1/DI19))*((CX19-60.0068749)+0.01374979547)))),5)</f>
        <v>#DIV/0!</v>
      </c>
      <c r="DY19" s="38" t="e">
        <f>ROUND(EXP(-((103.872/((DL19*999.012)^2))+(0.2701/(DL19*999.012)))*(CV19-60)*(1+(0.8*((103.872/((DL19*999.012)^2))+(0.2701/(DL19*999.012)))*(CV19-60)))),4)</f>
        <v>#DIV/0!</v>
      </c>
      <c r="DZ19" s="42" t="e">
        <f>ROUND(EXP(-(((103.872/DO19)+0.2701)*(1/DO19))*(CX19-60.0068749)*(1+(0.8*(((103.872/DO19)+0.2701)*(1/DO19))*((CX19-60.0068749)+0.01374979547)))),5)</f>
        <v>#DIV/0!</v>
      </c>
      <c r="EA19" s="38" t="e">
        <f>ROUND(EXP(-((186.9696/((DR19*1000)^2))+(0.4862/(DR19*1000)))*(DA19-15)*(1+(0.8*((186.9696/((DR19*1000)^2))+(0.4862/(DR19*1000)))*(DA19-15)))),4)</f>
        <v>#DIV/0!</v>
      </c>
      <c r="EB19" s="42" t="e">
        <f>ROUND(EXP(-((((186.9696/DU19)+0.4862)*(1/DU19)))*(DC19-15.00367851)*(1+(0.8*((((186.9696/DU19)+0.4862)*(1/DU19)))*((DC19-15.00367851)+0.01374979547)))),5)</f>
        <v>#DIV/0!</v>
      </c>
    </row>
    <row r="20" spans="1:132" ht="11.45" customHeight="1" x14ac:dyDescent="0.2">
      <c r="A20" s="317"/>
      <c r="B20" s="317"/>
      <c r="C20" s="317"/>
      <c r="D20" s="317"/>
      <c r="E20" s="317"/>
      <c r="F20" s="317"/>
      <c r="G20" s="317"/>
      <c r="H20" s="317"/>
      <c r="I20" s="345"/>
      <c r="J20" s="345"/>
      <c r="K20" s="345"/>
      <c r="L20" s="345"/>
      <c r="M20" s="345"/>
      <c r="N20" s="345"/>
      <c r="O20" s="345"/>
      <c r="P20" s="313"/>
      <c r="Q20" s="313"/>
      <c r="R20" s="313"/>
      <c r="S20" s="313"/>
      <c r="T20" s="313"/>
      <c r="U20" s="308"/>
      <c r="V20" s="308"/>
      <c r="W20" s="308"/>
      <c r="X20" s="308"/>
      <c r="Y20" s="308"/>
      <c r="Z20" s="308"/>
      <c r="AA20" s="308"/>
      <c r="AB20" s="308"/>
      <c r="AC20" s="309"/>
      <c r="AD20" s="308"/>
      <c r="AE20" s="308"/>
      <c r="AF20" s="308"/>
      <c r="AG20" s="308"/>
      <c r="AH20" s="308"/>
      <c r="AI20" s="308"/>
      <c r="AJ20" s="308"/>
      <c r="AK20" s="308"/>
      <c r="AL20" s="308"/>
      <c r="AM20" s="308"/>
      <c r="AN20" s="308"/>
      <c r="AO20" s="308"/>
      <c r="AP20" s="308"/>
      <c r="AQ20" s="308"/>
      <c r="AR20" s="308"/>
      <c r="AS20" s="308"/>
      <c r="AT20" s="308"/>
      <c r="AU20" s="308"/>
      <c r="AV20" s="308"/>
      <c r="AW20" s="308"/>
      <c r="AX20" s="308"/>
      <c r="AY20" s="312"/>
      <c r="AZ20" s="312"/>
      <c r="BA20" s="312"/>
      <c r="BB20" s="312"/>
      <c r="BC20" s="312"/>
      <c r="BD20" s="311" t="str">
        <f t="shared" si="16"/>
        <v/>
      </c>
      <c r="BE20" s="311"/>
      <c r="BF20" s="311"/>
      <c r="BG20" s="311"/>
      <c r="BH20" s="311"/>
      <c r="BI20" s="310" t="str">
        <f t="shared" si="0"/>
        <v/>
      </c>
      <c r="BJ20" s="310"/>
      <c r="BK20" s="310"/>
      <c r="BL20" s="310"/>
      <c r="BM20" s="310"/>
      <c r="BN20" s="311" t="str">
        <f t="shared" si="1"/>
        <v/>
      </c>
      <c r="BO20" s="311"/>
      <c r="BP20" s="311"/>
      <c r="BQ20" s="311"/>
      <c r="BR20" s="311"/>
      <c r="BS20" s="332" t="str">
        <f t="shared" si="2"/>
        <v/>
      </c>
      <c r="BT20" s="332"/>
      <c r="BU20" s="332"/>
      <c r="BV20" s="332"/>
      <c r="BW20" s="332"/>
      <c r="BX20" s="311" t="str">
        <f t="shared" si="3"/>
        <v/>
      </c>
      <c r="BY20" s="311"/>
      <c r="BZ20" s="311"/>
      <c r="CA20" s="311"/>
      <c r="CB20" s="311"/>
      <c r="CC20" s="311" t="str">
        <f t="shared" si="4"/>
        <v/>
      </c>
      <c r="CD20" s="311"/>
      <c r="CE20" s="311"/>
      <c r="CF20" s="311"/>
      <c r="CG20" s="311"/>
      <c r="CN20" s="2" t="s">
        <v>84</v>
      </c>
      <c r="CP20" s="87">
        <f t="shared" si="5"/>
        <v>0</v>
      </c>
      <c r="CR20" s="28" t="e">
        <f t="shared" si="6"/>
        <v>#VALUE!</v>
      </c>
      <c r="CS20" s="29" t="str">
        <f t="shared" si="7"/>
        <v/>
      </c>
      <c r="CU20" s="28">
        <f t="shared" si="8"/>
        <v>32</v>
      </c>
      <c r="CV20" s="31">
        <f t="shared" si="9"/>
        <v>32</v>
      </c>
      <c r="CW20" s="32">
        <f t="shared" ref="CW20:CW28" si="24">ROUND(CU20,1)</f>
        <v>32</v>
      </c>
      <c r="CX20" s="32">
        <f t="shared" si="17"/>
        <v>32</v>
      </c>
      <c r="CY20" s="26"/>
      <c r="CZ20" s="28">
        <f t="shared" si="10"/>
        <v>0</v>
      </c>
      <c r="DA20" s="28">
        <f t="shared" si="11"/>
        <v>0</v>
      </c>
      <c r="DB20" s="34">
        <f t="shared" ref="DB20:DB28" si="25">ROUND(CZ20,1)</f>
        <v>0</v>
      </c>
      <c r="DC20" s="32">
        <f t="shared" si="18"/>
        <v>0</v>
      </c>
      <c r="DD20" s="35"/>
      <c r="DE20" s="28" t="e">
        <f t="shared" si="12"/>
        <v>#DIV/0!</v>
      </c>
      <c r="DF20" s="31" t="e">
        <f t="shared" si="13"/>
        <v>#DIV/0!</v>
      </c>
      <c r="DG20" s="32" t="e">
        <f t="shared" ref="DG20:DG28" si="26">ROUND(DE20,1)</f>
        <v>#DIV/0!</v>
      </c>
      <c r="DH20" s="32" t="e">
        <f t="shared" si="19"/>
        <v>#DIV/0!</v>
      </c>
      <c r="DI20" s="32" t="e">
        <f t="shared" si="20"/>
        <v>#DIV/0!</v>
      </c>
      <c r="DK20" s="38" t="e">
        <f t="shared" si="14"/>
        <v>#DIV/0!</v>
      </c>
      <c r="DL20" s="41" t="e">
        <f t="shared" ref="DL20:DL28" si="27">ROUND(DK20*5,2)/5</f>
        <v>#DIV/0!</v>
      </c>
      <c r="DM20" s="38" t="e">
        <f t="shared" ref="DM20:DM28" si="28">ROUND(DK20,4)</f>
        <v>#DIV/0!</v>
      </c>
      <c r="DN20" s="32" t="e">
        <f t="shared" si="21"/>
        <v>#DIV/0!</v>
      </c>
      <c r="DO20" s="32" t="e">
        <f t="shared" ref="DO20:DO28" si="29">DN20*(1+((EXP(((0.01374979547/2)*(((103.872/DN20)+0.2701)*(1/DN20)))*(1+(0.8*((0.01374979547/2)*(((103.872/DN20)+0.2701)*(1/DN20))))))-1)/(1+(((0.01374979547/2)*(((103.872/DN20)+0.2701)*(1/DN20)))*(1+(1.6*((0.01374979547/2)*(((103.872/DN20)+0.2701)*(1/DN20)))))*(((2*103.872)+(0.2701+DN20))/(103.872+(0.2701*DN20)))))))</f>
        <v>#DIV/0!</v>
      </c>
      <c r="DQ20" s="38">
        <f t="shared" si="15"/>
        <v>0</v>
      </c>
      <c r="DR20" s="29">
        <f t="shared" ref="DR20:DR28" si="30">ROUND(DQ20*5,2)/5</f>
        <v>0</v>
      </c>
      <c r="DS20" s="38">
        <f t="shared" ref="DS20:DS28" si="31">ROUND(DQ20,4)</f>
        <v>0</v>
      </c>
      <c r="DT20" s="32">
        <f t="shared" si="22"/>
        <v>0</v>
      </c>
      <c r="DU20" s="32" t="e">
        <f t="shared" si="23"/>
        <v>#DIV/0!</v>
      </c>
      <c r="DW20" s="38" t="e">
        <f t="shared" ref="DW20:DW28" si="32">ROUND(EXP(-((103.872/(((141.5/(DF20+131.5))*999.012)^2))+(0.2701/((141.5/(DF20+131.5))*999.012)))*(CV20-60)*(1+(0.8*((103.872/(((141.5/(DF20+131.5))*999.012)^2))+(0.2701/((141.5/(DF20+131.5))*999.012)))*(CV20-60)))),4)</f>
        <v>#DIV/0!</v>
      </c>
      <c r="DX20" s="42" t="e">
        <f t="shared" ref="DX20:DX28" si="33">ROUND(EXP(-(((103.872/DI20)+0.2701)*(1/DI20))*(CX20-60.0068749)*(1+(0.8*(((103.872/DI20)+0.2701)*(1/DI20))*((CX20-60.0068749)+0.01374979547)))),5)</f>
        <v>#DIV/0!</v>
      </c>
      <c r="DY20" s="38" t="e">
        <f t="shared" ref="DY20:DY28" si="34">ROUND(EXP(-((103.872/((DL20*999.012)^2))+(0.2701/(DL20*999.012)))*(CV20-60)*(1+(0.8*((103.872/((DL20*999.012)^2))+(0.2701/(DL20*999.012)))*(CV20-60)))),4)</f>
        <v>#DIV/0!</v>
      </c>
      <c r="DZ20" s="42" t="e">
        <f t="shared" ref="DZ20:DZ28" si="35">ROUND(EXP(-(((103.872/DO20)+0.2701)*(1/DO20))*(CX20-60.0068749)*(1+(0.8*(((103.872/DO20)+0.2701)*(1/DO20))*((CX20-60.0068749)+0.01374979547)))),5)</f>
        <v>#DIV/0!</v>
      </c>
      <c r="EA20" s="38" t="e">
        <f t="shared" ref="EA20:EA28" si="36">ROUND(EXP(-((186.9696/((DR20*1000)^2))+(0.4862/(DR20*1000)))*(DA20-15)*(1+(0.8*((186.9696/((DR20*1000)^2))+(0.4862/(DR20*1000)))*(DA20-15)))),4)</f>
        <v>#DIV/0!</v>
      </c>
      <c r="EB20" s="42" t="e">
        <f t="shared" ref="EB20:EB28" si="37">ROUND(EXP(-((((186.9696/DU20)+0.4862)*(1/DU20)))*(DC20-15.00367851)*(1+(0.8*((((186.9696/DU20)+0.4862)*(1/DU20)))*((DC20-15.00367851)+0.01374979547)))),5)</f>
        <v>#DIV/0!</v>
      </c>
    </row>
    <row r="21" spans="1:132" ht="11.45" customHeight="1" x14ac:dyDescent="0.2">
      <c r="A21" s="317"/>
      <c r="B21" s="317"/>
      <c r="C21" s="317"/>
      <c r="D21" s="317"/>
      <c r="E21" s="317"/>
      <c r="F21" s="317"/>
      <c r="G21" s="317"/>
      <c r="H21" s="317"/>
      <c r="I21" s="345"/>
      <c r="J21" s="345"/>
      <c r="K21" s="345"/>
      <c r="L21" s="345"/>
      <c r="M21" s="345"/>
      <c r="N21" s="345"/>
      <c r="O21" s="345"/>
      <c r="P21" s="313"/>
      <c r="Q21" s="313"/>
      <c r="R21" s="313"/>
      <c r="S21" s="313"/>
      <c r="T21" s="313"/>
      <c r="U21" s="308"/>
      <c r="V21" s="308"/>
      <c r="W21" s="308"/>
      <c r="X21" s="308"/>
      <c r="Y21" s="308"/>
      <c r="Z21" s="308"/>
      <c r="AA21" s="308"/>
      <c r="AB21" s="308"/>
      <c r="AC21" s="309"/>
      <c r="AD21" s="308"/>
      <c r="AE21" s="308"/>
      <c r="AF21" s="308"/>
      <c r="AG21" s="308"/>
      <c r="AH21" s="308"/>
      <c r="AI21" s="308"/>
      <c r="AJ21" s="308"/>
      <c r="AK21" s="308"/>
      <c r="AL21" s="308"/>
      <c r="AM21" s="308"/>
      <c r="AN21" s="308"/>
      <c r="AO21" s="308"/>
      <c r="AP21" s="308"/>
      <c r="AQ21" s="308"/>
      <c r="AR21" s="308"/>
      <c r="AS21" s="308"/>
      <c r="AT21" s="308"/>
      <c r="AU21" s="308"/>
      <c r="AV21" s="308"/>
      <c r="AW21" s="308"/>
      <c r="AX21" s="308"/>
      <c r="AY21" s="312"/>
      <c r="AZ21" s="312"/>
      <c r="BA21" s="312"/>
      <c r="BB21" s="312"/>
      <c r="BC21" s="312"/>
      <c r="BD21" s="311" t="str">
        <f t="shared" si="16"/>
        <v/>
      </c>
      <c r="BE21" s="311"/>
      <c r="BF21" s="311"/>
      <c r="BG21" s="311"/>
      <c r="BH21" s="311"/>
      <c r="BI21" s="310" t="str">
        <f t="shared" si="0"/>
        <v/>
      </c>
      <c r="BJ21" s="310"/>
      <c r="BK21" s="310"/>
      <c r="BL21" s="310"/>
      <c r="BM21" s="310"/>
      <c r="BN21" s="311" t="str">
        <f t="shared" si="1"/>
        <v/>
      </c>
      <c r="BO21" s="311"/>
      <c r="BP21" s="311"/>
      <c r="BQ21" s="311"/>
      <c r="BR21" s="311"/>
      <c r="BS21" s="332" t="str">
        <f t="shared" si="2"/>
        <v/>
      </c>
      <c r="BT21" s="332"/>
      <c r="BU21" s="332"/>
      <c r="BV21" s="332"/>
      <c r="BW21" s="332"/>
      <c r="BX21" s="311" t="str">
        <f t="shared" si="3"/>
        <v/>
      </c>
      <c r="BY21" s="311"/>
      <c r="BZ21" s="311"/>
      <c r="CA21" s="311"/>
      <c r="CB21" s="311"/>
      <c r="CC21" s="311" t="str">
        <f t="shared" si="4"/>
        <v/>
      </c>
      <c r="CD21" s="311"/>
      <c r="CE21" s="311"/>
      <c r="CF21" s="311"/>
      <c r="CG21" s="311"/>
      <c r="CI21" s="323" t="s">
        <v>175</v>
      </c>
      <c r="CJ21" s="324"/>
      <c r="CK21" s="324"/>
      <c r="CL21" s="325"/>
      <c r="CP21" s="87">
        <f t="shared" si="5"/>
        <v>0</v>
      </c>
      <c r="CR21" s="28" t="e">
        <f t="shared" si="6"/>
        <v>#VALUE!</v>
      </c>
      <c r="CS21" s="29" t="str">
        <f t="shared" si="7"/>
        <v/>
      </c>
      <c r="CU21" s="28">
        <f t="shared" si="8"/>
        <v>32</v>
      </c>
      <c r="CV21" s="31">
        <f t="shared" si="9"/>
        <v>32</v>
      </c>
      <c r="CW21" s="32">
        <f t="shared" si="24"/>
        <v>32</v>
      </c>
      <c r="CX21" s="32">
        <f t="shared" si="17"/>
        <v>32</v>
      </c>
      <c r="CY21" s="26"/>
      <c r="CZ21" s="28">
        <f t="shared" si="10"/>
        <v>0</v>
      </c>
      <c r="DA21" s="28">
        <f t="shared" si="11"/>
        <v>0</v>
      </c>
      <c r="DB21" s="34">
        <f t="shared" si="25"/>
        <v>0</v>
      </c>
      <c r="DC21" s="32">
        <f t="shared" si="18"/>
        <v>0</v>
      </c>
      <c r="DD21" s="35"/>
      <c r="DE21" s="28" t="e">
        <f t="shared" si="12"/>
        <v>#DIV/0!</v>
      </c>
      <c r="DF21" s="31" t="e">
        <f t="shared" si="13"/>
        <v>#DIV/0!</v>
      </c>
      <c r="DG21" s="32" t="e">
        <f t="shared" si="26"/>
        <v>#DIV/0!</v>
      </c>
      <c r="DH21" s="32" t="e">
        <f t="shared" si="19"/>
        <v>#DIV/0!</v>
      </c>
      <c r="DI21" s="32" t="e">
        <f t="shared" si="20"/>
        <v>#DIV/0!</v>
      </c>
      <c r="DK21" s="38" t="e">
        <f t="shared" si="14"/>
        <v>#DIV/0!</v>
      </c>
      <c r="DL21" s="41" t="e">
        <f t="shared" si="27"/>
        <v>#DIV/0!</v>
      </c>
      <c r="DM21" s="38" t="e">
        <f t="shared" si="28"/>
        <v>#DIV/0!</v>
      </c>
      <c r="DN21" s="32" t="e">
        <f t="shared" si="21"/>
        <v>#DIV/0!</v>
      </c>
      <c r="DO21" s="32" t="e">
        <f t="shared" si="29"/>
        <v>#DIV/0!</v>
      </c>
      <c r="DQ21" s="38">
        <f t="shared" si="15"/>
        <v>0</v>
      </c>
      <c r="DR21" s="29">
        <f t="shared" si="30"/>
        <v>0</v>
      </c>
      <c r="DS21" s="38">
        <f t="shared" si="31"/>
        <v>0</v>
      </c>
      <c r="DT21" s="32">
        <f t="shared" si="22"/>
        <v>0</v>
      </c>
      <c r="DU21" s="32" t="e">
        <f t="shared" si="23"/>
        <v>#DIV/0!</v>
      </c>
      <c r="DW21" s="38" t="e">
        <f t="shared" si="32"/>
        <v>#DIV/0!</v>
      </c>
      <c r="DX21" s="42" t="e">
        <f t="shared" si="33"/>
        <v>#DIV/0!</v>
      </c>
      <c r="DY21" s="38" t="e">
        <f t="shared" si="34"/>
        <v>#DIV/0!</v>
      </c>
      <c r="DZ21" s="42" t="e">
        <f t="shared" si="35"/>
        <v>#DIV/0!</v>
      </c>
      <c r="EA21" s="38" t="e">
        <f t="shared" si="36"/>
        <v>#DIV/0!</v>
      </c>
      <c r="EB21" s="42" t="e">
        <f t="shared" si="37"/>
        <v>#DIV/0!</v>
      </c>
    </row>
    <row r="22" spans="1:132" ht="11.45" customHeight="1" x14ac:dyDescent="0.2">
      <c r="A22" s="317"/>
      <c r="B22" s="317"/>
      <c r="C22" s="317"/>
      <c r="D22" s="317"/>
      <c r="E22" s="317"/>
      <c r="F22" s="317"/>
      <c r="G22" s="317"/>
      <c r="H22" s="317"/>
      <c r="I22" s="345"/>
      <c r="J22" s="345"/>
      <c r="K22" s="345"/>
      <c r="L22" s="345"/>
      <c r="M22" s="345"/>
      <c r="N22" s="345"/>
      <c r="O22" s="345"/>
      <c r="P22" s="313"/>
      <c r="Q22" s="313"/>
      <c r="R22" s="313"/>
      <c r="S22" s="313"/>
      <c r="T22" s="313"/>
      <c r="U22" s="308"/>
      <c r="V22" s="308"/>
      <c r="W22" s="308"/>
      <c r="X22" s="308"/>
      <c r="Y22" s="308"/>
      <c r="Z22" s="308"/>
      <c r="AA22" s="308"/>
      <c r="AB22" s="308"/>
      <c r="AC22" s="309"/>
      <c r="AD22" s="308"/>
      <c r="AE22" s="308"/>
      <c r="AF22" s="308"/>
      <c r="AG22" s="308"/>
      <c r="AH22" s="308"/>
      <c r="AI22" s="308"/>
      <c r="AJ22" s="308"/>
      <c r="AK22" s="308"/>
      <c r="AL22" s="308"/>
      <c r="AM22" s="308"/>
      <c r="AN22" s="308"/>
      <c r="AO22" s="308"/>
      <c r="AP22" s="308"/>
      <c r="AQ22" s="308"/>
      <c r="AR22" s="308"/>
      <c r="AS22" s="308"/>
      <c r="AT22" s="308"/>
      <c r="AU22" s="308"/>
      <c r="AV22" s="308"/>
      <c r="AW22" s="308"/>
      <c r="AX22" s="308"/>
      <c r="AY22" s="312"/>
      <c r="AZ22" s="312"/>
      <c r="BA22" s="312"/>
      <c r="BB22" s="312"/>
      <c r="BC22" s="312"/>
      <c r="BD22" s="311" t="str">
        <f t="shared" si="16"/>
        <v/>
      </c>
      <c r="BE22" s="311"/>
      <c r="BF22" s="311"/>
      <c r="BG22" s="311"/>
      <c r="BH22" s="311"/>
      <c r="BI22" s="310" t="str">
        <f t="shared" si="0"/>
        <v/>
      </c>
      <c r="BJ22" s="310"/>
      <c r="BK22" s="310"/>
      <c r="BL22" s="310"/>
      <c r="BM22" s="310"/>
      <c r="BN22" s="311" t="str">
        <f t="shared" si="1"/>
        <v/>
      </c>
      <c r="BO22" s="311"/>
      <c r="BP22" s="311"/>
      <c r="BQ22" s="311"/>
      <c r="BR22" s="311"/>
      <c r="BS22" s="332" t="str">
        <f t="shared" si="2"/>
        <v/>
      </c>
      <c r="BT22" s="332"/>
      <c r="BU22" s="332"/>
      <c r="BV22" s="332"/>
      <c r="BW22" s="332"/>
      <c r="BX22" s="311" t="str">
        <f t="shared" si="3"/>
        <v/>
      </c>
      <c r="BY22" s="311"/>
      <c r="BZ22" s="311"/>
      <c r="CA22" s="311"/>
      <c r="CB22" s="311"/>
      <c r="CC22" s="311" t="str">
        <f t="shared" si="4"/>
        <v/>
      </c>
      <c r="CD22" s="311"/>
      <c r="CE22" s="311"/>
      <c r="CF22" s="311"/>
      <c r="CG22" s="311"/>
      <c r="CI22" s="326"/>
      <c r="CJ22" s="327"/>
      <c r="CK22" s="327"/>
      <c r="CL22" s="328"/>
      <c r="CP22" s="87">
        <f t="shared" si="5"/>
        <v>0</v>
      </c>
      <c r="CR22" s="28" t="e">
        <f t="shared" si="6"/>
        <v>#VALUE!</v>
      </c>
      <c r="CS22" s="29" t="str">
        <f t="shared" si="7"/>
        <v/>
      </c>
      <c r="CU22" s="28">
        <f t="shared" si="8"/>
        <v>32</v>
      </c>
      <c r="CV22" s="31">
        <f t="shared" si="9"/>
        <v>32</v>
      </c>
      <c r="CW22" s="32">
        <f t="shared" si="24"/>
        <v>32</v>
      </c>
      <c r="CX22" s="32">
        <f t="shared" si="17"/>
        <v>32</v>
      </c>
      <c r="CY22" s="26"/>
      <c r="CZ22" s="28">
        <f t="shared" si="10"/>
        <v>0</v>
      </c>
      <c r="DA22" s="28">
        <f t="shared" si="11"/>
        <v>0</v>
      </c>
      <c r="DB22" s="34">
        <f t="shared" si="25"/>
        <v>0</v>
      </c>
      <c r="DC22" s="32">
        <f t="shared" si="18"/>
        <v>0</v>
      </c>
      <c r="DD22" s="35"/>
      <c r="DE22" s="28" t="e">
        <f t="shared" si="12"/>
        <v>#DIV/0!</v>
      </c>
      <c r="DF22" s="31" t="e">
        <f t="shared" si="13"/>
        <v>#DIV/0!</v>
      </c>
      <c r="DG22" s="32" t="e">
        <f t="shared" si="26"/>
        <v>#DIV/0!</v>
      </c>
      <c r="DH22" s="32" t="e">
        <f t="shared" si="19"/>
        <v>#DIV/0!</v>
      </c>
      <c r="DI22" s="32" t="e">
        <f t="shared" si="20"/>
        <v>#DIV/0!</v>
      </c>
      <c r="DK22" s="38" t="e">
        <f t="shared" si="14"/>
        <v>#DIV/0!</v>
      </c>
      <c r="DL22" s="41" t="e">
        <f t="shared" si="27"/>
        <v>#DIV/0!</v>
      </c>
      <c r="DM22" s="38" t="e">
        <f t="shared" si="28"/>
        <v>#DIV/0!</v>
      </c>
      <c r="DN22" s="32" t="e">
        <f t="shared" si="21"/>
        <v>#DIV/0!</v>
      </c>
      <c r="DO22" s="32" t="e">
        <f t="shared" si="29"/>
        <v>#DIV/0!</v>
      </c>
      <c r="DQ22" s="38">
        <f t="shared" si="15"/>
        <v>0</v>
      </c>
      <c r="DR22" s="29">
        <f t="shared" si="30"/>
        <v>0</v>
      </c>
      <c r="DS22" s="38">
        <f t="shared" si="31"/>
        <v>0</v>
      </c>
      <c r="DT22" s="32">
        <f t="shared" si="22"/>
        <v>0</v>
      </c>
      <c r="DU22" s="32" t="e">
        <f t="shared" si="23"/>
        <v>#DIV/0!</v>
      </c>
      <c r="DW22" s="38" t="e">
        <f t="shared" si="32"/>
        <v>#DIV/0!</v>
      </c>
      <c r="DX22" s="42" t="e">
        <f t="shared" si="33"/>
        <v>#DIV/0!</v>
      </c>
      <c r="DY22" s="38" t="e">
        <f t="shared" si="34"/>
        <v>#DIV/0!</v>
      </c>
      <c r="DZ22" s="42" t="e">
        <f t="shared" si="35"/>
        <v>#DIV/0!</v>
      </c>
      <c r="EA22" s="38" t="e">
        <f t="shared" si="36"/>
        <v>#DIV/0!</v>
      </c>
      <c r="EB22" s="42" t="e">
        <f t="shared" si="37"/>
        <v>#DIV/0!</v>
      </c>
    </row>
    <row r="23" spans="1:132" ht="11.45" customHeight="1" x14ac:dyDescent="0.2">
      <c r="A23" s="317"/>
      <c r="B23" s="317"/>
      <c r="C23" s="317"/>
      <c r="D23" s="317"/>
      <c r="E23" s="317"/>
      <c r="F23" s="317"/>
      <c r="G23" s="317"/>
      <c r="H23" s="317"/>
      <c r="I23" s="345"/>
      <c r="J23" s="345"/>
      <c r="K23" s="345"/>
      <c r="L23" s="345"/>
      <c r="M23" s="345"/>
      <c r="N23" s="345"/>
      <c r="O23" s="345"/>
      <c r="P23" s="313"/>
      <c r="Q23" s="313"/>
      <c r="R23" s="313"/>
      <c r="S23" s="313"/>
      <c r="T23" s="313"/>
      <c r="U23" s="308"/>
      <c r="V23" s="308"/>
      <c r="W23" s="308"/>
      <c r="X23" s="308"/>
      <c r="Y23" s="308"/>
      <c r="Z23" s="308"/>
      <c r="AA23" s="308"/>
      <c r="AB23" s="308"/>
      <c r="AC23" s="309"/>
      <c r="AD23" s="308"/>
      <c r="AE23" s="308"/>
      <c r="AF23" s="308"/>
      <c r="AG23" s="308"/>
      <c r="AH23" s="308"/>
      <c r="AI23" s="308"/>
      <c r="AJ23" s="308"/>
      <c r="AK23" s="308"/>
      <c r="AL23" s="308"/>
      <c r="AM23" s="308"/>
      <c r="AN23" s="308"/>
      <c r="AO23" s="308"/>
      <c r="AP23" s="308"/>
      <c r="AQ23" s="308"/>
      <c r="AR23" s="308"/>
      <c r="AS23" s="308"/>
      <c r="AT23" s="308"/>
      <c r="AU23" s="308"/>
      <c r="AV23" s="308"/>
      <c r="AW23" s="308"/>
      <c r="AX23" s="308"/>
      <c r="AY23" s="312"/>
      <c r="AZ23" s="312"/>
      <c r="BA23" s="312"/>
      <c r="BB23" s="312"/>
      <c r="BC23" s="312"/>
      <c r="BD23" s="311" t="str">
        <f t="shared" si="16"/>
        <v/>
      </c>
      <c r="BE23" s="311"/>
      <c r="BF23" s="311"/>
      <c r="BG23" s="311"/>
      <c r="BH23" s="311"/>
      <c r="BI23" s="310" t="str">
        <f t="shared" si="0"/>
        <v/>
      </c>
      <c r="BJ23" s="310"/>
      <c r="BK23" s="310"/>
      <c r="BL23" s="310"/>
      <c r="BM23" s="310"/>
      <c r="BN23" s="311" t="str">
        <f t="shared" si="1"/>
        <v/>
      </c>
      <c r="BO23" s="311"/>
      <c r="BP23" s="311"/>
      <c r="BQ23" s="311"/>
      <c r="BR23" s="311"/>
      <c r="BS23" s="332" t="str">
        <f t="shared" si="2"/>
        <v/>
      </c>
      <c r="BT23" s="332"/>
      <c r="BU23" s="332"/>
      <c r="BV23" s="332"/>
      <c r="BW23" s="332"/>
      <c r="BX23" s="311" t="str">
        <f t="shared" si="3"/>
        <v/>
      </c>
      <c r="BY23" s="311"/>
      <c r="BZ23" s="311"/>
      <c r="CA23" s="311"/>
      <c r="CB23" s="311"/>
      <c r="CC23" s="311" t="str">
        <f t="shared" si="4"/>
        <v/>
      </c>
      <c r="CD23" s="311"/>
      <c r="CE23" s="311"/>
      <c r="CF23" s="311"/>
      <c r="CG23" s="311"/>
      <c r="CI23" s="108" t="s">
        <v>170</v>
      </c>
      <c r="CJ23" s="109"/>
      <c r="CK23" s="43" t="e">
        <f>AVERAGE(AY18:BC29)</f>
        <v>#DIV/0!</v>
      </c>
      <c r="CL23" s="21" t="s">
        <v>174</v>
      </c>
      <c r="CN23" s="1" t="s">
        <v>217</v>
      </c>
      <c r="CP23" s="87">
        <f t="shared" si="5"/>
        <v>0</v>
      </c>
      <c r="CR23" s="28" t="e">
        <f t="shared" si="6"/>
        <v>#VALUE!</v>
      </c>
      <c r="CS23" s="29" t="str">
        <f t="shared" si="7"/>
        <v/>
      </c>
      <c r="CU23" s="28">
        <f t="shared" si="8"/>
        <v>32</v>
      </c>
      <c r="CV23" s="31">
        <f t="shared" si="9"/>
        <v>32</v>
      </c>
      <c r="CW23" s="32">
        <f t="shared" si="24"/>
        <v>32</v>
      </c>
      <c r="CX23" s="32">
        <f t="shared" si="17"/>
        <v>32</v>
      </c>
      <c r="CY23" s="26"/>
      <c r="CZ23" s="28">
        <f t="shared" si="10"/>
        <v>0</v>
      </c>
      <c r="DA23" s="28">
        <f t="shared" si="11"/>
        <v>0</v>
      </c>
      <c r="DB23" s="34">
        <f t="shared" si="25"/>
        <v>0</v>
      </c>
      <c r="DC23" s="32">
        <f t="shared" si="18"/>
        <v>0</v>
      </c>
      <c r="DD23" s="35"/>
      <c r="DE23" s="28" t="e">
        <f t="shared" si="12"/>
        <v>#DIV/0!</v>
      </c>
      <c r="DF23" s="31" t="e">
        <f t="shared" si="13"/>
        <v>#DIV/0!</v>
      </c>
      <c r="DG23" s="32" t="e">
        <f t="shared" si="26"/>
        <v>#DIV/0!</v>
      </c>
      <c r="DH23" s="32" t="e">
        <f t="shared" si="19"/>
        <v>#DIV/0!</v>
      </c>
      <c r="DI23" s="32" t="e">
        <f t="shared" si="20"/>
        <v>#DIV/0!</v>
      </c>
      <c r="DK23" s="38" t="e">
        <f t="shared" si="14"/>
        <v>#DIV/0!</v>
      </c>
      <c r="DL23" s="41" t="e">
        <f t="shared" si="27"/>
        <v>#DIV/0!</v>
      </c>
      <c r="DM23" s="38" t="e">
        <f t="shared" si="28"/>
        <v>#DIV/0!</v>
      </c>
      <c r="DN23" s="32" t="e">
        <f t="shared" si="21"/>
        <v>#DIV/0!</v>
      </c>
      <c r="DO23" s="32" t="e">
        <f t="shared" si="29"/>
        <v>#DIV/0!</v>
      </c>
      <c r="DQ23" s="38">
        <f t="shared" si="15"/>
        <v>0</v>
      </c>
      <c r="DR23" s="29">
        <f t="shared" si="30"/>
        <v>0</v>
      </c>
      <c r="DS23" s="38">
        <f t="shared" si="31"/>
        <v>0</v>
      </c>
      <c r="DT23" s="32">
        <f t="shared" si="22"/>
        <v>0</v>
      </c>
      <c r="DU23" s="32" t="e">
        <f t="shared" si="23"/>
        <v>#DIV/0!</v>
      </c>
      <c r="DW23" s="38" t="e">
        <f t="shared" si="32"/>
        <v>#DIV/0!</v>
      </c>
      <c r="DX23" s="42" t="e">
        <f t="shared" si="33"/>
        <v>#DIV/0!</v>
      </c>
      <c r="DY23" s="38" t="e">
        <f t="shared" si="34"/>
        <v>#DIV/0!</v>
      </c>
      <c r="DZ23" s="42" t="e">
        <f t="shared" si="35"/>
        <v>#DIV/0!</v>
      </c>
      <c r="EA23" s="38" t="e">
        <f t="shared" si="36"/>
        <v>#DIV/0!</v>
      </c>
      <c r="EB23" s="42" t="e">
        <f t="shared" si="37"/>
        <v>#DIV/0!</v>
      </c>
    </row>
    <row r="24" spans="1:132" ht="11.45" customHeight="1" x14ac:dyDescent="0.2">
      <c r="A24" s="317"/>
      <c r="B24" s="317"/>
      <c r="C24" s="317"/>
      <c r="D24" s="317"/>
      <c r="E24" s="317"/>
      <c r="F24" s="317"/>
      <c r="G24" s="317"/>
      <c r="H24" s="317"/>
      <c r="I24" s="345"/>
      <c r="J24" s="345"/>
      <c r="K24" s="345"/>
      <c r="L24" s="345"/>
      <c r="M24" s="345"/>
      <c r="N24" s="345"/>
      <c r="O24" s="345"/>
      <c r="P24" s="313"/>
      <c r="Q24" s="313"/>
      <c r="R24" s="313"/>
      <c r="S24" s="313"/>
      <c r="T24" s="313"/>
      <c r="U24" s="308"/>
      <c r="V24" s="308"/>
      <c r="W24" s="308"/>
      <c r="X24" s="308"/>
      <c r="Y24" s="308"/>
      <c r="Z24" s="308"/>
      <c r="AA24" s="308"/>
      <c r="AB24" s="308"/>
      <c r="AC24" s="309"/>
      <c r="AD24" s="308"/>
      <c r="AE24" s="308"/>
      <c r="AF24" s="308"/>
      <c r="AG24" s="308"/>
      <c r="AH24" s="308"/>
      <c r="AI24" s="308"/>
      <c r="AJ24" s="308"/>
      <c r="AK24" s="308"/>
      <c r="AL24" s="308"/>
      <c r="AM24" s="308"/>
      <c r="AN24" s="308"/>
      <c r="AO24" s="308"/>
      <c r="AP24" s="308"/>
      <c r="AQ24" s="308"/>
      <c r="AR24" s="308"/>
      <c r="AS24" s="308"/>
      <c r="AT24" s="308"/>
      <c r="AU24" s="308"/>
      <c r="AV24" s="308"/>
      <c r="AW24" s="308"/>
      <c r="AX24" s="308"/>
      <c r="AY24" s="312"/>
      <c r="AZ24" s="312"/>
      <c r="BA24" s="312"/>
      <c r="BB24" s="312"/>
      <c r="BC24" s="312"/>
      <c r="BD24" s="311" t="str">
        <f t="shared" si="16"/>
        <v/>
      </c>
      <c r="BE24" s="311"/>
      <c r="BF24" s="311"/>
      <c r="BG24" s="311"/>
      <c r="BH24" s="311"/>
      <c r="BI24" s="310" t="str">
        <f t="shared" si="0"/>
        <v/>
      </c>
      <c r="BJ24" s="310"/>
      <c r="BK24" s="310"/>
      <c r="BL24" s="310"/>
      <c r="BM24" s="310"/>
      <c r="BN24" s="311" t="str">
        <f t="shared" si="1"/>
        <v/>
      </c>
      <c r="BO24" s="311"/>
      <c r="BP24" s="311"/>
      <c r="BQ24" s="311"/>
      <c r="BR24" s="311"/>
      <c r="BS24" s="332" t="str">
        <f t="shared" si="2"/>
        <v/>
      </c>
      <c r="BT24" s="332"/>
      <c r="BU24" s="332"/>
      <c r="BV24" s="332"/>
      <c r="BW24" s="332"/>
      <c r="BX24" s="311" t="str">
        <f t="shared" si="3"/>
        <v/>
      </c>
      <c r="BY24" s="311"/>
      <c r="BZ24" s="311"/>
      <c r="CA24" s="311"/>
      <c r="CB24" s="311"/>
      <c r="CC24" s="311" t="str">
        <f t="shared" si="4"/>
        <v/>
      </c>
      <c r="CD24" s="311"/>
      <c r="CE24" s="311"/>
      <c r="CF24" s="311"/>
      <c r="CG24" s="311"/>
      <c r="CI24" s="9" t="s">
        <v>171</v>
      </c>
      <c r="CJ24" s="10"/>
      <c r="CK24" s="44" t="e">
        <f>SUM(CP18:CP29)/BD30</f>
        <v>#VALUE!</v>
      </c>
      <c r="CL24" s="11" t="s">
        <v>174</v>
      </c>
      <c r="CN24" s="107" t="s">
        <v>459</v>
      </c>
      <c r="CP24" s="87">
        <f t="shared" si="5"/>
        <v>0</v>
      </c>
      <c r="CR24" s="28" t="e">
        <f t="shared" si="6"/>
        <v>#VALUE!</v>
      </c>
      <c r="CS24" s="29" t="str">
        <f t="shared" si="7"/>
        <v/>
      </c>
      <c r="CU24" s="28">
        <f t="shared" si="8"/>
        <v>32</v>
      </c>
      <c r="CV24" s="31">
        <f t="shared" si="9"/>
        <v>32</v>
      </c>
      <c r="CW24" s="32">
        <f t="shared" si="24"/>
        <v>32</v>
      </c>
      <c r="CX24" s="32">
        <f t="shared" si="17"/>
        <v>32</v>
      </c>
      <c r="CY24" s="26"/>
      <c r="CZ24" s="28">
        <f t="shared" si="10"/>
        <v>0</v>
      </c>
      <c r="DA24" s="28">
        <f t="shared" si="11"/>
        <v>0</v>
      </c>
      <c r="DB24" s="34">
        <f t="shared" si="25"/>
        <v>0</v>
      </c>
      <c r="DC24" s="32">
        <f t="shared" si="18"/>
        <v>0</v>
      </c>
      <c r="DD24" s="35"/>
      <c r="DE24" s="28" t="e">
        <f t="shared" si="12"/>
        <v>#DIV/0!</v>
      </c>
      <c r="DF24" s="31" t="e">
        <f t="shared" si="13"/>
        <v>#DIV/0!</v>
      </c>
      <c r="DG24" s="32" t="e">
        <f t="shared" si="26"/>
        <v>#DIV/0!</v>
      </c>
      <c r="DH24" s="32" t="e">
        <f t="shared" si="19"/>
        <v>#DIV/0!</v>
      </c>
      <c r="DI24" s="32" t="e">
        <f t="shared" si="20"/>
        <v>#DIV/0!</v>
      </c>
      <c r="DK24" s="38" t="e">
        <f t="shared" si="14"/>
        <v>#DIV/0!</v>
      </c>
      <c r="DL24" s="41" t="e">
        <f t="shared" si="27"/>
        <v>#DIV/0!</v>
      </c>
      <c r="DM24" s="38" t="e">
        <f t="shared" si="28"/>
        <v>#DIV/0!</v>
      </c>
      <c r="DN24" s="32" t="e">
        <f t="shared" si="21"/>
        <v>#DIV/0!</v>
      </c>
      <c r="DO24" s="32" t="e">
        <f t="shared" si="29"/>
        <v>#DIV/0!</v>
      </c>
      <c r="DQ24" s="38">
        <f t="shared" si="15"/>
        <v>0</v>
      </c>
      <c r="DR24" s="29">
        <f t="shared" si="30"/>
        <v>0</v>
      </c>
      <c r="DS24" s="38">
        <f t="shared" si="31"/>
        <v>0</v>
      </c>
      <c r="DT24" s="32">
        <f t="shared" si="22"/>
        <v>0</v>
      </c>
      <c r="DU24" s="32" t="e">
        <f t="shared" si="23"/>
        <v>#DIV/0!</v>
      </c>
      <c r="DW24" s="38" t="e">
        <f t="shared" si="32"/>
        <v>#DIV/0!</v>
      </c>
      <c r="DX24" s="42" t="e">
        <f t="shared" si="33"/>
        <v>#DIV/0!</v>
      </c>
      <c r="DY24" s="38" t="e">
        <f t="shared" si="34"/>
        <v>#DIV/0!</v>
      </c>
      <c r="DZ24" s="42" t="e">
        <f t="shared" si="35"/>
        <v>#DIV/0!</v>
      </c>
      <c r="EA24" s="38" t="e">
        <f t="shared" si="36"/>
        <v>#DIV/0!</v>
      </c>
      <c r="EB24" s="42" t="e">
        <f t="shared" si="37"/>
        <v>#DIV/0!</v>
      </c>
    </row>
    <row r="25" spans="1:132" ht="11.45" customHeight="1" x14ac:dyDescent="0.2">
      <c r="A25" s="317"/>
      <c r="B25" s="317"/>
      <c r="C25" s="317"/>
      <c r="D25" s="317"/>
      <c r="E25" s="317"/>
      <c r="F25" s="317"/>
      <c r="G25" s="317"/>
      <c r="H25" s="317"/>
      <c r="I25" s="345"/>
      <c r="J25" s="345"/>
      <c r="K25" s="345"/>
      <c r="L25" s="345"/>
      <c r="M25" s="345"/>
      <c r="N25" s="345"/>
      <c r="O25" s="345"/>
      <c r="P25" s="313"/>
      <c r="Q25" s="313"/>
      <c r="R25" s="313"/>
      <c r="S25" s="313"/>
      <c r="T25" s="313"/>
      <c r="U25" s="308"/>
      <c r="V25" s="308"/>
      <c r="W25" s="308"/>
      <c r="X25" s="308"/>
      <c r="Y25" s="308"/>
      <c r="Z25" s="308"/>
      <c r="AA25" s="308"/>
      <c r="AB25" s="308"/>
      <c r="AC25" s="309"/>
      <c r="AD25" s="308"/>
      <c r="AE25" s="308"/>
      <c r="AF25" s="308"/>
      <c r="AG25" s="308"/>
      <c r="AH25" s="308"/>
      <c r="AI25" s="308"/>
      <c r="AJ25" s="308"/>
      <c r="AK25" s="308"/>
      <c r="AL25" s="308"/>
      <c r="AM25" s="308"/>
      <c r="AN25" s="308"/>
      <c r="AO25" s="308"/>
      <c r="AP25" s="308"/>
      <c r="AQ25" s="308"/>
      <c r="AR25" s="308"/>
      <c r="AS25" s="308"/>
      <c r="AT25" s="308"/>
      <c r="AU25" s="308"/>
      <c r="AV25" s="308"/>
      <c r="AW25" s="308"/>
      <c r="AX25" s="308"/>
      <c r="AY25" s="312"/>
      <c r="AZ25" s="312"/>
      <c r="BA25" s="312"/>
      <c r="BB25" s="312"/>
      <c r="BC25" s="312"/>
      <c r="BD25" s="311" t="str">
        <f t="shared" si="16"/>
        <v/>
      </c>
      <c r="BE25" s="311"/>
      <c r="BF25" s="311"/>
      <c r="BG25" s="311"/>
      <c r="BH25" s="311"/>
      <c r="BI25" s="310" t="str">
        <f t="shared" si="0"/>
        <v/>
      </c>
      <c r="BJ25" s="310"/>
      <c r="BK25" s="310"/>
      <c r="BL25" s="310"/>
      <c r="BM25" s="310"/>
      <c r="BN25" s="311" t="str">
        <f t="shared" si="1"/>
        <v/>
      </c>
      <c r="BO25" s="311"/>
      <c r="BP25" s="311"/>
      <c r="BQ25" s="311"/>
      <c r="BR25" s="311"/>
      <c r="BS25" s="332" t="str">
        <f t="shared" si="2"/>
        <v/>
      </c>
      <c r="BT25" s="332"/>
      <c r="BU25" s="332"/>
      <c r="BV25" s="332"/>
      <c r="BW25" s="332"/>
      <c r="BX25" s="311" t="str">
        <f t="shared" si="3"/>
        <v/>
      </c>
      <c r="BY25" s="311"/>
      <c r="BZ25" s="311"/>
      <c r="CA25" s="311"/>
      <c r="CB25" s="311"/>
      <c r="CC25" s="311" t="str">
        <f t="shared" si="4"/>
        <v/>
      </c>
      <c r="CD25" s="311"/>
      <c r="CE25" s="311"/>
      <c r="CF25" s="311"/>
      <c r="CG25" s="311"/>
      <c r="CN25" s="2" t="s">
        <v>55</v>
      </c>
      <c r="CP25" s="87">
        <f t="shared" si="5"/>
        <v>0</v>
      </c>
      <c r="CR25" s="28" t="e">
        <f t="shared" si="6"/>
        <v>#VALUE!</v>
      </c>
      <c r="CS25" s="29" t="str">
        <f t="shared" si="7"/>
        <v/>
      </c>
      <c r="CU25" s="28">
        <f t="shared" si="8"/>
        <v>32</v>
      </c>
      <c r="CV25" s="31">
        <f t="shared" si="9"/>
        <v>32</v>
      </c>
      <c r="CW25" s="32">
        <f t="shared" si="24"/>
        <v>32</v>
      </c>
      <c r="CX25" s="32">
        <f t="shared" si="17"/>
        <v>32</v>
      </c>
      <c r="CY25" s="26"/>
      <c r="CZ25" s="28">
        <f t="shared" si="10"/>
        <v>0</v>
      </c>
      <c r="DA25" s="28">
        <f t="shared" si="11"/>
        <v>0</v>
      </c>
      <c r="DB25" s="34">
        <f t="shared" si="25"/>
        <v>0</v>
      </c>
      <c r="DC25" s="32">
        <f t="shared" si="18"/>
        <v>0</v>
      </c>
      <c r="DD25" s="35"/>
      <c r="DE25" s="28" t="e">
        <f t="shared" si="12"/>
        <v>#DIV/0!</v>
      </c>
      <c r="DF25" s="31" t="e">
        <f t="shared" si="13"/>
        <v>#DIV/0!</v>
      </c>
      <c r="DG25" s="32" t="e">
        <f t="shared" si="26"/>
        <v>#DIV/0!</v>
      </c>
      <c r="DH25" s="32" t="e">
        <f t="shared" si="19"/>
        <v>#DIV/0!</v>
      </c>
      <c r="DI25" s="32" t="e">
        <f t="shared" si="20"/>
        <v>#DIV/0!</v>
      </c>
      <c r="DK25" s="38" t="e">
        <f t="shared" si="14"/>
        <v>#DIV/0!</v>
      </c>
      <c r="DL25" s="41" t="e">
        <f t="shared" si="27"/>
        <v>#DIV/0!</v>
      </c>
      <c r="DM25" s="38" t="e">
        <f t="shared" si="28"/>
        <v>#DIV/0!</v>
      </c>
      <c r="DN25" s="32" t="e">
        <f t="shared" si="21"/>
        <v>#DIV/0!</v>
      </c>
      <c r="DO25" s="32" t="e">
        <f t="shared" si="29"/>
        <v>#DIV/0!</v>
      </c>
      <c r="DQ25" s="38">
        <f t="shared" si="15"/>
        <v>0</v>
      </c>
      <c r="DR25" s="29">
        <f t="shared" si="30"/>
        <v>0</v>
      </c>
      <c r="DS25" s="38">
        <f t="shared" si="31"/>
        <v>0</v>
      </c>
      <c r="DT25" s="32">
        <f t="shared" si="22"/>
        <v>0</v>
      </c>
      <c r="DU25" s="32" t="e">
        <f t="shared" si="23"/>
        <v>#DIV/0!</v>
      </c>
      <c r="DW25" s="38" t="e">
        <f t="shared" si="32"/>
        <v>#DIV/0!</v>
      </c>
      <c r="DX25" s="42" t="e">
        <f t="shared" si="33"/>
        <v>#DIV/0!</v>
      </c>
      <c r="DY25" s="38" t="e">
        <f t="shared" si="34"/>
        <v>#DIV/0!</v>
      </c>
      <c r="DZ25" s="42" t="e">
        <f t="shared" si="35"/>
        <v>#DIV/0!</v>
      </c>
      <c r="EA25" s="38" t="e">
        <f t="shared" si="36"/>
        <v>#DIV/0!</v>
      </c>
      <c r="EB25" s="42" t="e">
        <f t="shared" si="37"/>
        <v>#DIV/0!</v>
      </c>
    </row>
    <row r="26" spans="1:132" ht="11.45" customHeight="1" x14ac:dyDescent="0.2">
      <c r="A26" s="317"/>
      <c r="B26" s="317"/>
      <c r="C26" s="317"/>
      <c r="D26" s="317"/>
      <c r="E26" s="317"/>
      <c r="F26" s="317"/>
      <c r="G26" s="317"/>
      <c r="H26" s="317"/>
      <c r="I26" s="345"/>
      <c r="J26" s="345"/>
      <c r="K26" s="345"/>
      <c r="L26" s="345"/>
      <c r="M26" s="345"/>
      <c r="N26" s="345"/>
      <c r="O26" s="345"/>
      <c r="P26" s="313"/>
      <c r="Q26" s="313"/>
      <c r="R26" s="313"/>
      <c r="S26" s="313"/>
      <c r="T26" s="313"/>
      <c r="U26" s="308"/>
      <c r="V26" s="308"/>
      <c r="W26" s="308"/>
      <c r="X26" s="308"/>
      <c r="Y26" s="308"/>
      <c r="Z26" s="308"/>
      <c r="AA26" s="308"/>
      <c r="AB26" s="308"/>
      <c r="AC26" s="309"/>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12"/>
      <c r="AZ26" s="312"/>
      <c r="BA26" s="312"/>
      <c r="BB26" s="312"/>
      <c r="BC26" s="312"/>
      <c r="BD26" s="311" t="str">
        <f t="shared" si="16"/>
        <v/>
      </c>
      <c r="BE26" s="311"/>
      <c r="BF26" s="311"/>
      <c r="BG26" s="311"/>
      <c r="BH26" s="311"/>
      <c r="BI26" s="310" t="str">
        <f t="shared" si="0"/>
        <v/>
      </c>
      <c r="BJ26" s="310"/>
      <c r="BK26" s="310"/>
      <c r="BL26" s="310"/>
      <c r="BM26" s="310"/>
      <c r="BN26" s="311" t="str">
        <f t="shared" si="1"/>
        <v/>
      </c>
      <c r="BO26" s="311"/>
      <c r="BP26" s="311"/>
      <c r="BQ26" s="311"/>
      <c r="BR26" s="311"/>
      <c r="BS26" s="332" t="str">
        <f t="shared" si="2"/>
        <v/>
      </c>
      <c r="BT26" s="332"/>
      <c r="BU26" s="332"/>
      <c r="BV26" s="332"/>
      <c r="BW26" s="332"/>
      <c r="BX26" s="311" t="str">
        <f t="shared" si="3"/>
        <v/>
      </c>
      <c r="BY26" s="311"/>
      <c r="BZ26" s="311"/>
      <c r="CA26" s="311"/>
      <c r="CB26" s="311"/>
      <c r="CC26" s="311" t="str">
        <f t="shared" si="4"/>
        <v/>
      </c>
      <c r="CD26" s="311"/>
      <c r="CE26" s="311"/>
      <c r="CF26" s="311"/>
      <c r="CG26" s="311"/>
      <c r="CP26" s="87">
        <f t="shared" si="5"/>
        <v>0</v>
      </c>
      <c r="CR26" s="28" t="e">
        <f t="shared" si="6"/>
        <v>#VALUE!</v>
      </c>
      <c r="CS26" s="29" t="str">
        <f t="shared" si="7"/>
        <v/>
      </c>
      <c r="CU26" s="28">
        <f t="shared" si="8"/>
        <v>32</v>
      </c>
      <c r="CV26" s="31">
        <f t="shared" si="9"/>
        <v>32</v>
      </c>
      <c r="CW26" s="32">
        <f t="shared" si="24"/>
        <v>32</v>
      </c>
      <c r="CX26" s="32">
        <f t="shared" si="17"/>
        <v>32</v>
      </c>
      <c r="CY26" s="26"/>
      <c r="CZ26" s="28">
        <f t="shared" si="10"/>
        <v>0</v>
      </c>
      <c r="DA26" s="28">
        <f t="shared" si="11"/>
        <v>0</v>
      </c>
      <c r="DB26" s="34">
        <f t="shared" si="25"/>
        <v>0</v>
      </c>
      <c r="DC26" s="32">
        <f t="shared" si="18"/>
        <v>0</v>
      </c>
      <c r="DD26" s="35"/>
      <c r="DE26" s="28" t="e">
        <f t="shared" si="12"/>
        <v>#DIV/0!</v>
      </c>
      <c r="DF26" s="31" t="e">
        <f t="shared" si="13"/>
        <v>#DIV/0!</v>
      </c>
      <c r="DG26" s="32" t="e">
        <f t="shared" si="26"/>
        <v>#DIV/0!</v>
      </c>
      <c r="DH26" s="32" t="e">
        <f t="shared" si="19"/>
        <v>#DIV/0!</v>
      </c>
      <c r="DI26" s="32" t="e">
        <f t="shared" si="20"/>
        <v>#DIV/0!</v>
      </c>
      <c r="DK26" s="38" t="e">
        <f t="shared" si="14"/>
        <v>#DIV/0!</v>
      </c>
      <c r="DL26" s="41" t="e">
        <f t="shared" si="27"/>
        <v>#DIV/0!</v>
      </c>
      <c r="DM26" s="38" t="e">
        <f t="shared" si="28"/>
        <v>#DIV/0!</v>
      </c>
      <c r="DN26" s="32" t="e">
        <f t="shared" si="21"/>
        <v>#DIV/0!</v>
      </c>
      <c r="DO26" s="32" t="e">
        <f t="shared" si="29"/>
        <v>#DIV/0!</v>
      </c>
      <c r="DQ26" s="38">
        <f t="shared" si="15"/>
        <v>0</v>
      </c>
      <c r="DR26" s="29">
        <f t="shared" si="30"/>
        <v>0</v>
      </c>
      <c r="DS26" s="38">
        <f t="shared" si="31"/>
        <v>0</v>
      </c>
      <c r="DT26" s="32">
        <f t="shared" si="22"/>
        <v>0</v>
      </c>
      <c r="DU26" s="32" t="e">
        <f t="shared" si="23"/>
        <v>#DIV/0!</v>
      </c>
      <c r="DW26" s="38" t="e">
        <f t="shared" si="32"/>
        <v>#DIV/0!</v>
      </c>
      <c r="DX26" s="42" t="e">
        <f t="shared" si="33"/>
        <v>#DIV/0!</v>
      </c>
      <c r="DY26" s="38" t="e">
        <f t="shared" si="34"/>
        <v>#DIV/0!</v>
      </c>
      <c r="DZ26" s="42" t="e">
        <f t="shared" si="35"/>
        <v>#DIV/0!</v>
      </c>
      <c r="EA26" s="38" t="e">
        <f t="shared" si="36"/>
        <v>#DIV/0!</v>
      </c>
      <c r="EB26" s="42" t="e">
        <f t="shared" si="37"/>
        <v>#DIV/0!</v>
      </c>
    </row>
    <row r="27" spans="1:132" ht="11.45" customHeight="1" x14ac:dyDescent="0.2">
      <c r="A27" s="317"/>
      <c r="B27" s="317"/>
      <c r="C27" s="317"/>
      <c r="D27" s="317"/>
      <c r="E27" s="317"/>
      <c r="F27" s="317"/>
      <c r="G27" s="317"/>
      <c r="H27" s="317"/>
      <c r="I27" s="345"/>
      <c r="J27" s="345"/>
      <c r="K27" s="345"/>
      <c r="L27" s="345"/>
      <c r="M27" s="345"/>
      <c r="N27" s="345"/>
      <c r="O27" s="345"/>
      <c r="P27" s="313"/>
      <c r="Q27" s="313"/>
      <c r="R27" s="313"/>
      <c r="S27" s="313"/>
      <c r="T27" s="313"/>
      <c r="U27" s="308"/>
      <c r="V27" s="308"/>
      <c r="W27" s="308"/>
      <c r="X27" s="308"/>
      <c r="Y27" s="308"/>
      <c r="Z27" s="308"/>
      <c r="AA27" s="308"/>
      <c r="AB27" s="308"/>
      <c r="AC27" s="309"/>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12"/>
      <c r="AZ27" s="312"/>
      <c r="BA27" s="312"/>
      <c r="BB27" s="312"/>
      <c r="BC27" s="312"/>
      <c r="BD27" s="311" t="str">
        <f t="shared" si="16"/>
        <v/>
      </c>
      <c r="BE27" s="311"/>
      <c r="BF27" s="311"/>
      <c r="BG27" s="311"/>
      <c r="BH27" s="311"/>
      <c r="BI27" s="310" t="str">
        <f t="shared" si="0"/>
        <v/>
      </c>
      <c r="BJ27" s="310"/>
      <c r="BK27" s="310"/>
      <c r="BL27" s="310"/>
      <c r="BM27" s="310"/>
      <c r="BN27" s="311" t="str">
        <f t="shared" si="1"/>
        <v/>
      </c>
      <c r="BO27" s="311"/>
      <c r="BP27" s="311"/>
      <c r="BQ27" s="311"/>
      <c r="BR27" s="311"/>
      <c r="BS27" s="332" t="str">
        <f t="shared" si="2"/>
        <v/>
      </c>
      <c r="BT27" s="332"/>
      <c r="BU27" s="332"/>
      <c r="BV27" s="332"/>
      <c r="BW27" s="332"/>
      <c r="BX27" s="311" t="str">
        <f t="shared" si="3"/>
        <v/>
      </c>
      <c r="BY27" s="311"/>
      <c r="BZ27" s="311"/>
      <c r="CA27" s="311"/>
      <c r="CB27" s="311"/>
      <c r="CC27" s="311" t="str">
        <f t="shared" si="4"/>
        <v/>
      </c>
      <c r="CD27" s="311"/>
      <c r="CE27" s="311"/>
      <c r="CF27" s="311"/>
      <c r="CG27" s="311"/>
      <c r="CP27" s="87">
        <f t="shared" si="5"/>
        <v>0</v>
      </c>
      <c r="CR27" s="28" t="e">
        <f t="shared" si="6"/>
        <v>#VALUE!</v>
      </c>
      <c r="CS27" s="29" t="str">
        <f t="shared" si="7"/>
        <v/>
      </c>
      <c r="CU27" s="28">
        <f t="shared" si="8"/>
        <v>32</v>
      </c>
      <c r="CV27" s="31">
        <f t="shared" si="9"/>
        <v>32</v>
      </c>
      <c r="CW27" s="32">
        <f t="shared" si="24"/>
        <v>32</v>
      </c>
      <c r="CX27" s="32">
        <f t="shared" si="17"/>
        <v>32</v>
      </c>
      <c r="CY27" s="26"/>
      <c r="CZ27" s="28">
        <f t="shared" si="10"/>
        <v>0</v>
      </c>
      <c r="DA27" s="28">
        <f t="shared" si="11"/>
        <v>0</v>
      </c>
      <c r="DB27" s="34">
        <f t="shared" si="25"/>
        <v>0</v>
      </c>
      <c r="DC27" s="32">
        <f t="shared" si="18"/>
        <v>0</v>
      </c>
      <c r="DD27" s="35"/>
      <c r="DE27" s="28" t="e">
        <f t="shared" si="12"/>
        <v>#DIV/0!</v>
      </c>
      <c r="DF27" s="31" t="e">
        <f t="shared" si="13"/>
        <v>#DIV/0!</v>
      </c>
      <c r="DG27" s="32" t="e">
        <f t="shared" si="26"/>
        <v>#DIV/0!</v>
      </c>
      <c r="DH27" s="32" t="e">
        <f t="shared" si="19"/>
        <v>#DIV/0!</v>
      </c>
      <c r="DI27" s="32" t="e">
        <f t="shared" si="20"/>
        <v>#DIV/0!</v>
      </c>
      <c r="DK27" s="38" t="e">
        <f t="shared" si="14"/>
        <v>#DIV/0!</v>
      </c>
      <c r="DL27" s="41" t="e">
        <f t="shared" si="27"/>
        <v>#DIV/0!</v>
      </c>
      <c r="DM27" s="38" t="e">
        <f t="shared" si="28"/>
        <v>#DIV/0!</v>
      </c>
      <c r="DN27" s="32" t="e">
        <f t="shared" si="21"/>
        <v>#DIV/0!</v>
      </c>
      <c r="DO27" s="32" t="e">
        <f t="shared" si="29"/>
        <v>#DIV/0!</v>
      </c>
      <c r="DQ27" s="38">
        <f t="shared" si="15"/>
        <v>0</v>
      </c>
      <c r="DR27" s="29">
        <f t="shared" si="30"/>
        <v>0</v>
      </c>
      <c r="DS27" s="38">
        <f t="shared" si="31"/>
        <v>0</v>
      </c>
      <c r="DT27" s="32">
        <f t="shared" si="22"/>
        <v>0</v>
      </c>
      <c r="DU27" s="32" t="e">
        <f t="shared" si="23"/>
        <v>#DIV/0!</v>
      </c>
      <c r="DW27" s="38" t="e">
        <f t="shared" si="32"/>
        <v>#DIV/0!</v>
      </c>
      <c r="DX27" s="42" t="e">
        <f t="shared" si="33"/>
        <v>#DIV/0!</v>
      </c>
      <c r="DY27" s="38" t="e">
        <f t="shared" si="34"/>
        <v>#DIV/0!</v>
      </c>
      <c r="DZ27" s="42" t="e">
        <f t="shared" si="35"/>
        <v>#DIV/0!</v>
      </c>
      <c r="EA27" s="38" t="e">
        <f t="shared" si="36"/>
        <v>#DIV/0!</v>
      </c>
      <c r="EB27" s="42" t="e">
        <f t="shared" si="37"/>
        <v>#DIV/0!</v>
      </c>
    </row>
    <row r="28" spans="1:132" ht="11.45" customHeight="1" x14ac:dyDescent="0.2">
      <c r="A28" s="317"/>
      <c r="B28" s="317"/>
      <c r="C28" s="317"/>
      <c r="D28" s="317"/>
      <c r="E28" s="317"/>
      <c r="F28" s="317"/>
      <c r="G28" s="317"/>
      <c r="H28" s="317"/>
      <c r="I28" s="345"/>
      <c r="J28" s="345"/>
      <c r="K28" s="345"/>
      <c r="L28" s="345"/>
      <c r="M28" s="345"/>
      <c r="N28" s="345"/>
      <c r="O28" s="345"/>
      <c r="P28" s="313"/>
      <c r="Q28" s="313"/>
      <c r="R28" s="313"/>
      <c r="S28" s="313"/>
      <c r="T28" s="313"/>
      <c r="U28" s="308"/>
      <c r="V28" s="308"/>
      <c r="W28" s="308"/>
      <c r="X28" s="308"/>
      <c r="Y28" s="308"/>
      <c r="Z28" s="308"/>
      <c r="AA28" s="308"/>
      <c r="AB28" s="308"/>
      <c r="AC28" s="309"/>
      <c r="AD28" s="308"/>
      <c r="AE28" s="308"/>
      <c r="AF28" s="308"/>
      <c r="AG28" s="308"/>
      <c r="AH28" s="308"/>
      <c r="AI28" s="308"/>
      <c r="AJ28" s="308"/>
      <c r="AK28" s="308"/>
      <c r="AL28" s="308"/>
      <c r="AM28" s="308"/>
      <c r="AN28" s="308"/>
      <c r="AO28" s="308"/>
      <c r="AP28" s="308"/>
      <c r="AQ28" s="308"/>
      <c r="AR28" s="308"/>
      <c r="AS28" s="308"/>
      <c r="AT28" s="308"/>
      <c r="AU28" s="308"/>
      <c r="AV28" s="308"/>
      <c r="AW28" s="308"/>
      <c r="AX28" s="308"/>
      <c r="AY28" s="312"/>
      <c r="AZ28" s="312"/>
      <c r="BA28" s="312"/>
      <c r="BB28" s="312"/>
      <c r="BC28" s="312"/>
      <c r="BD28" s="311" t="str">
        <f t="shared" si="16"/>
        <v/>
      </c>
      <c r="BE28" s="311"/>
      <c r="BF28" s="311"/>
      <c r="BG28" s="311"/>
      <c r="BH28" s="311"/>
      <c r="BI28" s="310" t="str">
        <f t="shared" si="0"/>
        <v/>
      </c>
      <c r="BJ28" s="310"/>
      <c r="BK28" s="310"/>
      <c r="BL28" s="310"/>
      <c r="BM28" s="310"/>
      <c r="BN28" s="311" t="str">
        <f t="shared" si="1"/>
        <v/>
      </c>
      <c r="BO28" s="311"/>
      <c r="BP28" s="311"/>
      <c r="BQ28" s="311"/>
      <c r="BR28" s="311"/>
      <c r="BS28" s="332" t="str">
        <f t="shared" si="2"/>
        <v/>
      </c>
      <c r="BT28" s="332"/>
      <c r="BU28" s="332"/>
      <c r="BV28" s="332"/>
      <c r="BW28" s="332"/>
      <c r="BX28" s="311" t="str">
        <f t="shared" si="3"/>
        <v/>
      </c>
      <c r="BY28" s="311"/>
      <c r="BZ28" s="311"/>
      <c r="CA28" s="311"/>
      <c r="CB28" s="311"/>
      <c r="CC28" s="311" t="str">
        <f t="shared" si="4"/>
        <v/>
      </c>
      <c r="CD28" s="311"/>
      <c r="CE28" s="311"/>
      <c r="CF28" s="311"/>
      <c r="CG28" s="311"/>
      <c r="CN28" s="1" t="s">
        <v>216</v>
      </c>
      <c r="CP28" s="87">
        <f t="shared" si="5"/>
        <v>0</v>
      </c>
      <c r="CR28" s="28" t="e">
        <f t="shared" si="6"/>
        <v>#VALUE!</v>
      </c>
      <c r="CS28" s="29" t="str">
        <f t="shared" si="7"/>
        <v/>
      </c>
      <c r="CU28" s="28">
        <f t="shared" si="8"/>
        <v>32</v>
      </c>
      <c r="CV28" s="31">
        <f t="shared" si="9"/>
        <v>32</v>
      </c>
      <c r="CW28" s="32">
        <f t="shared" si="24"/>
        <v>32</v>
      </c>
      <c r="CX28" s="32">
        <f t="shared" si="17"/>
        <v>32</v>
      </c>
      <c r="CY28" s="26"/>
      <c r="CZ28" s="28">
        <f t="shared" si="10"/>
        <v>0</v>
      </c>
      <c r="DA28" s="28">
        <f t="shared" si="11"/>
        <v>0</v>
      </c>
      <c r="DB28" s="34">
        <f t="shared" si="25"/>
        <v>0</v>
      </c>
      <c r="DC28" s="32">
        <f t="shared" si="18"/>
        <v>0</v>
      </c>
      <c r="DD28" s="35"/>
      <c r="DE28" s="28" t="e">
        <f t="shared" si="12"/>
        <v>#DIV/0!</v>
      </c>
      <c r="DF28" s="31" t="e">
        <f t="shared" si="13"/>
        <v>#DIV/0!</v>
      </c>
      <c r="DG28" s="32" t="e">
        <f t="shared" si="26"/>
        <v>#DIV/0!</v>
      </c>
      <c r="DH28" s="32" t="e">
        <f t="shared" si="19"/>
        <v>#DIV/0!</v>
      </c>
      <c r="DI28" s="32" t="e">
        <f t="shared" si="20"/>
        <v>#DIV/0!</v>
      </c>
      <c r="DK28" s="38" t="e">
        <f t="shared" si="14"/>
        <v>#DIV/0!</v>
      </c>
      <c r="DL28" s="41" t="e">
        <f t="shared" si="27"/>
        <v>#DIV/0!</v>
      </c>
      <c r="DM28" s="38" t="e">
        <f t="shared" si="28"/>
        <v>#DIV/0!</v>
      </c>
      <c r="DN28" s="32" t="e">
        <f t="shared" si="21"/>
        <v>#DIV/0!</v>
      </c>
      <c r="DO28" s="32" t="e">
        <f t="shared" si="29"/>
        <v>#DIV/0!</v>
      </c>
      <c r="DQ28" s="38">
        <f t="shared" si="15"/>
        <v>0</v>
      </c>
      <c r="DR28" s="29">
        <f t="shared" si="30"/>
        <v>0</v>
      </c>
      <c r="DS28" s="38">
        <f t="shared" si="31"/>
        <v>0</v>
      </c>
      <c r="DT28" s="32">
        <f t="shared" si="22"/>
        <v>0</v>
      </c>
      <c r="DU28" s="32" t="e">
        <f t="shared" si="23"/>
        <v>#DIV/0!</v>
      </c>
      <c r="DW28" s="38" t="e">
        <f t="shared" si="32"/>
        <v>#DIV/0!</v>
      </c>
      <c r="DX28" s="42" t="e">
        <f t="shared" si="33"/>
        <v>#DIV/0!</v>
      </c>
      <c r="DY28" s="38" t="e">
        <f t="shared" si="34"/>
        <v>#DIV/0!</v>
      </c>
      <c r="DZ28" s="42" t="e">
        <f t="shared" si="35"/>
        <v>#DIV/0!</v>
      </c>
      <c r="EA28" s="38" t="e">
        <f t="shared" si="36"/>
        <v>#DIV/0!</v>
      </c>
      <c r="EB28" s="42" t="e">
        <f t="shared" si="37"/>
        <v>#DIV/0!</v>
      </c>
    </row>
    <row r="29" spans="1:132" ht="11.45" customHeight="1" x14ac:dyDescent="0.2">
      <c r="A29" s="317"/>
      <c r="B29" s="317"/>
      <c r="C29" s="317"/>
      <c r="D29" s="317"/>
      <c r="E29" s="317"/>
      <c r="F29" s="317"/>
      <c r="G29" s="317"/>
      <c r="H29" s="317"/>
      <c r="I29" s="345"/>
      <c r="J29" s="345"/>
      <c r="K29" s="345"/>
      <c r="L29" s="345"/>
      <c r="M29" s="345"/>
      <c r="N29" s="345"/>
      <c r="O29" s="345"/>
      <c r="P29" s="313"/>
      <c r="Q29" s="313"/>
      <c r="R29" s="313"/>
      <c r="S29" s="313"/>
      <c r="T29" s="313"/>
      <c r="U29" s="308"/>
      <c r="V29" s="308"/>
      <c r="W29" s="308"/>
      <c r="X29" s="308"/>
      <c r="Y29" s="308"/>
      <c r="Z29" s="308"/>
      <c r="AA29" s="308"/>
      <c r="AB29" s="308"/>
      <c r="AC29" s="309"/>
      <c r="AD29" s="308"/>
      <c r="AE29" s="308"/>
      <c r="AF29" s="308"/>
      <c r="AG29" s="308"/>
      <c r="AH29" s="308"/>
      <c r="AI29" s="308"/>
      <c r="AJ29" s="308"/>
      <c r="AK29" s="308"/>
      <c r="AL29" s="308"/>
      <c r="AM29" s="308"/>
      <c r="AN29" s="308"/>
      <c r="AO29" s="308"/>
      <c r="AP29" s="308"/>
      <c r="AQ29" s="308"/>
      <c r="AR29" s="308"/>
      <c r="AS29" s="308"/>
      <c r="AT29" s="308"/>
      <c r="AU29" s="308"/>
      <c r="AV29" s="308"/>
      <c r="AW29" s="308"/>
      <c r="AX29" s="308"/>
      <c r="AY29" s="312"/>
      <c r="AZ29" s="312"/>
      <c r="BA29" s="312"/>
      <c r="BB29" s="312"/>
      <c r="BC29" s="312"/>
      <c r="BD29" s="311" t="str">
        <f t="shared" si="16"/>
        <v/>
      </c>
      <c r="BE29" s="311"/>
      <c r="BF29" s="311"/>
      <c r="BG29" s="311"/>
      <c r="BH29" s="311"/>
      <c r="BI29" s="310" t="str">
        <f t="shared" si="0"/>
        <v/>
      </c>
      <c r="BJ29" s="310"/>
      <c r="BK29" s="310"/>
      <c r="BL29" s="310"/>
      <c r="BM29" s="310"/>
      <c r="BN29" s="311" t="str">
        <f t="shared" si="1"/>
        <v/>
      </c>
      <c r="BO29" s="311"/>
      <c r="BP29" s="311"/>
      <c r="BQ29" s="311"/>
      <c r="BR29" s="311"/>
      <c r="BS29" s="332" t="str">
        <f t="shared" si="2"/>
        <v/>
      </c>
      <c r="BT29" s="332"/>
      <c r="BU29" s="332"/>
      <c r="BV29" s="332"/>
      <c r="BW29" s="332"/>
      <c r="BX29" s="311" t="str">
        <f t="shared" si="3"/>
        <v/>
      </c>
      <c r="BY29" s="311"/>
      <c r="BZ29" s="311"/>
      <c r="CA29" s="311"/>
      <c r="CB29" s="311"/>
      <c r="CC29" s="311" t="str">
        <f t="shared" si="4"/>
        <v/>
      </c>
      <c r="CD29" s="311"/>
      <c r="CE29" s="311"/>
      <c r="CF29" s="311"/>
      <c r="CG29" s="311"/>
      <c r="CI29" s="323" t="s">
        <v>166</v>
      </c>
      <c r="CJ29" s="324"/>
      <c r="CK29" s="324"/>
      <c r="CL29" s="325"/>
      <c r="CN29" s="107" t="s">
        <v>198</v>
      </c>
      <c r="CP29" s="2">
        <f t="shared" si="5"/>
        <v>0</v>
      </c>
      <c r="CR29" s="45" t="e">
        <f t="shared" si="6"/>
        <v>#VALUE!</v>
      </c>
      <c r="CS29" s="46" t="str">
        <f t="shared" si="7"/>
        <v/>
      </c>
      <c r="CU29" s="45">
        <f t="shared" si="8"/>
        <v>32</v>
      </c>
      <c r="CV29" s="47">
        <f t="shared" si="9"/>
        <v>32</v>
      </c>
      <c r="CW29" s="48">
        <f>ROUND(CU29,1)</f>
        <v>32</v>
      </c>
      <c r="CX29" s="48">
        <f t="shared" si="17"/>
        <v>32</v>
      </c>
      <c r="CZ29" s="45">
        <f t="shared" si="10"/>
        <v>0</v>
      </c>
      <c r="DA29" s="45">
        <f t="shared" si="11"/>
        <v>0</v>
      </c>
      <c r="DB29" s="49">
        <f>ROUND(CZ29,1)</f>
        <v>0</v>
      </c>
      <c r="DC29" s="48">
        <f t="shared" si="18"/>
        <v>0</v>
      </c>
      <c r="DD29" s="35"/>
      <c r="DE29" s="45" t="e">
        <f t="shared" si="12"/>
        <v>#DIV/0!</v>
      </c>
      <c r="DF29" s="47" t="e">
        <f t="shared" si="13"/>
        <v>#DIV/0!</v>
      </c>
      <c r="DG29" s="48" t="e">
        <f>ROUND(DE29,1)</f>
        <v>#DIV/0!</v>
      </c>
      <c r="DH29" s="48" t="e">
        <f t="shared" si="19"/>
        <v>#DIV/0!</v>
      </c>
      <c r="DI29" s="48" t="e">
        <f t="shared" si="20"/>
        <v>#DIV/0!</v>
      </c>
      <c r="DK29" s="50" t="e">
        <f t="shared" si="14"/>
        <v>#DIV/0!</v>
      </c>
      <c r="DL29" s="51" t="e">
        <f>ROUND(DK29*5,2)/5</f>
        <v>#DIV/0!</v>
      </c>
      <c r="DM29" s="50" t="e">
        <f>ROUND(DK29,4)</f>
        <v>#DIV/0!</v>
      </c>
      <c r="DN29" s="48" t="e">
        <f t="shared" si="21"/>
        <v>#DIV/0!</v>
      </c>
      <c r="DO29" s="48" t="e">
        <f>DN29*(1+((EXP(((0.01374979547/2)*(((103.872/DN29)+0.2701)*(1/DN29)))*(1+(0.8*((0.01374979547/2)*(((103.872/DN29)+0.2701)*(1/DN29))))))-1)/(1+(((0.01374979547/2)*(((103.872/DN29)+0.2701)*(1/DN29)))*(1+(1.6*((0.01374979547/2)*(((103.872/DN29)+0.2701)*(1/DN29)))))*(((2*103.872)+(0.2701+DN29))/(103.872+(0.2701*DN29)))))))</f>
        <v>#DIV/0!</v>
      </c>
      <c r="DQ29" s="50">
        <f t="shared" si="15"/>
        <v>0</v>
      </c>
      <c r="DR29" s="46">
        <f>ROUND(DQ29*5,2)/5</f>
        <v>0</v>
      </c>
      <c r="DS29" s="50">
        <f>ROUND(DQ29,4)</f>
        <v>0</v>
      </c>
      <c r="DT29" s="48">
        <f t="shared" si="22"/>
        <v>0</v>
      </c>
      <c r="DU29" s="48" t="e">
        <f t="shared" si="23"/>
        <v>#DIV/0!</v>
      </c>
      <c r="DW29" s="50" t="e">
        <f>ROUND(EXP(-((103.872/(((141.5/(DF29+131.5))*999.012)^2))+(0.2701/((141.5/(DF29+131.5))*999.012)))*(CV29-60)*(1+(0.8*((103.872/(((141.5/(DF29+131.5))*999.012)^2))+(0.2701/((141.5/(DF29+131.5))*999.012)))*(CV29-60)))),4)</f>
        <v>#DIV/0!</v>
      </c>
      <c r="DX29" s="52" t="e">
        <f>ROUND(EXP(-(((103.872/DI29)+0.2701)*(1/DI29))*(CX29-60.0068749)*(1+(0.8*(((103.872/DI29)+0.2701)*(1/DI29))*((CX29-60.0068749)+0.01374979547)))),5)</f>
        <v>#DIV/0!</v>
      </c>
      <c r="DY29" s="50" t="e">
        <f>ROUND(EXP(-((103.872/((DL29*999.012)^2))+(0.2701/(DL29*999.012)))*(CV29-60)*(1+(0.8*((103.872/((DL29*999.012)^2))+(0.2701/(DL29*999.012)))*(CV29-60)))),4)</f>
        <v>#DIV/0!</v>
      </c>
      <c r="DZ29" s="52" t="e">
        <f>ROUND(EXP(-(((103.872/DO29)+0.2701)*(1/DO29))*(CX29-60.0068749)*(1+(0.8*(((103.872/DO29)+0.2701)*(1/DO29))*((CX29-60.0068749)+0.01374979547)))),5)</f>
        <v>#DIV/0!</v>
      </c>
      <c r="EA29" s="50" t="e">
        <f>ROUND(EXP(-((186.9696/((DR29*1000)^2))+(0.4862/(DR29*1000)))*(DA29-15)*(1+(0.8*((186.9696/((DR29*1000)^2))+(0.4862/(DR29*1000)))*(DA29-15)))),4)</f>
        <v>#DIV/0!</v>
      </c>
      <c r="EB29" s="52" t="e">
        <f>ROUND(EXP(-((((186.9696/DU29)+0.4862)*(1/DU29)))*(DC29-15.00367851)*(1+(0.8*((((186.9696/DU29)+0.4862)*(1/DU29)))*((DC29-15.00367851)+0.01374979547)))),5)</f>
        <v>#DIV/0!</v>
      </c>
    </row>
    <row r="30" spans="1:132" ht="11.45" customHeight="1" x14ac:dyDescent="0.2">
      <c r="A30" s="159" t="s">
        <v>81</v>
      </c>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316"/>
      <c r="AD30" s="159"/>
      <c r="AE30" s="341" t="s">
        <v>212</v>
      </c>
      <c r="AF30" s="341"/>
      <c r="AG30" s="341"/>
      <c r="AH30" s="341"/>
      <c r="AI30" s="341"/>
      <c r="AJ30" s="320" t="str">
        <f>IF(COUNT(AJ18:AN29)=0,"",ROUND(SUM(AJ18:AN29),3))</f>
        <v/>
      </c>
      <c r="AK30" s="321"/>
      <c r="AL30" s="321"/>
      <c r="AM30" s="321"/>
      <c r="AN30" s="322"/>
      <c r="AO30" s="341" t="s">
        <v>214</v>
      </c>
      <c r="AP30" s="341"/>
      <c r="AQ30" s="341"/>
      <c r="AR30" s="341"/>
      <c r="AS30" s="341"/>
      <c r="AT30" s="320" t="str">
        <f>IF(COUNT(AT18:AX29)=0,"",ROUND(SUM(AT18:AX29),3))</f>
        <v/>
      </c>
      <c r="AU30" s="321"/>
      <c r="AV30" s="321"/>
      <c r="AW30" s="321"/>
      <c r="AX30" s="322"/>
      <c r="AY30" s="341" t="s">
        <v>211</v>
      </c>
      <c r="AZ30" s="341"/>
      <c r="BA30" s="341"/>
      <c r="BB30" s="341"/>
      <c r="BC30" s="341"/>
      <c r="BD30" s="320" t="str">
        <f>IF(COUNT(BD18:BH29)=0,"",ROUND(SUM(BD18:BH29),3))</f>
        <v/>
      </c>
      <c r="BE30" s="321"/>
      <c r="BF30" s="321"/>
      <c r="BG30" s="321"/>
      <c r="BH30" s="322"/>
      <c r="BI30" s="341" t="s">
        <v>210</v>
      </c>
      <c r="BJ30" s="341"/>
      <c r="BK30" s="341"/>
      <c r="BL30" s="341"/>
      <c r="BM30" s="341"/>
      <c r="BN30" s="320" t="str">
        <f>IF(COUNT(BN18:BR29)=0,"",ROUND(SUM(BN18:BR29),3))</f>
        <v/>
      </c>
      <c r="BO30" s="321"/>
      <c r="BP30" s="321"/>
      <c r="BQ30" s="321"/>
      <c r="BR30" s="322"/>
      <c r="BS30" s="341" t="s">
        <v>209</v>
      </c>
      <c r="BT30" s="341"/>
      <c r="BU30" s="341"/>
      <c r="BV30" s="341"/>
      <c r="BW30" s="341"/>
      <c r="BX30" s="320" t="str">
        <f>IF(COUNT(BX18:CB29)=0,"",ROUND(SUM(BX18:CB29),3))</f>
        <v/>
      </c>
      <c r="BY30" s="321"/>
      <c r="BZ30" s="321"/>
      <c r="CA30" s="321"/>
      <c r="CB30" s="322"/>
      <c r="CC30" s="320" t="str">
        <f>IF(COUNT(CC18:CG29)=0,"",ROUND(SUM(CC18:CG29),3))</f>
        <v/>
      </c>
      <c r="CD30" s="321"/>
      <c r="CE30" s="321"/>
      <c r="CF30" s="321"/>
      <c r="CG30" s="322"/>
      <c r="CI30" s="326"/>
      <c r="CJ30" s="327"/>
      <c r="CK30" s="327"/>
      <c r="CL30" s="328"/>
      <c r="CN30" s="2" t="s">
        <v>226</v>
      </c>
      <c r="CP30" s="91"/>
      <c r="DW30" s="91"/>
      <c r="DX30" s="91"/>
    </row>
    <row r="31" spans="1:132" ht="11.45" customHeight="1" thickBot="1" x14ac:dyDescent="0.25">
      <c r="A31" s="381"/>
      <c r="B31" s="381"/>
      <c r="C31" s="381"/>
      <c r="D31" s="381"/>
      <c r="E31" s="381"/>
      <c r="F31" s="381"/>
      <c r="G31" s="381"/>
      <c r="H31" s="381"/>
      <c r="I31" s="381"/>
      <c r="J31" s="381"/>
      <c r="K31" s="381"/>
      <c r="L31" s="381"/>
      <c r="M31" s="381"/>
      <c r="N31" s="381"/>
      <c r="O31" s="381"/>
      <c r="P31" s="381"/>
      <c r="Q31" s="381"/>
      <c r="R31" s="381"/>
      <c r="S31" s="381"/>
      <c r="T31" s="381"/>
      <c r="U31" s="381"/>
      <c r="V31" s="381"/>
      <c r="W31" s="381"/>
      <c r="X31" s="381"/>
      <c r="Y31" s="381"/>
      <c r="Z31" s="381"/>
      <c r="AA31" s="381"/>
      <c r="AB31" s="381"/>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81"/>
      <c r="BA31" s="381"/>
      <c r="BB31" s="381"/>
      <c r="BC31" s="381"/>
      <c r="BD31" s="381"/>
      <c r="BE31" s="381"/>
      <c r="BF31" s="381"/>
      <c r="BG31" s="381"/>
      <c r="BH31" s="381"/>
      <c r="BI31" s="381"/>
      <c r="BJ31" s="381"/>
      <c r="BK31" s="381"/>
      <c r="BL31" s="381"/>
      <c r="BM31" s="381"/>
      <c r="BN31" s="381"/>
      <c r="BO31" s="381"/>
      <c r="BP31" s="381"/>
      <c r="BQ31" s="381"/>
      <c r="BR31" s="381"/>
      <c r="BS31" s="381"/>
      <c r="BT31" s="381"/>
      <c r="BU31" s="381"/>
      <c r="BV31" s="381"/>
      <c r="BW31" s="381"/>
      <c r="BX31" s="381"/>
      <c r="BY31" s="381"/>
      <c r="BZ31" s="381"/>
      <c r="CA31" s="381"/>
      <c r="CB31" s="381"/>
      <c r="CC31" s="381"/>
      <c r="CD31" s="381"/>
      <c r="CE31" s="381"/>
      <c r="CF31" s="381"/>
      <c r="CG31" s="381"/>
      <c r="CI31" s="5"/>
      <c r="CJ31" s="113">
        <v>-110</v>
      </c>
      <c r="CK31" s="114">
        <v>-108.1</v>
      </c>
      <c r="CL31" s="115">
        <v>-108</v>
      </c>
      <c r="CP31" s="91"/>
      <c r="DW31" s="91"/>
      <c r="DX31" s="91"/>
    </row>
    <row r="32" spans="1:132" ht="11.45" customHeight="1" x14ac:dyDescent="0.2">
      <c r="A32" s="427" t="s">
        <v>28</v>
      </c>
      <c r="B32" s="427"/>
      <c r="C32" s="427"/>
      <c r="D32" s="427"/>
      <c r="E32" s="427"/>
      <c r="F32" s="427"/>
      <c r="G32" s="427"/>
      <c r="H32" s="427"/>
      <c r="I32" s="427"/>
      <c r="J32" s="427"/>
      <c r="K32" s="427"/>
      <c r="L32" s="427"/>
      <c r="M32" s="427"/>
      <c r="N32" s="427"/>
      <c r="O32" s="427"/>
      <c r="P32" s="427"/>
      <c r="Q32" s="427"/>
      <c r="R32" s="427"/>
      <c r="S32" s="427"/>
      <c r="T32" s="427"/>
      <c r="U32" s="427"/>
      <c r="V32" s="427"/>
      <c r="W32" s="427"/>
      <c r="X32" s="427"/>
      <c r="Y32" s="427"/>
      <c r="Z32" s="427"/>
      <c r="AA32" s="427"/>
      <c r="AB32" s="427"/>
      <c r="AC32" s="427"/>
      <c r="AD32" s="427"/>
      <c r="AE32" s="427"/>
      <c r="AF32" s="427"/>
      <c r="AG32" s="427"/>
      <c r="AH32" s="427"/>
      <c r="AI32" s="427"/>
      <c r="AJ32" s="427"/>
      <c r="AK32" s="427"/>
      <c r="AL32" s="434" t="s">
        <v>2</v>
      </c>
      <c r="AM32" s="434"/>
      <c r="AN32" s="434"/>
      <c r="AO32" s="98" t="s">
        <v>0</v>
      </c>
      <c r="AP32" s="444"/>
      <c r="AQ32" s="444"/>
      <c r="AR32" s="444"/>
      <c r="AS32" s="444"/>
      <c r="AT32" s="444"/>
      <c r="AU32" s="444"/>
      <c r="AV32" s="444"/>
      <c r="AW32" s="444"/>
      <c r="AX32" s="434" t="s">
        <v>16</v>
      </c>
      <c r="AY32" s="434"/>
      <c r="AZ32" s="434"/>
      <c r="BA32" s="98" t="s">
        <v>0</v>
      </c>
      <c r="BB32" s="419"/>
      <c r="BC32" s="419"/>
      <c r="BD32" s="419"/>
      <c r="BE32" s="419"/>
      <c r="BF32" s="419"/>
      <c r="BG32" s="419"/>
      <c r="BH32" s="419"/>
      <c r="BI32" s="419"/>
      <c r="BJ32" s="434" t="s">
        <v>425</v>
      </c>
      <c r="BK32" s="434"/>
      <c r="BL32" s="434"/>
      <c r="BM32" s="434"/>
      <c r="BN32" s="434"/>
      <c r="BO32" s="434"/>
      <c r="BP32" s="434"/>
      <c r="BQ32" s="98" t="s">
        <v>0</v>
      </c>
      <c r="BR32" s="434"/>
      <c r="BS32" s="434"/>
      <c r="BT32" s="434"/>
      <c r="BU32" s="434"/>
      <c r="BV32" s="434"/>
      <c r="BW32" s="434"/>
      <c r="BX32" s="434"/>
      <c r="BY32" s="434"/>
      <c r="BZ32" s="434"/>
      <c r="CA32" s="434"/>
      <c r="CB32" s="434"/>
      <c r="CC32" s="434"/>
      <c r="CD32" s="434"/>
      <c r="CE32" s="434"/>
      <c r="CF32" s="434"/>
      <c r="CG32" s="434"/>
      <c r="CI32" s="116">
        <v>34</v>
      </c>
      <c r="CJ32" s="117">
        <v>-140</v>
      </c>
      <c r="CK32" s="53">
        <f>(CL32-CJ32)/(CL31-CJ31)*(CK31-CJ31)+CJ32</f>
        <v>-140</v>
      </c>
      <c r="CL32" s="118">
        <v>-140</v>
      </c>
      <c r="CP32" s="91"/>
      <c r="CR32" s="91"/>
      <c r="CS32" s="91"/>
      <c r="CY32" s="91"/>
      <c r="DW32" s="91"/>
      <c r="DX32" s="91"/>
    </row>
    <row r="33" spans="1:132" ht="11.45" customHeight="1" x14ac:dyDescent="0.2">
      <c r="A33" s="436"/>
      <c r="B33" s="436"/>
      <c r="C33" s="436"/>
      <c r="D33" s="436"/>
      <c r="E33" s="436"/>
      <c r="F33" s="436"/>
      <c r="G33" s="436" t="s">
        <v>196</v>
      </c>
      <c r="H33" s="436"/>
      <c r="I33" s="436"/>
      <c r="J33" s="436"/>
      <c r="K33" s="436"/>
      <c r="L33" s="436"/>
      <c r="M33" s="4" t="s">
        <v>0</v>
      </c>
      <c r="N33" s="421"/>
      <c r="O33" s="421"/>
      <c r="P33" s="421"/>
      <c r="Q33" s="421"/>
      <c r="R33" s="421"/>
      <c r="S33" s="421"/>
      <c r="T33" s="421" t="s">
        <v>192</v>
      </c>
      <c r="U33" s="421"/>
      <c r="V33" s="421"/>
      <c r="W33" s="421"/>
      <c r="X33" s="437"/>
      <c r="Y33" s="437"/>
      <c r="Z33" s="437"/>
      <c r="AA33" s="437"/>
      <c r="AB33" s="437"/>
      <c r="AC33" s="437"/>
      <c r="AD33" s="433" t="s">
        <v>427</v>
      </c>
      <c r="AE33" s="433"/>
      <c r="AF33" s="433"/>
      <c r="AG33" s="4" t="s">
        <v>0</v>
      </c>
      <c r="AH33" s="421" t="str">
        <f>IF(OR(N33="",N34=""),"",(N34-N33))</f>
        <v/>
      </c>
      <c r="AI33" s="421"/>
      <c r="AJ33" s="421"/>
      <c r="AK33" s="421"/>
      <c r="AL33" s="421"/>
      <c r="AM33" s="420" t="str">
        <f>T33</f>
        <v xml:space="preserve"> M</v>
      </c>
      <c r="AN33" s="420"/>
      <c r="AO33" s="420"/>
      <c r="AP33" s="420"/>
      <c r="AQ33" s="154"/>
      <c r="AR33" s="154"/>
      <c r="AS33" s="154"/>
      <c r="AT33" s="154"/>
      <c r="AU33" s="154"/>
      <c r="AV33" s="340" t="s">
        <v>474</v>
      </c>
      <c r="AW33" s="340"/>
      <c r="AX33" s="340"/>
      <c r="AY33" s="340"/>
      <c r="AZ33" s="340"/>
      <c r="BA33" s="340"/>
      <c r="BB33" s="340"/>
      <c r="BC33" s="340"/>
      <c r="BD33" s="340"/>
      <c r="BE33" s="340"/>
      <c r="BF33" s="340"/>
      <c r="BG33" s="340"/>
      <c r="BH33" s="340"/>
      <c r="BI33" s="340"/>
      <c r="BJ33" s="340"/>
      <c r="BK33" s="340"/>
      <c r="BL33" s="340"/>
      <c r="BM33" s="89" t="s">
        <v>0</v>
      </c>
      <c r="BN33" s="436"/>
      <c r="BO33" s="436"/>
      <c r="BP33" s="436"/>
      <c r="BQ33" s="436"/>
      <c r="BR33" s="436"/>
      <c r="BS33" s="436"/>
      <c r="BT33" s="436"/>
      <c r="BU33" s="436"/>
      <c r="BV33" s="436"/>
      <c r="BW33" s="436"/>
      <c r="BX33" s="436"/>
      <c r="BY33" s="436"/>
      <c r="BZ33" s="436"/>
      <c r="CA33" s="436"/>
      <c r="CB33" s="436"/>
      <c r="CC33" s="436"/>
      <c r="CD33" s="436"/>
      <c r="CE33" s="436"/>
      <c r="CF33" s="436"/>
      <c r="CG33" s="436"/>
      <c r="CI33" s="119">
        <v>34.030999999999999</v>
      </c>
      <c r="CJ33" s="53">
        <f>(CJ34-CJ32)/(CI34-CI32)*(CI33-CI32)+CJ32</f>
        <v>-140.03100000000001</v>
      </c>
      <c r="CK33" s="53">
        <f>(CL33-CJ33)/(CL31-CJ31)*(CK31-CJ31)+CJ33</f>
        <v>-140.00155000000001</v>
      </c>
      <c r="CL33" s="54">
        <f>(CL34-CL32)/(CI34-CI32)*(CI33-CI32)+CL32</f>
        <v>-140</v>
      </c>
      <c r="CN33" s="1" t="s">
        <v>218</v>
      </c>
    </row>
    <row r="34" spans="1:132" ht="11.45" customHeight="1" x14ac:dyDescent="0.2">
      <c r="A34" s="422"/>
      <c r="B34" s="422"/>
      <c r="C34" s="422"/>
      <c r="D34" s="422"/>
      <c r="E34" s="422"/>
      <c r="F34" s="422"/>
      <c r="G34" s="422" t="s">
        <v>426</v>
      </c>
      <c r="H34" s="422"/>
      <c r="I34" s="422"/>
      <c r="J34" s="422"/>
      <c r="K34" s="422"/>
      <c r="L34" s="422"/>
      <c r="M34" s="4" t="s">
        <v>0</v>
      </c>
      <c r="N34" s="431"/>
      <c r="O34" s="431"/>
      <c r="P34" s="431"/>
      <c r="Q34" s="431"/>
      <c r="R34" s="431"/>
      <c r="S34" s="431"/>
      <c r="T34" s="432" t="str">
        <f>T33</f>
        <v xml:space="preserve"> M</v>
      </c>
      <c r="U34" s="432"/>
      <c r="V34" s="432"/>
      <c r="W34" s="432"/>
      <c r="X34" s="438"/>
      <c r="Y34" s="438"/>
      <c r="Z34" s="438"/>
      <c r="AA34" s="438"/>
      <c r="AB34" s="438"/>
      <c r="AC34" s="438"/>
      <c r="AD34" s="439" t="s">
        <v>428</v>
      </c>
      <c r="AE34" s="439"/>
      <c r="AF34" s="439"/>
      <c r="AG34" s="4" t="s">
        <v>0</v>
      </c>
      <c r="AH34" s="422"/>
      <c r="AI34" s="422"/>
      <c r="AJ34" s="422"/>
      <c r="AK34" s="422"/>
      <c r="AL34" s="422"/>
      <c r="AM34" s="422"/>
      <c r="AN34" s="422"/>
      <c r="AO34" s="422"/>
      <c r="AP34" s="422"/>
      <c r="AQ34" s="209"/>
      <c r="AR34" s="209"/>
      <c r="AS34" s="209"/>
      <c r="AT34" s="209"/>
      <c r="AU34" s="209"/>
      <c r="AV34" s="355" t="s">
        <v>436</v>
      </c>
      <c r="AW34" s="355"/>
      <c r="AX34" s="355"/>
      <c r="AY34" s="355"/>
      <c r="AZ34" s="355"/>
      <c r="BA34" s="355"/>
      <c r="BB34" s="355"/>
      <c r="BC34" s="355"/>
      <c r="BD34" s="355"/>
      <c r="BE34" s="355"/>
      <c r="BF34" s="355"/>
      <c r="BG34" s="355"/>
      <c r="BH34" s="355"/>
      <c r="BI34" s="355"/>
      <c r="BJ34" s="355"/>
      <c r="BK34" s="355"/>
      <c r="BL34" s="355"/>
      <c r="BM34" s="89" t="s">
        <v>0</v>
      </c>
      <c r="BN34" s="422"/>
      <c r="BO34" s="422"/>
      <c r="BP34" s="422"/>
      <c r="BQ34" s="422"/>
      <c r="BR34" s="422"/>
      <c r="BS34" s="422"/>
      <c r="BT34" s="422"/>
      <c r="BU34" s="422"/>
      <c r="BV34" s="422"/>
      <c r="BW34" s="422"/>
      <c r="BX34" s="422"/>
      <c r="BY34" s="422"/>
      <c r="BZ34" s="422"/>
      <c r="CA34" s="422"/>
      <c r="CB34" s="422"/>
      <c r="CC34" s="422"/>
      <c r="CD34" s="422"/>
      <c r="CE34" s="422"/>
      <c r="CF34" s="422"/>
      <c r="CG34" s="422"/>
      <c r="CH34" s="55"/>
      <c r="CI34" s="120">
        <v>35</v>
      </c>
      <c r="CJ34" s="121">
        <v>-141</v>
      </c>
      <c r="CK34" s="93">
        <f>(CL34-CJ34)/(CL31-CJ31)*(CK31-CJ31)+CJ34</f>
        <v>-140.05000000000001</v>
      </c>
      <c r="CL34" s="122">
        <v>-140</v>
      </c>
      <c r="CN34" s="107" t="s">
        <v>453</v>
      </c>
    </row>
    <row r="35" spans="1:132" ht="11.45" customHeight="1" x14ac:dyDescent="0.2">
      <c r="A35" s="359" t="s">
        <v>7</v>
      </c>
      <c r="B35" s="360"/>
      <c r="C35" s="360"/>
      <c r="D35" s="360"/>
      <c r="E35" s="360"/>
      <c r="F35" s="360"/>
      <c r="G35" s="360"/>
      <c r="H35" s="360"/>
      <c r="I35" s="329" t="s">
        <v>197</v>
      </c>
      <c r="J35" s="159"/>
      <c r="K35" s="159"/>
      <c r="L35" s="159"/>
      <c r="M35" s="159"/>
      <c r="N35" s="159"/>
      <c r="O35" s="361"/>
      <c r="P35" s="197" t="str">
        <f>IF(P16="","",P16)</f>
        <v>DENSITY</v>
      </c>
      <c r="Q35" s="198"/>
      <c r="R35" s="198"/>
      <c r="S35" s="198"/>
      <c r="T35" s="199"/>
      <c r="U35" s="337" t="s">
        <v>215</v>
      </c>
      <c r="V35" s="338"/>
      <c r="W35" s="338"/>
      <c r="X35" s="338"/>
      <c r="Y35" s="339"/>
      <c r="Z35" s="337" t="s">
        <v>207</v>
      </c>
      <c r="AA35" s="338"/>
      <c r="AB35" s="338"/>
      <c r="AC35" s="338"/>
      <c r="AD35" s="339"/>
      <c r="AE35" s="338" t="s">
        <v>208</v>
      </c>
      <c r="AF35" s="338"/>
      <c r="AG35" s="338"/>
      <c r="AH35" s="338"/>
      <c r="AI35" s="338"/>
      <c r="AJ35" s="197" t="s">
        <v>213</v>
      </c>
      <c r="AK35" s="198"/>
      <c r="AL35" s="198"/>
      <c r="AM35" s="198"/>
      <c r="AN35" s="199"/>
      <c r="AO35" s="338" t="s">
        <v>206</v>
      </c>
      <c r="AP35" s="338"/>
      <c r="AQ35" s="338"/>
      <c r="AR35" s="338"/>
      <c r="AS35" s="338"/>
      <c r="AT35" s="197" t="s">
        <v>206</v>
      </c>
      <c r="AU35" s="198"/>
      <c r="AV35" s="198"/>
      <c r="AW35" s="198"/>
      <c r="AX35" s="199"/>
      <c r="AY35" s="197" t="s">
        <v>9</v>
      </c>
      <c r="AZ35" s="198"/>
      <c r="BA35" s="198"/>
      <c r="BB35" s="198"/>
      <c r="BC35" s="199"/>
      <c r="BD35" s="198" t="s">
        <v>8</v>
      </c>
      <c r="BE35" s="198"/>
      <c r="BF35" s="198"/>
      <c r="BG35" s="198"/>
      <c r="BH35" s="198"/>
      <c r="BI35" s="197" t="s">
        <v>10</v>
      </c>
      <c r="BJ35" s="198"/>
      <c r="BK35" s="198"/>
      <c r="BL35" s="198"/>
      <c r="BM35" s="199"/>
      <c r="BN35" s="197" t="s">
        <v>83</v>
      </c>
      <c r="BO35" s="198"/>
      <c r="BP35" s="198"/>
      <c r="BQ35" s="198"/>
      <c r="BR35" s="199"/>
      <c r="BS35" s="197" t="s">
        <v>205</v>
      </c>
      <c r="BT35" s="198"/>
      <c r="BU35" s="198"/>
      <c r="BV35" s="198"/>
      <c r="BW35" s="199"/>
      <c r="BX35" s="198" t="s">
        <v>82</v>
      </c>
      <c r="BY35" s="198"/>
      <c r="BZ35" s="198"/>
      <c r="CA35" s="198"/>
      <c r="CB35" s="199"/>
      <c r="CC35" s="198" t="s">
        <v>82</v>
      </c>
      <c r="CD35" s="198"/>
      <c r="CE35" s="198"/>
      <c r="CF35" s="198"/>
      <c r="CG35" s="199"/>
      <c r="CH35" s="55"/>
      <c r="CN35" s="2" t="s">
        <v>18</v>
      </c>
      <c r="CP35" s="24" t="s">
        <v>235</v>
      </c>
      <c r="CR35" s="323" t="s">
        <v>8</v>
      </c>
      <c r="CS35" s="325"/>
      <c r="CU35" s="24" t="s">
        <v>12</v>
      </c>
      <c r="CV35" s="192" t="s">
        <v>6</v>
      </c>
      <c r="CW35" s="193"/>
      <c r="CX35" s="194"/>
      <c r="CY35" s="91"/>
      <c r="CZ35" s="24" t="s">
        <v>11</v>
      </c>
      <c r="DA35" s="192" t="s">
        <v>6</v>
      </c>
      <c r="DB35" s="193"/>
      <c r="DC35" s="194"/>
      <c r="DD35" s="91"/>
      <c r="DE35" s="24" t="s">
        <v>13</v>
      </c>
      <c r="DF35" s="192" t="s">
        <v>6</v>
      </c>
      <c r="DG35" s="193"/>
      <c r="DH35" s="193"/>
      <c r="DI35" s="194"/>
      <c r="DK35" s="24" t="s">
        <v>20</v>
      </c>
      <c r="DL35" s="192" t="s">
        <v>6</v>
      </c>
      <c r="DM35" s="193"/>
      <c r="DN35" s="193"/>
      <c r="DO35" s="194"/>
      <c r="DQ35" s="24" t="s">
        <v>21</v>
      </c>
      <c r="DR35" s="192" t="s">
        <v>6</v>
      </c>
      <c r="DS35" s="193"/>
      <c r="DT35" s="193"/>
      <c r="DU35" s="194"/>
      <c r="DW35" s="323" t="s">
        <v>22</v>
      </c>
      <c r="DX35" s="325"/>
      <c r="DY35" s="323" t="s">
        <v>23</v>
      </c>
      <c r="DZ35" s="325"/>
      <c r="EA35" s="323" t="s">
        <v>24</v>
      </c>
      <c r="EB35" s="325"/>
    </row>
    <row r="36" spans="1:132" ht="11.45" customHeight="1" x14ac:dyDescent="0.2">
      <c r="A36" s="356" t="s">
        <v>14</v>
      </c>
      <c r="B36" s="357"/>
      <c r="C36" s="357"/>
      <c r="D36" s="357"/>
      <c r="E36" s="357"/>
      <c r="F36" s="357"/>
      <c r="G36" s="357"/>
      <c r="H36" s="357"/>
      <c r="I36" s="331"/>
      <c r="J36" s="162"/>
      <c r="K36" s="162"/>
      <c r="L36" s="162"/>
      <c r="M36" s="162"/>
      <c r="N36" s="162"/>
      <c r="O36" s="362"/>
      <c r="P36" s="333" t="str">
        <f>IF(P17="","",P17)</f>
        <v>@ 15°C</v>
      </c>
      <c r="Q36" s="209"/>
      <c r="R36" s="209"/>
      <c r="S36" s="209"/>
      <c r="T36" s="334"/>
      <c r="U36" s="347" t="str">
        <f>U17</f>
        <v>METRES</v>
      </c>
      <c r="V36" s="348"/>
      <c r="W36" s="348"/>
      <c r="X36" s="348"/>
      <c r="Y36" s="349"/>
      <c r="Z36" s="347" t="s">
        <v>198</v>
      </c>
      <c r="AA36" s="348"/>
      <c r="AB36" s="348"/>
      <c r="AC36" s="354"/>
      <c r="AD36" s="349"/>
      <c r="AE36" s="209" t="str">
        <f>Z36</f>
        <v>ULLAGE</v>
      </c>
      <c r="AF36" s="209"/>
      <c r="AG36" s="209"/>
      <c r="AH36" s="209"/>
      <c r="AI36" s="209"/>
      <c r="AJ36" s="333" t="str">
        <f>IF(AJ17="","",AJ17)</f>
        <v>M³</v>
      </c>
      <c r="AK36" s="209"/>
      <c r="AL36" s="209"/>
      <c r="AM36" s="209"/>
      <c r="AN36" s="334"/>
      <c r="AO36" s="348" t="s">
        <v>226</v>
      </c>
      <c r="AP36" s="348"/>
      <c r="AQ36" s="348"/>
      <c r="AR36" s="348"/>
      <c r="AS36" s="348"/>
      <c r="AT36" s="333" t="str">
        <f>AJ36</f>
        <v>M³</v>
      </c>
      <c r="AU36" s="209"/>
      <c r="AV36" s="209"/>
      <c r="AW36" s="209"/>
      <c r="AX36" s="334"/>
      <c r="AY36" s="333" t="str">
        <f>IF(AY17="","",AY17)</f>
        <v>°C</v>
      </c>
      <c r="AZ36" s="209"/>
      <c r="BA36" s="209"/>
      <c r="BB36" s="209"/>
      <c r="BC36" s="334"/>
      <c r="BD36" s="333" t="str">
        <f>IF(BD17="","",BD17)</f>
        <v>M³</v>
      </c>
      <c r="BE36" s="209"/>
      <c r="BF36" s="209"/>
      <c r="BG36" s="209"/>
      <c r="BH36" s="334"/>
      <c r="BI36" s="333" t="str">
        <f>IF(BI17="","",BI17)</f>
        <v>T54B-2004</v>
      </c>
      <c r="BJ36" s="209"/>
      <c r="BK36" s="209"/>
      <c r="BL36" s="209"/>
      <c r="BM36" s="334"/>
      <c r="BN36" s="333" t="str">
        <f>AJ36</f>
        <v>M³</v>
      </c>
      <c r="BO36" s="209"/>
      <c r="BP36" s="209"/>
      <c r="BQ36" s="209"/>
      <c r="BR36" s="334"/>
      <c r="BS36" s="333"/>
      <c r="BT36" s="209"/>
      <c r="BU36" s="209"/>
      <c r="BV36" s="209"/>
      <c r="BW36" s="334"/>
      <c r="BX36" s="209" t="s">
        <v>87</v>
      </c>
      <c r="BY36" s="209"/>
      <c r="BZ36" s="209"/>
      <c r="CA36" s="209"/>
      <c r="CB36" s="334"/>
      <c r="CC36" s="209" t="s">
        <v>347</v>
      </c>
      <c r="CD36" s="209"/>
      <c r="CE36" s="209"/>
      <c r="CF36" s="209"/>
      <c r="CG36" s="334"/>
      <c r="CH36" s="55"/>
      <c r="CP36" s="25" t="s">
        <v>236</v>
      </c>
      <c r="CR36" s="92" t="s">
        <v>18</v>
      </c>
      <c r="CS36" s="92" t="s">
        <v>19</v>
      </c>
      <c r="CU36" s="25" t="s">
        <v>15</v>
      </c>
      <c r="CV36" s="94">
        <v>0.5</v>
      </c>
      <c r="CW36" s="25">
        <v>0.1</v>
      </c>
      <c r="CX36" s="24" t="s">
        <v>101</v>
      </c>
      <c r="CY36" s="26"/>
      <c r="CZ36" s="25" t="s">
        <v>15</v>
      </c>
      <c r="DA36" s="25">
        <v>0.25</v>
      </c>
      <c r="DB36" s="25">
        <v>0.1</v>
      </c>
      <c r="DC36" s="24" t="s">
        <v>101</v>
      </c>
      <c r="DD36" s="91"/>
      <c r="DE36" s="25" t="s">
        <v>15</v>
      </c>
      <c r="DF36" s="25">
        <v>0.5</v>
      </c>
      <c r="DG36" s="25">
        <v>0.1</v>
      </c>
      <c r="DH36" s="25" t="s">
        <v>99</v>
      </c>
      <c r="DI36" s="92" t="s">
        <v>100</v>
      </c>
      <c r="DK36" s="25" t="s">
        <v>15</v>
      </c>
      <c r="DL36" s="25">
        <v>2E-3</v>
      </c>
      <c r="DM36" s="25">
        <v>1E-4</v>
      </c>
      <c r="DN36" s="25" t="s">
        <v>99</v>
      </c>
      <c r="DO36" s="92" t="s">
        <v>100</v>
      </c>
      <c r="DQ36" s="25" t="s">
        <v>15</v>
      </c>
      <c r="DR36" s="25">
        <v>2E-3</v>
      </c>
      <c r="DS36" s="25">
        <v>1E-4</v>
      </c>
      <c r="DT36" s="25" t="s">
        <v>102</v>
      </c>
      <c r="DU36" s="92" t="s">
        <v>100</v>
      </c>
      <c r="DW36" s="92">
        <v>1980</v>
      </c>
      <c r="DX36" s="92">
        <v>2004</v>
      </c>
      <c r="DY36" s="92">
        <v>1980</v>
      </c>
      <c r="DZ36" s="92">
        <v>2004</v>
      </c>
      <c r="EA36" s="92">
        <v>1980</v>
      </c>
      <c r="EB36" s="92">
        <v>2004</v>
      </c>
    </row>
    <row r="37" spans="1:132" ht="11.45" customHeight="1" x14ac:dyDescent="0.2">
      <c r="A37" s="346" t="str">
        <f t="shared" ref="A37:A48" si="38">IF(A18="","",A18)</f>
        <v/>
      </c>
      <c r="B37" s="346"/>
      <c r="C37" s="346"/>
      <c r="D37" s="346"/>
      <c r="E37" s="346"/>
      <c r="F37" s="346"/>
      <c r="G37" s="346"/>
      <c r="H37" s="346"/>
      <c r="I37" s="318" t="str">
        <f t="shared" ref="I37:I48" si="39">IF(I18="","",I18)</f>
        <v/>
      </c>
      <c r="J37" s="318"/>
      <c r="K37" s="318"/>
      <c r="L37" s="318"/>
      <c r="M37" s="318"/>
      <c r="N37" s="318"/>
      <c r="O37" s="318"/>
      <c r="P37" s="443" t="str">
        <f>IF(P18="","",P18)</f>
        <v/>
      </c>
      <c r="Q37" s="443"/>
      <c r="R37" s="443"/>
      <c r="S37" s="443"/>
      <c r="T37" s="443"/>
      <c r="U37" s="308" t="str">
        <f t="shared" ref="U37:U48" si="40">IF(U18="","",U18)</f>
        <v/>
      </c>
      <c r="V37" s="308"/>
      <c r="W37" s="308"/>
      <c r="X37" s="308"/>
      <c r="Y37" s="308"/>
      <c r="Z37" s="308"/>
      <c r="AA37" s="308"/>
      <c r="AB37" s="308"/>
      <c r="AC37" s="309"/>
      <c r="AD37" s="308"/>
      <c r="AE37" s="308"/>
      <c r="AF37" s="308"/>
      <c r="AG37" s="308"/>
      <c r="AH37" s="308"/>
      <c r="AI37" s="308"/>
      <c r="AJ37" s="308"/>
      <c r="AK37" s="308"/>
      <c r="AL37" s="308"/>
      <c r="AM37" s="308"/>
      <c r="AN37" s="308"/>
      <c r="AO37" s="308"/>
      <c r="AP37" s="308"/>
      <c r="AQ37" s="308"/>
      <c r="AR37" s="308"/>
      <c r="AS37" s="308"/>
      <c r="AT37" s="308"/>
      <c r="AU37" s="308"/>
      <c r="AV37" s="308"/>
      <c r="AW37" s="308"/>
      <c r="AX37" s="308"/>
      <c r="AY37" s="312"/>
      <c r="AZ37" s="312"/>
      <c r="BA37" s="312"/>
      <c r="BB37" s="312"/>
      <c r="BC37" s="312"/>
      <c r="BD37" s="311" t="str">
        <f>IF(OR(AJ37="",AT37=""),"",AJ37-AT37)</f>
        <v/>
      </c>
      <c r="BE37" s="311"/>
      <c r="BF37" s="311"/>
      <c r="BG37" s="311"/>
      <c r="BH37" s="311"/>
      <c r="BI37" s="310" t="str">
        <f t="shared" ref="BI37:BI48" si="41">IF(OR(AY37="",P37=""),"",IF($CN$53=1,DW37,IF($CN$53=2,DY37,IF($CN$53=3,EA37,IF($CN$53=4,DX37,IF($CN$53=5,DZ37,IF($CN$53=6,EB37)))))))</f>
        <v/>
      </c>
      <c r="BJ37" s="310"/>
      <c r="BK37" s="310"/>
      <c r="BL37" s="310"/>
      <c r="BM37" s="310"/>
      <c r="BN37" s="311" t="str">
        <f t="shared" ref="BN37:BN48" si="42">IF(OR(BD37="",BI37=""),"",BD37*BI37)</f>
        <v/>
      </c>
      <c r="BO37" s="311"/>
      <c r="BP37" s="311"/>
      <c r="BQ37" s="311"/>
      <c r="BR37" s="311"/>
      <c r="BS37" s="332" t="str">
        <f t="shared" ref="BS37:BS48" si="43">IF(OR(BD37="",P37="",BI37=""),"",ROUND((DS37-0.0011),4))</f>
        <v/>
      </c>
      <c r="BT37" s="332"/>
      <c r="BU37" s="332"/>
      <c r="BV37" s="332"/>
      <c r="BW37" s="332"/>
      <c r="BX37" s="311" t="str">
        <f t="shared" ref="BX37:BX48" si="44">IF(OR(BD37="",P37="",BI37=""),"",IF($AJ$17=$CN$34,ROUND(BN37*BS37,3),ROUND(CS37*BI37*BS37,3)))</f>
        <v/>
      </c>
      <c r="BY37" s="311"/>
      <c r="BZ37" s="311"/>
      <c r="CA37" s="311"/>
      <c r="CB37" s="311"/>
      <c r="CC37" s="311" t="str">
        <f t="shared" ref="CC37:CC48" si="45">IF(OR(BD37="",P37="",BI37=""),"",IF($AJ$17=$CN$34,ROUND(BN37*DQ37,3),ROUND(CS37*BI37*DQ37,3)))</f>
        <v/>
      </c>
      <c r="CD37" s="311"/>
      <c r="CE37" s="311"/>
      <c r="CF37" s="311"/>
      <c r="CG37" s="311"/>
      <c r="CH37" s="55"/>
      <c r="CP37" s="107">
        <f t="shared" ref="CP37:CP48" si="46">IF(OR(AY37="",BD37=""),0,AY37*BD37)</f>
        <v>0</v>
      </c>
      <c r="CR37" s="28" t="e">
        <f t="shared" ref="CR37:CR48" si="47">IF($BD$17=$CN$35,BD37,(BD37*6.28981))</f>
        <v>#VALUE!</v>
      </c>
      <c r="CS37" s="29" t="str">
        <f t="shared" ref="CS37:CS48" si="48">IF($BD$17=$CN$34,BD37,(BD37/6.28981))</f>
        <v/>
      </c>
      <c r="CU37" s="30">
        <f t="shared" ref="CU37:CU48" si="49">IF($AY$17=$CN$40,AY37,(AY37*1.8+32))</f>
        <v>32</v>
      </c>
      <c r="CV37" s="31">
        <f t="shared" ref="CV37:CV48" si="50">ROUND(CU37*2,0)/2</f>
        <v>32</v>
      </c>
      <c r="CW37" s="32">
        <f>ROUND(CU37,1)</f>
        <v>32</v>
      </c>
      <c r="CX37" s="33">
        <f>(1.8*((((CW37-32)/1.8)-((-0.148759+((-0.267408+((1.08076+((1.269056+((-4.089591+((-1.871251+((7.438081+(-3.536296*(((CW37-32)/1.8)/630)))*(((CW37-32)/1.8)/630)))*(((CW37-32)/1.8)/630)))*(((CW37-32)/1.8)/630)))*(((CW37-32)/1.8)/630)))*(((CW37-32)/1.8)/630)))*(((CW37-32)/1.8)/630)))*(((CW37-32)/1.8)/630)))))+32</f>
        <v>32</v>
      </c>
      <c r="CY37" s="26"/>
      <c r="CZ37" s="30">
        <f t="shared" ref="CZ37:CZ48" si="51">IF($AY$17=$CN$39,AY37,(AY37-32)/1.8)</f>
        <v>0</v>
      </c>
      <c r="DA37" s="28">
        <f t="shared" ref="DA37:DA48" si="52">ROUND(CZ37*4,0)/4</f>
        <v>0</v>
      </c>
      <c r="DB37" s="34">
        <f>ROUND(CZ37,1)</f>
        <v>0</v>
      </c>
      <c r="DC37" s="33">
        <f>DB37-((-0.148759+((-0.267408+((1.08076+((1.269056+((-4.089591+((-1.871251+((7.438081+(-3.536296*(DB37/630)))*(DB37/630)))*(DB37/630)))*(DB37/630)))*(DB37/630)))*(DB37/630)))*(DB37/630)))*(DB37/630))</f>
        <v>0</v>
      </c>
      <c r="DD37" s="35"/>
      <c r="DE37" s="30" t="e">
        <f t="shared" ref="DE37:DE48" si="53">IF($P$16=$CN$18,P37,(141.5/DK37)-131.5)</f>
        <v>#VALUE!</v>
      </c>
      <c r="DF37" s="31" t="e">
        <f t="shared" ref="DF37:DF48" si="54">ROUND(DE37*2,0)/2</f>
        <v>#VALUE!</v>
      </c>
      <c r="DG37" s="32" t="e">
        <f>ROUND(DE37,1)</f>
        <v>#VALUE!</v>
      </c>
      <c r="DH37" s="33" t="e">
        <f>(141.5/(DG37+131.5))*999.016</f>
        <v>#VALUE!</v>
      </c>
      <c r="DI37" s="33" t="e">
        <f>DH37*(1+((EXP(((0.01374979547/2)*(((103.872/DH37)+0.2701)*(1/DH37)))*(1+(0.8*((0.01374979547/2)*(((103.872/DH37)+0.2701)*(1/DH37))))))-1)/(1+(((0.01374979547/2)*(((103.872/DH37)+0.2701)*(1/DH37)))*(1+(1.6*((0.01374979547/2)*(((103.872/DH37)+0.2701)*(1/DH37)))))*(((2*103.872)+(0.2701+DH37))/(103.872+(0.2701*DH37)))))))</f>
        <v>#VALUE!</v>
      </c>
      <c r="DK37" s="36" t="e">
        <f t="shared" ref="DK37:DK48" si="55">IF($P$16=$CN$19,P37,IF($P$16=$CN$18,141.5/(P37+131.5),DQ37*ROUND(EXP(-(186.9696/(((TRUNC(5*(DQ37*100)+0.5)/5)*0.01)*1000)^2+0.4862/(((TRUNC(5*(DQ37*100)+0.5)/5)*0.01)*1000))*(0.56)*(1+0.8*(186.9696/(((TRUNC(5*(DQ37*100)+0.5)/5)*0.01)*1000)^2+0.4862/(((TRUNC(5*(DQ37*100)+0.5)/5)*0.01)*1000))*0.56)),4)/0.999012))</f>
        <v>#VALUE!</v>
      </c>
      <c r="DL37" s="37" t="e">
        <f>ROUND(DK37*5,2)/5</f>
        <v>#VALUE!</v>
      </c>
      <c r="DM37" s="38" t="e">
        <f>ROUND(DK37,4)</f>
        <v>#VALUE!</v>
      </c>
      <c r="DN37" s="33" t="e">
        <f>DM37*999.016</f>
        <v>#VALUE!</v>
      </c>
      <c r="DO37" s="33" t="e">
        <f>DN37*(1+((EXP(((0.01374979547/2)*(((103.872/DN37)+0.2701)*(1/DN37)))*(1+(0.8*((0.01374979547/2)*(((103.872/DN37)+0.2701)*(1/DN37))))))-1)/(1+(((0.01374979547/2)*(((103.872/DN37)+0.2701)*(1/DN37)))*(1+(1.6*((0.01374979547/2)*(((103.872/DN37)+0.2701)*(1/DN37)))))*(((2*103.872)+(0.2701+DN37))/(103.872+(0.2701*DN37)))))))</f>
        <v>#VALUE!</v>
      </c>
      <c r="DQ37" s="36" t="str">
        <f t="shared" ref="DQ37:DQ48" si="56">IF($P$16=$CN$20,P37,DK37*0.999012*ROUND(EXP(-((103.872/((((TRUNC(5*(DK37*100)+0.5)/5)*0.01)*999.012)^2))+(0.2701/(((TRUNC(5*(DK37*100)+0.5)/5)*0.01)*999.012)))*(-1)*(1+(0.8*((103.872/((((TRUNC(5*(DK37*100)+0.5)/5)*0.01)*999.012)^2))+(0.2701/(((TRUNC(5*(DK37*100)+0.5)/5)*0.01)*999.012)))*(-1)))),4))</f>
        <v/>
      </c>
      <c r="DR37" s="39" t="e">
        <f>ROUND(DQ37*5,2)/5</f>
        <v>#VALUE!</v>
      </c>
      <c r="DS37" s="38" t="e">
        <f>ROUND(DQ37,4)</f>
        <v>#VALUE!</v>
      </c>
      <c r="DT37" s="33" t="e">
        <f>DS37*1000</f>
        <v>#VALUE!</v>
      </c>
      <c r="DU37" s="33" t="e">
        <f>DT37*(1+((EXP(((0.01374979547/2)*(((186.9696/DT37)+0.4862)*(1/DT37)))*(1+(0.8*((0.01374979547/2)*(((186.9696/DT37)+0.4862)*(1/DT37))))))-1)/(1+(((0.01374979547/2)*(((186.9696/DT37)+0.4862)*(1/DT37)))*(1+(1.6*((0.01374979547/2)*(((186.9696/DT37)+0.4862)*(1/DT37)))))*(((2*186.9696)+(0.4862+DT37))/(186.9696+(0.4862*DT37)))))))</f>
        <v>#VALUE!</v>
      </c>
      <c r="DW37" s="38" t="e">
        <f>ROUND(EXP(-((103.872/(((141.5/(DF37+131.5))*999.012)^2))+(0.2701/((141.5/(DF37+131.5))*999.012)))*(CV37-60)*(1+(0.8*((103.872/(((141.5/(DF37+131.5))*999.012)^2))+(0.2701/((141.5/(DF37+131.5))*999.012)))*(CV37-60)))),4)</f>
        <v>#VALUE!</v>
      </c>
      <c r="DX37" s="40" t="e">
        <f>ROUND(EXP(-(((103.872/DI37)+0.2701)*(1/DI37))*(CX37-60.0068749)*(1+(0.8*(((103.872/DI37)+0.2701)*(1/DI37))*((CX37-60.0068749)+0.01374979547)))),5)</f>
        <v>#VALUE!</v>
      </c>
      <c r="DY37" s="36" t="e">
        <f>ROUND(EXP(-((103.872/((DL37*999.012)^2))+(0.2701/(DL37*999.012)))*(CV37-60)*(1+(0.8*((103.872/((DL37*999.012)^2))+(0.2701/(DL37*999.012)))*(CV37-60)))),4)</f>
        <v>#VALUE!</v>
      </c>
      <c r="DZ37" s="40" t="e">
        <f>ROUND(EXP(-(((103.872/DO37)+0.2701)*(1/DO37))*(CX37-60.0068749)*(1+(0.8*(((103.872/DO37)+0.2701)*(1/DO37))*((CX37-60.0068749)+0.01374979547)))),5)</f>
        <v>#VALUE!</v>
      </c>
      <c r="EA37" s="36" t="e">
        <f>ROUND(EXP(-((186.9696/((DR37*1000)^2))+(0.4862/(DR37*1000)))*(DA37-15)*(1+(0.8*((186.9696/((DR37*1000)^2))+(0.4862/(DR37*1000)))*(DA37-15)))),4)</f>
        <v>#VALUE!</v>
      </c>
      <c r="EB37" s="40" t="e">
        <f>ROUND(EXP(-((((186.9696/DU37)+0.4862)*(1/DU37)))*(DC37-15.00367851)*(1+(0.8*((((186.9696/DU37)+0.4862)*(1/DU37)))*((DC37-15.00367851)+0.01374979547)))),5)</f>
        <v>#VALUE!</v>
      </c>
    </row>
    <row r="38" spans="1:132" ht="11.45" customHeight="1" x14ac:dyDescent="0.2">
      <c r="A38" s="346" t="str">
        <f t="shared" si="38"/>
        <v/>
      </c>
      <c r="B38" s="346"/>
      <c r="C38" s="346"/>
      <c r="D38" s="346"/>
      <c r="E38" s="346"/>
      <c r="F38" s="346"/>
      <c r="G38" s="346"/>
      <c r="H38" s="346"/>
      <c r="I38" s="318" t="str">
        <f t="shared" si="39"/>
        <v/>
      </c>
      <c r="J38" s="318"/>
      <c r="K38" s="318"/>
      <c r="L38" s="318"/>
      <c r="M38" s="318"/>
      <c r="N38" s="318"/>
      <c r="O38" s="318"/>
      <c r="P38" s="443" t="str">
        <f t="shared" ref="P38:P48" si="57">IF(P19="","",P19)</f>
        <v/>
      </c>
      <c r="Q38" s="443"/>
      <c r="R38" s="443"/>
      <c r="S38" s="443"/>
      <c r="T38" s="443"/>
      <c r="U38" s="308" t="str">
        <f t="shared" si="40"/>
        <v/>
      </c>
      <c r="V38" s="308"/>
      <c r="W38" s="308"/>
      <c r="X38" s="308"/>
      <c r="Y38" s="308"/>
      <c r="Z38" s="308"/>
      <c r="AA38" s="308"/>
      <c r="AB38" s="308"/>
      <c r="AC38" s="309"/>
      <c r="AD38" s="308"/>
      <c r="AE38" s="308"/>
      <c r="AF38" s="308"/>
      <c r="AG38" s="308"/>
      <c r="AH38" s="308"/>
      <c r="AI38" s="308"/>
      <c r="AJ38" s="308"/>
      <c r="AK38" s="308"/>
      <c r="AL38" s="308"/>
      <c r="AM38" s="308"/>
      <c r="AN38" s="308"/>
      <c r="AO38" s="308"/>
      <c r="AP38" s="308"/>
      <c r="AQ38" s="308"/>
      <c r="AR38" s="308"/>
      <c r="AS38" s="308"/>
      <c r="AT38" s="308"/>
      <c r="AU38" s="308"/>
      <c r="AV38" s="308"/>
      <c r="AW38" s="308"/>
      <c r="AX38" s="308"/>
      <c r="AY38" s="312"/>
      <c r="AZ38" s="312"/>
      <c r="BA38" s="312"/>
      <c r="BB38" s="312"/>
      <c r="BC38" s="312"/>
      <c r="BD38" s="311" t="str">
        <f t="shared" ref="BD38:BD48" si="58">IF(OR(AJ38="",AT38=""),"",AJ38-AT38)</f>
        <v/>
      </c>
      <c r="BE38" s="311"/>
      <c r="BF38" s="311"/>
      <c r="BG38" s="311"/>
      <c r="BH38" s="311"/>
      <c r="BI38" s="310" t="str">
        <f t="shared" si="41"/>
        <v/>
      </c>
      <c r="BJ38" s="310"/>
      <c r="BK38" s="310"/>
      <c r="BL38" s="310"/>
      <c r="BM38" s="310"/>
      <c r="BN38" s="311" t="str">
        <f t="shared" si="42"/>
        <v/>
      </c>
      <c r="BO38" s="311"/>
      <c r="BP38" s="311"/>
      <c r="BQ38" s="311"/>
      <c r="BR38" s="311"/>
      <c r="BS38" s="332" t="str">
        <f t="shared" si="43"/>
        <v/>
      </c>
      <c r="BT38" s="332"/>
      <c r="BU38" s="332"/>
      <c r="BV38" s="332"/>
      <c r="BW38" s="332"/>
      <c r="BX38" s="311" t="str">
        <f t="shared" si="44"/>
        <v/>
      </c>
      <c r="BY38" s="311"/>
      <c r="BZ38" s="311"/>
      <c r="CA38" s="311"/>
      <c r="CB38" s="311"/>
      <c r="CC38" s="311" t="str">
        <f t="shared" si="45"/>
        <v/>
      </c>
      <c r="CD38" s="311"/>
      <c r="CE38" s="311"/>
      <c r="CF38" s="311"/>
      <c r="CG38" s="311"/>
      <c r="CH38" s="55"/>
      <c r="CN38" s="1" t="s">
        <v>220</v>
      </c>
      <c r="CP38" s="87">
        <f t="shared" si="46"/>
        <v>0</v>
      </c>
      <c r="CR38" s="28" t="e">
        <f t="shared" si="47"/>
        <v>#VALUE!</v>
      </c>
      <c r="CS38" s="29" t="str">
        <f t="shared" si="48"/>
        <v/>
      </c>
      <c r="CU38" s="28">
        <f t="shared" si="49"/>
        <v>32</v>
      </c>
      <c r="CV38" s="31">
        <f t="shared" si="50"/>
        <v>32</v>
      </c>
      <c r="CW38" s="32">
        <f>ROUND(CU38,1)</f>
        <v>32</v>
      </c>
      <c r="CX38" s="32">
        <f t="shared" ref="CX38:CX48" si="59">(1.8*((((CW38-32)/1.8)-((-0.148759+((-0.267408+((1.08076+((1.269056+((-4.089591+((-1.871251+((7.438081+(-3.536296*(((CW38-32)/1.8)/630)))*(((CW38-32)/1.8)/630)))*(((CW38-32)/1.8)/630)))*(((CW38-32)/1.8)/630)))*(((CW38-32)/1.8)/630)))*(((CW38-32)/1.8)/630)))*(((CW38-32)/1.8)/630)))*(((CW38-32)/1.8)/630)))))+32</f>
        <v>32</v>
      </c>
      <c r="CY38" s="26"/>
      <c r="CZ38" s="28">
        <f t="shared" si="51"/>
        <v>0</v>
      </c>
      <c r="DA38" s="28">
        <f t="shared" si="52"/>
        <v>0</v>
      </c>
      <c r="DB38" s="34">
        <f>ROUND(CZ38,1)</f>
        <v>0</v>
      </c>
      <c r="DC38" s="32">
        <f t="shared" ref="DC38:DC48" si="60">DB38-((-0.148759+((-0.267408+((1.08076+((1.269056+((-4.089591+((-1.871251+((7.438081+(-3.536296*(DB38/630)))*(DB38/630)))*(DB38/630)))*(DB38/630)))*(DB38/630)))*(DB38/630)))*(DB38/630)))*(DB38/630))</f>
        <v>0</v>
      </c>
      <c r="DD38" s="35"/>
      <c r="DE38" s="28" t="e">
        <f t="shared" si="53"/>
        <v>#VALUE!</v>
      </c>
      <c r="DF38" s="31" t="e">
        <f t="shared" si="54"/>
        <v>#VALUE!</v>
      </c>
      <c r="DG38" s="32" t="e">
        <f>ROUND(DE38,1)</f>
        <v>#VALUE!</v>
      </c>
      <c r="DH38" s="32" t="e">
        <f t="shared" ref="DH38:DH48" si="61">(141.5/(DG38+131.5))*999.016</f>
        <v>#VALUE!</v>
      </c>
      <c r="DI38" s="32" t="e">
        <f t="shared" ref="DI38:DI48" si="62">DH38*(1+((EXP(((0.01374979547/2)*(((103.872/DH38)+0.2701)*(1/DH38)))*(1+(0.8*((0.01374979547/2)*(((103.872/DH38)+0.2701)*(1/DH38))))))-1)/(1+(((0.01374979547/2)*(((103.872/DH38)+0.2701)*(1/DH38)))*(1+(1.6*((0.01374979547/2)*(((103.872/DH38)+0.2701)*(1/DH38)))))*(((2*103.872)+(0.2701+DH38))/(103.872+(0.2701*DH38)))))))</f>
        <v>#VALUE!</v>
      </c>
      <c r="DK38" s="38" t="e">
        <f t="shared" si="55"/>
        <v>#VALUE!</v>
      </c>
      <c r="DL38" s="41" t="e">
        <f>ROUND(DK38*5,2)/5</f>
        <v>#VALUE!</v>
      </c>
      <c r="DM38" s="38" t="e">
        <f>ROUND(DK38,4)</f>
        <v>#VALUE!</v>
      </c>
      <c r="DN38" s="32" t="e">
        <f t="shared" ref="DN38:DN48" si="63">DM38*999.016</f>
        <v>#VALUE!</v>
      </c>
      <c r="DO38" s="32" t="e">
        <f>DN38*(1+((EXP(((0.01374979547/2)*(((103.872/DN38)+0.2701)*(1/DN38)))*(1+(0.8*((0.01374979547/2)*(((103.872/DN38)+0.2701)*(1/DN38))))))-1)/(1+(((0.01374979547/2)*(((103.872/DN38)+0.2701)*(1/DN38)))*(1+(1.6*((0.01374979547/2)*(((103.872/DN38)+0.2701)*(1/DN38)))))*(((2*103.872)+(0.2701+DN38))/(103.872+(0.2701*DN38)))))))</f>
        <v>#VALUE!</v>
      </c>
      <c r="DQ38" s="38" t="str">
        <f t="shared" si="56"/>
        <v/>
      </c>
      <c r="DR38" s="29" t="e">
        <f>ROUND(DQ38*5,2)/5</f>
        <v>#VALUE!</v>
      </c>
      <c r="DS38" s="38" t="e">
        <f>ROUND(DQ38,4)</f>
        <v>#VALUE!</v>
      </c>
      <c r="DT38" s="32" t="e">
        <f t="shared" ref="DT38:DT48" si="64">DS38*1000</f>
        <v>#VALUE!</v>
      </c>
      <c r="DU38" s="32" t="e">
        <f t="shared" ref="DU38:DU48" si="65">DT38*(1+((EXP(((0.01374979547/2)*(((186.9696/DT38)+0.4862)*(1/DT38)))*(1+(0.8*((0.01374979547/2)*(((186.9696/DT38)+0.4862)*(1/DT38))))))-1)/(1+(((0.01374979547/2)*(((186.9696/DT38)+0.4862)*(1/DT38)))*(1+(1.6*((0.01374979547/2)*(((186.9696/DT38)+0.4862)*(1/DT38)))))*(((2*186.9696)+(0.4862+DT38))/(186.9696+(0.4862*DT38)))))))</f>
        <v>#VALUE!</v>
      </c>
      <c r="DW38" s="38" t="e">
        <f>ROUND(EXP(-((103.872/(((141.5/(DF38+131.5))*999.012)^2))+(0.2701/((141.5/(DF38+131.5))*999.012)))*(CV38-60)*(1+(0.8*((103.872/(((141.5/(DF38+131.5))*999.012)^2))+(0.2701/((141.5/(DF38+131.5))*999.012)))*(CV38-60)))),4)</f>
        <v>#VALUE!</v>
      </c>
      <c r="DX38" s="42" t="e">
        <f>ROUND(EXP(-(((103.872/DI38)+0.2701)*(1/DI38))*(CX38-60.0068749)*(1+(0.8*(((103.872/DI38)+0.2701)*(1/DI38))*((CX38-60.0068749)+0.01374979547)))),5)</f>
        <v>#VALUE!</v>
      </c>
      <c r="DY38" s="38" t="e">
        <f>ROUND(EXP(-((103.872/((DL38*999.012)^2))+(0.2701/(DL38*999.012)))*(CV38-60)*(1+(0.8*((103.872/((DL38*999.012)^2))+(0.2701/(DL38*999.012)))*(CV38-60)))),4)</f>
        <v>#VALUE!</v>
      </c>
      <c r="DZ38" s="42" t="e">
        <f>ROUND(EXP(-(((103.872/DO38)+0.2701)*(1/DO38))*(CX38-60.0068749)*(1+(0.8*(((103.872/DO38)+0.2701)*(1/DO38))*((CX38-60.0068749)+0.01374979547)))),5)</f>
        <v>#VALUE!</v>
      </c>
      <c r="EA38" s="38" t="e">
        <f>ROUND(EXP(-((186.9696/((DR38*1000)^2))+(0.4862/(DR38*1000)))*(DA38-15)*(1+(0.8*((186.9696/((DR38*1000)^2))+(0.4862/(DR38*1000)))*(DA38-15)))),4)</f>
        <v>#VALUE!</v>
      </c>
      <c r="EB38" s="42" t="e">
        <f>ROUND(EXP(-((((186.9696/DU38)+0.4862)*(1/DU38)))*(DC38-15.00367851)*(1+(0.8*((((186.9696/DU38)+0.4862)*(1/DU38)))*((DC38-15.00367851)+0.01374979547)))),5)</f>
        <v>#VALUE!</v>
      </c>
    </row>
    <row r="39" spans="1:132" ht="11.45" customHeight="1" x14ac:dyDescent="0.2">
      <c r="A39" s="346" t="str">
        <f t="shared" si="38"/>
        <v/>
      </c>
      <c r="B39" s="346"/>
      <c r="C39" s="346"/>
      <c r="D39" s="346"/>
      <c r="E39" s="346"/>
      <c r="F39" s="346"/>
      <c r="G39" s="346"/>
      <c r="H39" s="346"/>
      <c r="I39" s="318" t="str">
        <f t="shared" si="39"/>
        <v/>
      </c>
      <c r="J39" s="318"/>
      <c r="K39" s="318"/>
      <c r="L39" s="318"/>
      <c r="M39" s="318"/>
      <c r="N39" s="318"/>
      <c r="O39" s="318"/>
      <c r="P39" s="443" t="str">
        <f t="shared" si="57"/>
        <v/>
      </c>
      <c r="Q39" s="443"/>
      <c r="R39" s="443"/>
      <c r="S39" s="443"/>
      <c r="T39" s="443"/>
      <c r="U39" s="308" t="str">
        <f t="shared" si="40"/>
        <v/>
      </c>
      <c r="V39" s="308"/>
      <c r="W39" s="308"/>
      <c r="X39" s="308"/>
      <c r="Y39" s="308"/>
      <c r="Z39" s="308"/>
      <c r="AA39" s="308"/>
      <c r="AB39" s="308"/>
      <c r="AC39" s="309"/>
      <c r="AD39" s="308"/>
      <c r="AE39" s="308"/>
      <c r="AF39" s="308"/>
      <c r="AG39" s="308"/>
      <c r="AH39" s="308"/>
      <c r="AI39" s="308"/>
      <c r="AJ39" s="308"/>
      <c r="AK39" s="308"/>
      <c r="AL39" s="308"/>
      <c r="AM39" s="308"/>
      <c r="AN39" s="308"/>
      <c r="AO39" s="308"/>
      <c r="AP39" s="308"/>
      <c r="AQ39" s="308"/>
      <c r="AR39" s="308"/>
      <c r="AS39" s="308"/>
      <c r="AT39" s="308"/>
      <c r="AU39" s="308"/>
      <c r="AV39" s="308"/>
      <c r="AW39" s="308"/>
      <c r="AX39" s="308"/>
      <c r="AY39" s="312"/>
      <c r="AZ39" s="312"/>
      <c r="BA39" s="312"/>
      <c r="BB39" s="312"/>
      <c r="BC39" s="312"/>
      <c r="BD39" s="311" t="str">
        <f t="shared" si="58"/>
        <v/>
      </c>
      <c r="BE39" s="311"/>
      <c r="BF39" s="311"/>
      <c r="BG39" s="311"/>
      <c r="BH39" s="311"/>
      <c r="BI39" s="310" t="str">
        <f t="shared" si="41"/>
        <v/>
      </c>
      <c r="BJ39" s="310"/>
      <c r="BK39" s="310"/>
      <c r="BL39" s="310"/>
      <c r="BM39" s="310"/>
      <c r="BN39" s="311" t="str">
        <f t="shared" si="42"/>
        <v/>
      </c>
      <c r="BO39" s="311"/>
      <c r="BP39" s="311"/>
      <c r="BQ39" s="311"/>
      <c r="BR39" s="311"/>
      <c r="BS39" s="332" t="str">
        <f t="shared" si="43"/>
        <v/>
      </c>
      <c r="BT39" s="332"/>
      <c r="BU39" s="332"/>
      <c r="BV39" s="332"/>
      <c r="BW39" s="332"/>
      <c r="BX39" s="311" t="str">
        <f t="shared" si="44"/>
        <v/>
      </c>
      <c r="BY39" s="311"/>
      <c r="BZ39" s="311"/>
      <c r="CA39" s="311"/>
      <c r="CB39" s="311"/>
      <c r="CC39" s="311" t="str">
        <f t="shared" si="45"/>
        <v/>
      </c>
      <c r="CD39" s="311"/>
      <c r="CE39" s="311"/>
      <c r="CF39" s="311"/>
      <c r="CG39" s="311"/>
      <c r="CH39" s="55"/>
      <c r="CI39" s="323" t="s">
        <v>176</v>
      </c>
      <c r="CJ39" s="324"/>
      <c r="CK39" s="324"/>
      <c r="CL39" s="325"/>
      <c r="CN39" s="107" t="s">
        <v>56</v>
      </c>
      <c r="CP39" s="87">
        <f t="shared" si="46"/>
        <v>0</v>
      </c>
      <c r="CR39" s="28" t="e">
        <f t="shared" si="47"/>
        <v>#VALUE!</v>
      </c>
      <c r="CS39" s="29" t="str">
        <f t="shared" si="48"/>
        <v/>
      </c>
      <c r="CU39" s="28">
        <f t="shared" si="49"/>
        <v>32</v>
      </c>
      <c r="CV39" s="31">
        <f>ROUND(CU39*2,0)/2</f>
        <v>32</v>
      </c>
      <c r="CW39" s="32">
        <f t="shared" ref="CW39:CW47" si="66">ROUND(CU39,1)</f>
        <v>32</v>
      </c>
      <c r="CX39" s="32">
        <f t="shared" si="59"/>
        <v>32</v>
      </c>
      <c r="CY39" s="26"/>
      <c r="CZ39" s="28">
        <f t="shared" si="51"/>
        <v>0</v>
      </c>
      <c r="DA39" s="28">
        <f t="shared" si="52"/>
        <v>0</v>
      </c>
      <c r="DB39" s="34">
        <f t="shared" ref="DB39:DB47" si="67">ROUND(CZ39,1)</f>
        <v>0</v>
      </c>
      <c r="DC39" s="32">
        <f t="shared" si="60"/>
        <v>0</v>
      </c>
      <c r="DD39" s="35"/>
      <c r="DE39" s="28" t="e">
        <f t="shared" si="53"/>
        <v>#VALUE!</v>
      </c>
      <c r="DF39" s="31" t="e">
        <f t="shared" si="54"/>
        <v>#VALUE!</v>
      </c>
      <c r="DG39" s="32" t="e">
        <f t="shared" ref="DG39:DG47" si="68">ROUND(DE39,1)</f>
        <v>#VALUE!</v>
      </c>
      <c r="DH39" s="32" t="e">
        <f t="shared" si="61"/>
        <v>#VALUE!</v>
      </c>
      <c r="DI39" s="32" t="e">
        <f t="shared" si="62"/>
        <v>#VALUE!</v>
      </c>
      <c r="DK39" s="38" t="e">
        <f t="shared" si="55"/>
        <v>#VALUE!</v>
      </c>
      <c r="DL39" s="41" t="e">
        <f t="shared" ref="DL39:DL47" si="69">ROUND(DK39*5,2)/5</f>
        <v>#VALUE!</v>
      </c>
      <c r="DM39" s="38" t="e">
        <f t="shared" ref="DM39:DM47" si="70">ROUND(DK39,4)</f>
        <v>#VALUE!</v>
      </c>
      <c r="DN39" s="32" t="e">
        <f t="shared" si="63"/>
        <v>#VALUE!</v>
      </c>
      <c r="DO39" s="32" t="e">
        <f t="shared" ref="DO39:DO47" si="71">DN39*(1+((EXP(((0.01374979547/2)*(((103.872/DN39)+0.2701)*(1/DN39)))*(1+(0.8*((0.01374979547/2)*(((103.872/DN39)+0.2701)*(1/DN39))))))-1)/(1+(((0.01374979547/2)*(((103.872/DN39)+0.2701)*(1/DN39)))*(1+(1.6*((0.01374979547/2)*(((103.872/DN39)+0.2701)*(1/DN39)))))*(((2*103.872)+(0.2701+DN39))/(103.872+(0.2701*DN39)))))))</f>
        <v>#VALUE!</v>
      </c>
      <c r="DQ39" s="38" t="str">
        <f t="shared" si="56"/>
        <v/>
      </c>
      <c r="DR39" s="29" t="e">
        <f t="shared" ref="DR39:DR47" si="72">ROUND(DQ39*5,2)/5</f>
        <v>#VALUE!</v>
      </c>
      <c r="DS39" s="38" t="e">
        <f t="shared" ref="DS39:DS47" si="73">ROUND(DQ39,4)</f>
        <v>#VALUE!</v>
      </c>
      <c r="DT39" s="32" t="e">
        <f t="shared" si="64"/>
        <v>#VALUE!</v>
      </c>
      <c r="DU39" s="32" t="e">
        <f t="shared" si="65"/>
        <v>#VALUE!</v>
      </c>
      <c r="DW39" s="38" t="e">
        <f t="shared" ref="DW39:DW47" si="74">ROUND(EXP(-((103.872/(((141.5/(DF39+131.5))*999.012)^2))+(0.2701/((141.5/(DF39+131.5))*999.012)))*(CV39-60)*(1+(0.8*((103.872/(((141.5/(DF39+131.5))*999.012)^2))+(0.2701/((141.5/(DF39+131.5))*999.012)))*(CV39-60)))),4)</f>
        <v>#VALUE!</v>
      </c>
      <c r="DX39" s="42" t="e">
        <f t="shared" ref="DX39:DX47" si="75">ROUND(EXP(-(((103.872/DI39)+0.2701)*(1/DI39))*(CX39-60.0068749)*(1+(0.8*(((103.872/DI39)+0.2701)*(1/DI39))*((CX39-60.0068749)+0.01374979547)))),5)</f>
        <v>#VALUE!</v>
      </c>
      <c r="DY39" s="38" t="e">
        <f t="shared" ref="DY39:DY47" si="76">ROUND(EXP(-((103.872/((DL39*999.012)^2))+(0.2701/(DL39*999.012)))*(CV39-60)*(1+(0.8*((103.872/((DL39*999.012)^2))+(0.2701/(DL39*999.012)))*(CV39-60)))),4)</f>
        <v>#VALUE!</v>
      </c>
      <c r="DZ39" s="42" t="e">
        <f t="shared" ref="DZ39:DZ47" si="77">ROUND(EXP(-(((103.872/DO39)+0.2701)*(1/DO39))*(CX39-60.0068749)*(1+(0.8*(((103.872/DO39)+0.2701)*(1/DO39))*((CX39-60.0068749)+0.01374979547)))),5)</f>
        <v>#VALUE!</v>
      </c>
      <c r="EA39" s="38" t="e">
        <f t="shared" ref="EA39:EA47" si="78">ROUND(EXP(-((186.9696/((DR39*1000)^2))+(0.4862/(DR39*1000)))*(DA39-15)*(1+(0.8*((186.9696/((DR39*1000)^2))+(0.4862/(DR39*1000)))*(DA39-15)))),4)</f>
        <v>#VALUE!</v>
      </c>
      <c r="EB39" s="42" t="e">
        <f t="shared" ref="EB39:EB47" si="79">ROUND(EXP(-((((186.9696/DU39)+0.4862)*(1/DU39)))*(DC39-15.00367851)*(1+(0.8*((((186.9696/DU39)+0.4862)*(1/DU39)))*((DC39-15.00367851)+0.01374979547)))),5)</f>
        <v>#VALUE!</v>
      </c>
    </row>
    <row r="40" spans="1:132" ht="11.45" customHeight="1" x14ac:dyDescent="0.2">
      <c r="A40" s="346" t="str">
        <f t="shared" si="38"/>
        <v/>
      </c>
      <c r="B40" s="346"/>
      <c r="C40" s="346"/>
      <c r="D40" s="346"/>
      <c r="E40" s="346"/>
      <c r="F40" s="346"/>
      <c r="G40" s="346"/>
      <c r="H40" s="346"/>
      <c r="I40" s="318" t="str">
        <f t="shared" si="39"/>
        <v/>
      </c>
      <c r="J40" s="318"/>
      <c r="K40" s="318"/>
      <c r="L40" s="318"/>
      <c r="M40" s="318"/>
      <c r="N40" s="318"/>
      <c r="O40" s="318"/>
      <c r="P40" s="443" t="str">
        <f t="shared" si="57"/>
        <v/>
      </c>
      <c r="Q40" s="443"/>
      <c r="R40" s="443"/>
      <c r="S40" s="443"/>
      <c r="T40" s="443"/>
      <c r="U40" s="308" t="str">
        <f t="shared" si="40"/>
        <v/>
      </c>
      <c r="V40" s="308"/>
      <c r="W40" s="308"/>
      <c r="X40" s="308"/>
      <c r="Y40" s="308"/>
      <c r="Z40" s="308"/>
      <c r="AA40" s="308"/>
      <c r="AB40" s="308"/>
      <c r="AC40" s="309"/>
      <c r="AD40" s="308"/>
      <c r="AE40" s="308"/>
      <c r="AF40" s="308"/>
      <c r="AG40" s="308"/>
      <c r="AH40" s="308"/>
      <c r="AI40" s="308"/>
      <c r="AJ40" s="308"/>
      <c r="AK40" s="308"/>
      <c r="AL40" s="308"/>
      <c r="AM40" s="308"/>
      <c r="AN40" s="308"/>
      <c r="AO40" s="308"/>
      <c r="AP40" s="308"/>
      <c r="AQ40" s="308"/>
      <c r="AR40" s="308"/>
      <c r="AS40" s="308"/>
      <c r="AT40" s="308"/>
      <c r="AU40" s="308"/>
      <c r="AV40" s="308"/>
      <c r="AW40" s="308"/>
      <c r="AX40" s="308"/>
      <c r="AY40" s="312"/>
      <c r="AZ40" s="312"/>
      <c r="BA40" s="312"/>
      <c r="BB40" s="312"/>
      <c r="BC40" s="312"/>
      <c r="BD40" s="311" t="str">
        <f t="shared" si="58"/>
        <v/>
      </c>
      <c r="BE40" s="311"/>
      <c r="BF40" s="311"/>
      <c r="BG40" s="311"/>
      <c r="BH40" s="311"/>
      <c r="BI40" s="310" t="str">
        <f t="shared" si="41"/>
        <v/>
      </c>
      <c r="BJ40" s="310"/>
      <c r="BK40" s="310"/>
      <c r="BL40" s="310"/>
      <c r="BM40" s="310"/>
      <c r="BN40" s="311" t="str">
        <f t="shared" si="42"/>
        <v/>
      </c>
      <c r="BO40" s="311"/>
      <c r="BP40" s="311"/>
      <c r="BQ40" s="311"/>
      <c r="BR40" s="311"/>
      <c r="BS40" s="332" t="str">
        <f t="shared" si="43"/>
        <v/>
      </c>
      <c r="BT40" s="332"/>
      <c r="BU40" s="332"/>
      <c r="BV40" s="332"/>
      <c r="BW40" s="332"/>
      <c r="BX40" s="311" t="str">
        <f t="shared" si="44"/>
        <v/>
      </c>
      <c r="BY40" s="311"/>
      <c r="BZ40" s="311"/>
      <c r="CA40" s="311"/>
      <c r="CB40" s="311"/>
      <c r="CC40" s="311" t="str">
        <f t="shared" si="45"/>
        <v/>
      </c>
      <c r="CD40" s="311"/>
      <c r="CE40" s="311"/>
      <c r="CF40" s="311"/>
      <c r="CG40" s="311"/>
      <c r="CH40" s="55"/>
      <c r="CI40" s="326"/>
      <c r="CJ40" s="327"/>
      <c r="CK40" s="327"/>
      <c r="CL40" s="328"/>
      <c r="CN40" s="2" t="s">
        <v>57</v>
      </c>
      <c r="CP40" s="87">
        <f t="shared" si="46"/>
        <v>0</v>
      </c>
      <c r="CR40" s="28" t="e">
        <f t="shared" si="47"/>
        <v>#VALUE!</v>
      </c>
      <c r="CS40" s="29" t="str">
        <f t="shared" si="48"/>
        <v/>
      </c>
      <c r="CU40" s="28">
        <f t="shared" si="49"/>
        <v>32</v>
      </c>
      <c r="CV40" s="31">
        <f t="shared" si="50"/>
        <v>32</v>
      </c>
      <c r="CW40" s="32">
        <f>ROUND(CU40,1)</f>
        <v>32</v>
      </c>
      <c r="CX40" s="32">
        <f>(1.8*((((CW40-32)/1.8)-((-0.148759+((-0.267408+((1.08076+((1.269056+((-4.089591+((-1.871251+((7.438081+(-3.536296*(((CW40-32)/1.8)/630)))*(((CW40-32)/1.8)/630)))*(((CW40-32)/1.8)/630)))*(((CW40-32)/1.8)/630)))*(((CW40-32)/1.8)/630)))*(((CW40-32)/1.8)/630)))*(((CW40-32)/1.8)/630)))*(((CW40-32)/1.8)/630)))))+32</f>
        <v>32</v>
      </c>
      <c r="CY40" s="26"/>
      <c r="CZ40" s="28">
        <f t="shared" si="51"/>
        <v>0</v>
      </c>
      <c r="DA40" s="28">
        <f t="shared" si="52"/>
        <v>0</v>
      </c>
      <c r="DB40" s="34">
        <f t="shared" si="67"/>
        <v>0</v>
      </c>
      <c r="DC40" s="32">
        <f t="shared" si="60"/>
        <v>0</v>
      </c>
      <c r="DD40" s="35"/>
      <c r="DE40" s="28" t="e">
        <f t="shared" si="53"/>
        <v>#VALUE!</v>
      </c>
      <c r="DF40" s="31" t="e">
        <f t="shared" si="54"/>
        <v>#VALUE!</v>
      </c>
      <c r="DG40" s="32" t="e">
        <f t="shared" si="68"/>
        <v>#VALUE!</v>
      </c>
      <c r="DH40" s="32" t="e">
        <f t="shared" si="61"/>
        <v>#VALUE!</v>
      </c>
      <c r="DI40" s="32" t="e">
        <f t="shared" si="62"/>
        <v>#VALUE!</v>
      </c>
      <c r="DK40" s="38" t="e">
        <f t="shared" si="55"/>
        <v>#VALUE!</v>
      </c>
      <c r="DL40" s="41" t="e">
        <f t="shared" si="69"/>
        <v>#VALUE!</v>
      </c>
      <c r="DM40" s="38" t="e">
        <f t="shared" si="70"/>
        <v>#VALUE!</v>
      </c>
      <c r="DN40" s="32" t="e">
        <f t="shared" si="63"/>
        <v>#VALUE!</v>
      </c>
      <c r="DO40" s="32" t="e">
        <f t="shared" si="71"/>
        <v>#VALUE!</v>
      </c>
      <c r="DQ40" s="38" t="str">
        <f t="shared" si="56"/>
        <v/>
      </c>
      <c r="DR40" s="29" t="e">
        <f t="shared" si="72"/>
        <v>#VALUE!</v>
      </c>
      <c r="DS40" s="38" t="e">
        <f t="shared" si="73"/>
        <v>#VALUE!</v>
      </c>
      <c r="DT40" s="32" t="e">
        <f t="shared" si="64"/>
        <v>#VALUE!</v>
      </c>
      <c r="DU40" s="32" t="e">
        <f t="shared" si="65"/>
        <v>#VALUE!</v>
      </c>
      <c r="DW40" s="38" t="e">
        <f t="shared" si="74"/>
        <v>#VALUE!</v>
      </c>
      <c r="DX40" s="42" t="e">
        <f t="shared" si="75"/>
        <v>#VALUE!</v>
      </c>
      <c r="DY40" s="38" t="e">
        <f t="shared" si="76"/>
        <v>#VALUE!</v>
      </c>
      <c r="DZ40" s="42" t="e">
        <f t="shared" si="77"/>
        <v>#VALUE!</v>
      </c>
      <c r="EA40" s="38" t="e">
        <f t="shared" si="78"/>
        <v>#VALUE!</v>
      </c>
      <c r="EB40" s="42" t="e">
        <f t="shared" si="79"/>
        <v>#VALUE!</v>
      </c>
    </row>
    <row r="41" spans="1:132" ht="11.45" customHeight="1" x14ac:dyDescent="0.2">
      <c r="A41" s="346" t="str">
        <f t="shared" si="38"/>
        <v/>
      </c>
      <c r="B41" s="346"/>
      <c r="C41" s="346"/>
      <c r="D41" s="346"/>
      <c r="E41" s="346"/>
      <c r="F41" s="346"/>
      <c r="G41" s="346"/>
      <c r="H41" s="346"/>
      <c r="I41" s="318" t="str">
        <f t="shared" si="39"/>
        <v/>
      </c>
      <c r="J41" s="318"/>
      <c r="K41" s="318"/>
      <c r="L41" s="318"/>
      <c r="M41" s="318"/>
      <c r="N41" s="318"/>
      <c r="O41" s="318"/>
      <c r="P41" s="443" t="str">
        <f t="shared" si="57"/>
        <v/>
      </c>
      <c r="Q41" s="443"/>
      <c r="R41" s="443"/>
      <c r="S41" s="443"/>
      <c r="T41" s="443"/>
      <c r="U41" s="308" t="str">
        <f t="shared" si="40"/>
        <v/>
      </c>
      <c r="V41" s="308"/>
      <c r="W41" s="308"/>
      <c r="X41" s="308"/>
      <c r="Y41" s="308"/>
      <c r="Z41" s="308"/>
      <c r="AA41" s="308"/>
      <c r="AB41" s="308"/>
      <c r="AC41" s="309"/>
      <c r="AD41" s="308"/>
      <c r="AE41" s="308"/>
      <c r="AF41" s="308"/>
      <c r="AG41" s="308"/>
      <c r="AH41" s="308"/>
      <c r="AI41" s="308"/>
      <c r="AJ41" s="308"/>
      <c r="AK41" s="308"/>
      <c r="AL41" s="308"/>
      <c r="AM41" s="308"/>
      <c r="AN41" s="308"/>
      <c r="AO41" s="308"/>
      <c r="AP41" s="308"/>
      <c r="AQ41" s="308"/>
      <c r="AR41" s="308"/>
      <c r="AS41" s="308"/>
      <c r="AT41" s="308"/>
      <c r="AU41" s="308"/>
      <c r="AV41" s="308"/>
      <c r="AW41" s="308"/>
      <c r="AX41" s="308"/>
      <c r="AY41" s="312"/>
      <c r="AZ41" s="312"/>
      <c r="BA41" s="312"/>
      <c r="BB41" s="312"/>
      <c r="BC41" s="312"/>
      <c r="BD41" s="311" t="str">
        <f t="shared" si="58"/>
        <v/>
      </c>
      <c r="BE41" s="311"/>
      <c r="BF41" s="311"/>
      <c r="BG41" s="311"/>
      <c r="BH41" s="311"/>
      <c r="BI41" s="310" t="str">
        <f t="shared" si="41"/>
        <v/>
      </c>
      <c r="BJ41" s="310"/>
      <c r="BK41" s="310"/>
      <c r="BL41" s="310"/>
      <c r="BM41" s="310"/>
      <c r="BN41" s="311" t="str">
        <f t="shared" si="42"/>
        <v/>
      </c>
      <c r="BO41" s="311"/>
      <c r="BP41" s="311"/>
      <c r="BQ41" s="311"/>
      <c r="BR41" s="311"/>
      <c r="BS41" s="332" t="str">
        <f t="shared" si="43"/>
        <v/>
      </c>
      <c r="BT41" s="332"/>
      <c r="BU41" s="332"/>
      <c r="BV41" s="332"/>
      <c r="BW41" s="332"/>
      <c r="BX41" s="311" t="str">
        <f t="shared" si="44"/>
        <v/>
      </c>
      <c r="BY41" s="311"/>
      <c r="BZ41" s="311"/>
      <c r="CA41" s="311"/>
      <c r="CB41" s="311"/>
      <c r="CC41" s="311" t="str">
        <f t="shared" si="45"/>
        <v/>
      </c>
      <c r="CD41" s="311"/>
      <c r="CE41" s="311"/>
      <c r="CF41" s="311"/>
      <c r="CG41" s="311"/>
      <c r="CH41" s="55"/>
      <c r="CI41" s="108" t="s">
        <v>170</v>
      </c>
      <c r="CJ41" s="109"/>
      <c r="CK41" s="43" t="e">
        <f>AVERAGE(AY37:BC48)</f>
        <v>#DIV/0!</v>
      </c>
      <c r="CL41" s="21" t="s">
        <v>174</v>
      </c>
      <c r="CP41" s="87">
        <f t="shared" si="46"/>
        <v>0</v>
      </c>
      <c r="CR41" s="28" t="e">
        <f t="shared" si="47"/>
        <v>#VALUE!</v>
      </c>
      <c r="CS41" s="29" t="str">
        <f t="shared" si="48"/>
        <v/>
      </c>
      <c r="CU41" s="28">
        <f t="shared" si="49"/>
        <v>32</v>
      </c>
      <c r="CV41" s="31">
        <f t="shared" si="50"/>
        <v>32</v>
      </c>
      <c r="CW41" s="32">
        <f>ROUND(CU41,1)</f>
        <v>32</v>
      </c>
      <c r="CX41" s="32">
        <f t="shared" si="59"/>
        <v>32</v>
      </c>
      <c r="CY41" s="26"/>
      <c r="CZ41" s="28">
        <f t="shared" si="51"/>
        <v>0</v>
      </c>
      <c r="DA41" s="28">
        <f t="shared" si="52"/>
        <v>0</v>
      </c>
      <c r="DB41" s="34">
        <f t="shared" si="67"/>
        <v>0</v>
      </c>
      <c r="DC41" s="32">
        <f t="shared" si="60"/>
        <v>0</v>
      </c>
      <c r="DD41" s="35"/>
      <c r="DE41" s="28" t="e">
        <f t="shared" si="53"/>
        <v>#VALUE!</v>
      </c>
      <c r="DF41" s="31" t="e">
        <f>ROUND(DE41*2,0)/2</f>
        <v>#VALUE!</v>
      </c>
      <c r="DG41" s="32" t="e">
        <f t="shared" si="68"/>
        <v>#VALUE!</v>
      </c>
      <c r="DH41" s="32" t="e">
        <f t="shared" si="61"/>
        <v>#VALUE!</v>
      </c>
      <c r="DI41" s="32" t="e">
        <f t="shared" si="62"/>
        <v>#VALUE!</v>
      </c>
      <c r="DK41" s="38" t="e">
        <f t="shared" si="55"/>
        <v>#VALUE!</v>
      </c>
      <c r="DL41" s="41" t="e">
        <f t="shared" si="69"/>
        <v>#VALUE!</v>
      </c>
      <c r="DM41" s="38" t="e">
        <f t="shared" si="70"/>
        <v>#VALUE!</v>
      </c>
      <c r="DN41" s="32" t="e">
        <f t="shared" si="63"/>
        <v>#VALUE!</v>
      </c>
      <c r="DO41" s="32" t="e">
        <f t="shared" si="71"/>
        <v>#VALUE!</v>
      </c>
      <c r="DQ41" s="38" t="str">
        <f t="shared" si="56"/>
        <v/>
      </c>
      <c r="DR41" s="29" t="e">
        <f t="shared" si="72"/>
        <v>#VALUE!</v>
      </c>
      <c r="DS41" s="38" t="e">
        <f t="shared" si="73"/>
        <v>#VALUE!</v>
      </c>
      <c r="DT41" s="32" t="e">
        <f t="shared" si="64"/>
        <v>#VALUE!</v>
      </c>
      <c r="DU41" s="32" t="e">
        <f t="shared" si="65"/>
        <v>#VALUE!</v>
      </c>
      <c r="DW41" s="38" t="e">
        <f t="shared" si="74"/>
        <v>#VALUE!</v>
      </c>
      <c r="DX41" s="42" t="e">
        <f t="shared" si="75"/>
        <v>#VALUE!</v>
      </c>
      <c r="DY41" s="38" t="e">
        <f t="shared" si="76"/>
        <v>#VALUE!</v>
      </c>
      <c r="DZ41" s="42" t="e">
        <f t="shared" si="77"/>
        <v>#VALUE!</v>
      </c>
      <c r="EA41" s="38" t="e">
        <f t="shared" si="78"/>
        <v>#VALUE!</v>
      </c>
      <c r="EB41" s="42" t="e">
        <f t="shared" si="79"/>
        <v>#VALUE!</v>
      </c>
    </row>
    <row r="42" spans="1:132" ht="11.45" customHeight="1" x14ac:dyDescent="0.2">
      <c r="A42" s="346" t="str">
        <f t="shared" si="38"/>
        <v/>
      </c>
      <c r="B42" s="346"/>
      <c r="C42" s="346"/>
      <c r="D42" s="346"/>
      <c r="E42" s="346"/>
      <c r="F42" s="346"/>
      <c r="G42" s="346"/>
      <c r="H42" s="346"/>
      <c r="I42" s="318" t="str">
        <f t="shared" si="39"/>
        <v/>
      </c>
      <c r="J42" s="318"/>
      <c r="K42" s="318"/>
      <c r="L42" s="318"/>
      <c r="M42" s="318"/>
      <c r="N42" s="318"/>
      <c r="O42" s="318"/>
      <c r="P42" s="443" t="str">
        <f t="shared" si="57"/>
        <v/>
      </c>
      <c r="Q42" s="443"/>
      <c r="R42" s="443"/>
      <c r="S42" s="443"/>
      <c r="T42" s="443"/>
      <c r="U42" s="308" t="str">
        <f t="shared" si="40"/>
        <v/>
      </c>
      <c r="V42" s="308"/>
      <c r="W42" s="308"/>
      <c r="X42" s="308"/>
      <c r="Y42" s="308"/>
      <c r="Z42" s="308"/>
      <c r="AA42" s="308"/>
      <c r="AB42" s="308"/>
      <c r="AC42" s="309"/>
      <c r="AD42" s="308"/>
      <c r="AE42" s="308"/>
      <c r="AF42" s="308"/>
      <c r="AG42" s="308"/>
      <c r="AH42" s="308"/>
      <c r="AI42" s="308"/>
      <c r="AJ42" s="308"/>
      <c r="AK42" s="308"/>
      <c r="AL42" s="308"/>
      <c r="AM42" s="308"/>
      <c r="AN42" s="308"/>
      <c r="AO42" s="308"/>
      <c r="AP42" s="308"/>
      <c r="AQ42" s="308"/>
      <c r="AR42" s="308"/>
      <c r="AS42" s="308"/>
      <c r="AT42" s="308"/>
      <c r="AU42" s="308"/>
      <c r="AV42" s="308"/>
      <c r="AW42" s="308"/>
      <c r="AX42" s="308"/>
      <c r="AY42" s="312"/>
      <c r="AZ42" s="312"/>
      <c r="BA42" s="312"/>
      <c r="BB42" s="312"/>
      <c r="BC42" s="312"/>
      <c r="BD42" s="311" t="str">
        <f t="shared" si="58"/>
        <v/>
      </c>
      <c r="BE42" s="311"/>
      <c r="BF42" s="311"/>
      <c r="BG42" s="311"/>
      <c r="BH42" s="311"/>
      <c r="BI42" s="310" t="str">
        <f t="shared" si="41"/>
        <v/>
      </c>
      <c r="BJ42" s="310"/>
      <c r="BK42" s="310"/>
      <c r="BL42" s="310"/>
      <c r="BM42" s="310"/>
      <c r="BN42" s="311" t="str">
        <f t="shared" si="42"/>
        <v/>
      </c>
      <c r="BO42" s="311"/>
      <c r="BP42" s="311"/>
      <c r="BQ42" s="311"/>
      <c r="BR42" s="311"/>
      <c r="BS42" s="332" t="str">
        <f t="shared" si="43"/>
        <v/>
      </c>
      <c r="BT42" s="332"/>
      <c r="BU42" s="332"/>
      <c r="BV42" s="332"/>
      <c r="BW42" s="332"/>
      <c r="BX42" s="311" t="str">
        <f t="shared" si="44"/>
        <v/>
      </c>
      <c r="BY42" s="311"/>
      <c r="BZ42" s="311"/>
      <c r="CA42" s="311"/>
      <c r="CB42" s="311"/>
      <c r="CC42" s="311" t="str">
        <f t="shared" si="45"/>
        <v/>
      </c>
      <c r="CD42" s="311"/>
      <c r="CE42" s="311"/>
      <c r="CF42" s="311"/>
      <c r="CG42" s="311"/>
      <c r="CH42" s="55"/>
      <c r="CI42" s="9" t="s">
        <v>171</v>
      </c>
      <c r="CJ42" s="10"/>
      <c r="CK42" s="44" t="e">
        <f>SUM(CP37:CP48)/BD49</f>
        <v>#VALUE!</v>
      </c>
      <c r="CL42" s="11" t="s">
        <v>174</v>
      </c>
      <c r="CP42" s="87">
        <f t="shared" si="46"/>
        <v>0</v>
      </c>
      <c r="CR42" s="28" t="e">
        <f t="shared" si="47"/>
        <v>#VALUE!</v>
      </c>
      <c r="CS42" s="29" t="str">
        <f t="shared" si="48"/>
        <v/>
      </c>
      <c r="CU42" s="28">
        <f t="shared" si="49"/>
        <v>32</v>
      </c>
      <c r="CV42" s="31">
        <f t="shared" si="50"/>
        <v>32</v>
      </c>
      <c r="CW42" s="32">
        <f>ROUND(CU42,1)</f>
        <v>32</v>
      </c>
      <c r="CX42" s="32">
        <f t="shared" si="59"/>
        <v>32</v>
      </c>
      <c r="CY42" s="26"/>
      <c r="CZ42" s="28">
        <f t="shared" si="51"/>
        <v>0</v>
      </c>
      <c r="DA42" s="28">
        <f t="shared" si="52"/>
        <v>0</v>
      </c>
      <c r="DB42" s="34">
        <f t="shared" si="67"/>
        <v>0</v>
      </c>
      <c r="DC42" s="32">
        <f t="shared" si="60"/>
        <v>0</v>
      </c>
      <c r="DD42" s="35"/>
      <c r="DE42" s="28" t="e">
        <f t="shared" si="53"/>
        <v>#VALUE!</v>
      </c>
      <c r="DF42" s="31" t="e">
        <f t="shared" si="54"/>
        <v>#VALUE!</v>
      </c>
      <c r="DG42" s="32" t="e">
        <f t="shared" si="68"/>
        <v>#VALUE!</v>
      </c>
      <c r="DH42" s="32" t="e">
        <f t="shared" si="61"/>
        <v>#VALUE!</v>
      </c>
      <c r="DI42" s="32" t="e">
        <f t="shared" si="62"/>
        <v>#VALUE!</v>
      </c>
      <c r="DK42" s="38" t="e">
        <f t="shared" si="55"/>
        <v>#VALUE!</v>
      </c>
      <c r="DL42" s="41" t="e">
        <f t="shared" si="69"/>
        <v>#VALUE!</v>
      </c>
      <c r="DM42" s="38" t="e">
        <f t="shared" si="70"/>
        <v>#VALUE!</v>
      </c>
      <c r="DN42" s="32" t="e">
        <f t="shared" si="63"/>
        <v>#VALUE!</v>
      </c>
      <c r="DO42" s="32" t="e">
        <f t="shared" si="71"/>
        <v>#VALUE!</v>
      </c>
      <c r="DQ42" s="38" t="str">
        <f t="shared" si="56"/>
        <v/>
      </c>
      <c r="DR42" s="29" t="e">
        <f t="shared" si="72"/>
        <v>#VALUE!</v>
      </c>
      <c r="DS42" s="38" t="e">
        <f t="shared" si="73"/>
        <v>#VALUE!</v>
      </c>
      <c r="DT42" s="32" t="e">
        <f t="shared" si="64"/>
        <v>#VALUE!</v>
      </c>
      <c r="DU42" s="32" t="e">
        <f t="shared" si="65"/>
        <v>#VALUE!</v>
      </c>
      <c r="DW42" s="38" t="e">
        <f t="shared" si="74"/>
        <v>#VALUE!</v>
      </c>
      <c r="DX42" s="42" t="e">
        <f t="shared" si="75"/>
        <v>#VALUE!</v>
      </c>
      <c r="DY42" s="38" t="e">
        <f t="shared" si="76"/>
        <v>#VALUE!</v>
      </c>
      <c r="DZ42" s="42" t="e">
        <f t="shared" si="77"/>
        <v>#VALUE!</v>
      </c>
      <c r="EA42" s="38" t="e">
        <f t="shared" si="78"/>
        <v>#VALUE!</v>
      </c>
      <c r="EB42" s="42" t="e">
        <f t="shared" si="79"/>
        <v>#VALUE!</v>
      </c>
    </row>
    <row r="43" spans="1:132" ht="11.45" customHeight="1" x14ac:dyDescent="0.2">
      <c r="A43" s="346" t="str">
        <f t="shared" si="38"/>
        <v/>
      </c>
      <c r="B43" s="346"/>
      <c r="C43" s="346"/>
      <c r="D43" s="346"/>
      <c r="E43" s="346"/>
      <c r="F43" s="346"/>
      <c r="G43" s="346"/>
      <c r="H43" s="346"/>
      <c r="I43" s="318" t="str">
        <f t="shared" si="39"/>
        <v/>
      </c>
      <c r="J43" s="318"/>
      <c r="K43" s="318"/>
      <c r="L43" s="318"/>
      <c r="M43" s="318"/>
      <c r="N43" s="318"/>
      <c r="O43" s="318"/>
      <c r="P43" s="443" t="str">
        <f t="shared" si="57"/>
        <v/>
      </c>
      <c r="Q43" s="443"/>
      <c r="R43" s="443"/>
      <c r="S43" s="443"/>
      <c r="T43" s="443"/>
      <c r="U43" s="308" t="str">
        <f t="shared" si="40"/>
        <v/>
      </c>
      <c r="V43" s="308"/>
      <c r="W43" s="308"/>
      <c r="X43" s="308"/>
      <c r="Y43" s="308"/>
      <c r="Z43" s="308"/>
      <c r="AA43" s="308"/>
      <c r="AB43" s="308"/>
      <c r="AC43" s="309"/>
      <c r="AD43" s="308"/>
      <c r="AE43" s="308"/>
      <c r="AF43" s="308"/>
      <c r="AG43" s="308"/>
      <c r="AH43" s="308"/>
      <c r="AI43" s="308"/>
      <c r="AJ43" s="308"/>
      <c r="AK43" s="308"/>
      <c r="AL43" s="308"/>
      <c r="AM43" s="308"/>
      <c r="AN43" s="308"/>
      <c r="AO43" s="308"/>
      <c r="AP43" s="308"/>
      <c r="AQ43" s="308"/>
      <c r="AR43" s="308"/>
      <c r="AS43" s="308"/>
      <c r="AT43" s="308"/>
      <c r="AU43" s="308"/>
      <c r="AV43" s="308"/>
      <c r="AW43" s="308"/>
      <c r="AX43" s="308"/>
      <c r="AY43" s="312"/>
      <c r="AZ43" s="312"/>
      <c r="BA43" s="312"/>
      <c r="BB43" s="312"/>
      <c r="BC43" s="312"/>
      <c r="BD43" s="311" t="str">
        <f t="shared" si="58"/>
        <v/>
      </c>
      <c r="BE43" s="311"/>
      <c r="BF43" s="311"/>
      <c r="BG43" s="311"/>
      <c r="BH43" s="311"/>
      <c r="BI43" s="310" t="str">
        <f t="shared" si="41"/>
        <v/>
      </c>
      <c r="BJ43" s="310"/>
      <c r="BK43" s="310"/>
      <c r="BL43" s="310"/>
      <c r="BM43" s="310"/>
      <c r="BN43" s="311" t="str">
        <f t="shared" si="42"/>
        <v/>
      </c>
      <c r="BO43" s="311"/>
      <c r="BP43" s="311"/>
      <c r="BQ43" s="311"/>
      <c r="BR43" s="311"/>
      <c r="BS43" s="332" t="str">
        <f t="shared" si="43"/>
        <v/>
      </c>
      <c r="BT43" s="332"/>
      <c r="BU43" s="332"/>
      <c r="BV43" s="332"/>
      <c r="BW43" s="332"/>
      <c r="BX43" s="311" t="str">
        <f t="shared" si="44"/>
        <v/>
      </c>
      <c r="BY43" s="311"/>
      <c r="BZ43" s="311"/>
      <c r="CA43" s="311"/>
      <c r="CB43" s="311"/>
      <c r="CC43" s="311" t="str">
        <f t="shared" si="45"/>
        <v/>
      </c>
      <c r="CD43" s="311"/>
      <c r="CE43" s="311"/>
      <c r="CF43" s="311"/>
      <c r="CG43" s="311"/>
      <c r="CH43" s="55"/>
      <c r="CN43" s="1" t="s">
        <v>219</v>
      </c>
      <c r="CP43" s="87">
        <f t="shared" si="46"/>
        <v>0</v>
      </c>
      <c r="CR43" s="28" t="e">
        <f t="shared" si="47"/>
        <v>#VALUE!</v>
      </c>
      <c r="CS43" s="29" t="str">
        <f t="shared" si="48"/>
        <v/>
      </c>
      <c r="CU43" s="28">
        <f t="shared" si="49"/>
        <v>32</v>
      </c>
      <c r="CV43" s="31">
        <f t="shared" si="50"/>
        <v>32</v>
      </c>
      <c r="CW43" s="32">
        <f t="shared" si="66"/>
        <v>32</v>
      </c>
      <c r="CX43" s="32">
        <f t="shared" si="59"/>
        <v>32</v>
      </c>
      <c r="CY43" s="26"/>
      <c r="CZ43" s="28">
        <f t="shared" si="51"/>
        <v>0</v>
      </c>
      <c r="DA43" s="28">
        <f t="shared" si="52"/>
        <v>0</v>
      </c>
      <c r="DB43" s="34">
        <f t="shared" si="67"/>
        <v>0</v>
      </c>
      <c r="DC43" s="32">
        <f t="shared" si="60"/>
        <v>0</v>
      </c>
      <c r="DD43" s="35"/>
      <c r="DE43" s="28" t="e">
        <f t="shared" si="53"/>
        <v>#VALUE!</v>
      </c>
      <c r="DF43" s="31" t="e">
        <f>ROUND(DE43*2,0)/2</f>
        <v>#VALUE!</v>
      </c>
      <c r="DG43" s="32" t="e">
        <f t="shared" si="68"/>
        <v>#VALUE!</v>
      </c>
      <c r="DH43" s="32" t="e">
        <f t="shared" si="61"/>
        <v>#VALUE!</v>
      </c>
      <c r="DI43" s="32" t="e">
        <f t="shared" si="62"/>
        <v>#VALUE!</v>
      </c>
      <c r="DK43" s="38" t="e">
        <f t="shared" si="55"/>
        <v>#VALUE!</v>
      </c>
      <c r="DL43" s="41" t="e">
        <f t="shared" si="69"/>
        <v>#VALUE!</v>
      </c>
      <c r="DM43" s="38" t="e">
        <f t="shared" si="70"/>
        <v>#VALUE!</v>
      </c>
      <c r="DN43" s="32" t="e">
        <f t="shared" si="63"/>
        <v>#VALUE!</v>
      </c>
      <c r="DO43" s="32" t="e">
        <f t="shared" si="71"/>
        <v>#VALUE!</v>
      </c>
      <c r="DQ43" s="38" t="str">
        <f t="shared" si="56"/>
        <v/>
      </c>
      <c r="DR43" s="29" t="e">
        <f t="shared" si="72"/>
        <v>#VALUE!</v>
      </c>
      <c r="DS43" s="38" t="e">
        <f t="shared" si="73"/>
        <v>#VALUE!</v>
      </c>
      <c r="DT43" s="32" t="e">
        <f t="shared" si="64"/>
        <v>#VALUE!</v>
      </c>
      <c r="DU43" s="32" t="e">
        <f t="shared" si="65"/>
        <v>#VALUE!</v>
      </c>
      <c r="DW43" s="38" t="e">
        <f t="shared" si="74"/>
        <v>#VALUE!</v>
      </c>
      <c r="DX43" s="42" t="e">
        <f t="shared" si="75"/>
        <v>#VALUE!</v>
      </c>
      <c r="DY43" s="38" t="e">
        <f t="shared" si="76"/>
        <v>#VALUE!</v>
      </c>
      <c r="DZ43" s="42" t="e">
        <f t="shared" si="77"/>
        <v>#VALUE!</v>
      </c>
      <c r="EA43" s="38" t="e">
        <f t="shared" si="78"/>
        <v>#VALUE!</v>
      </c>
      <c r="EB43" s="42" t="e">
        <f t="shared" si="79"/>
        <v>#VALUE!</v>
      </c>
    </row>
    <row r="44" spans="1:132" ht="11.45" customHeight="1" x14ac:dyDescent="0.2">
      <c r="A44" s="346" t="str">
        <f t="shared" si="38"/>
        <v/>
      </c>
      <c r="B44" s="346"/>
      <c r="C44" s="346"/>
      <c r="D44" s="346"/>
      <c r="E44" s="346"/>
      <c r="F44" s="346"/>
      <c r="G44" s="346"/>
      <c r="H44" s="346"/>
      <c r="I44" s="318" t="str">
        <f t="shared" si="39"/>
        <v/>
      </c>
      <c r="J44" s="318"/>
      <c r="K44" s="318"/>
      <c r="L44" s="318"/>
      <c r="M44" s="318"/>
      <c r="N44" s="318"/>
      <c r="O44" s="318"/>
      <c r="P44" s="443" t="str">
        <f t="shared" si="57"/>
        <v/>
      </c>
      <c r="Q44" s="443"/>
      <c r="R44" s="443"/>
      <c r="S44" s="443"/>
      <c r="T44" s="443"/>
      <c r="U44" s="308" t="str">
        <f t="shared" si="40"/>
        <v/>
      </c>
      <c r="V44" s="308"/>
      <c r="W44" s="308"/>
      <c r="X44" s="308"/>
      <c r="Y44" s="308"/>
      <c r="Z44" s="308"/>
      <c r="AA44" s="308"/>
      <c r="AB44" s="308"/>
      <c r="AC44" s="309"/>
      <c r="AD44" s="308"/>
      <c r="AE44" s="308"/>
      <c r="AF44" s="308"/>
      <c r="AG44" s="308"/>
      <c r="AH44" s="308"/>
      <c r="AI44" s="308"/>
      <c r="AJ44" s="308"/>
      <c r="AK44" s="308"/>
      <c r="AL44" s="308"/>
      <c r="AM44" s="308"/>
      <c r="AN44" s="308"/>
      <c r="AO44" s="308"/>
      <c r="AP44" s="308"/>
      <c r="AQ44" s="308"/>
      <c r="AR44" s="308"/>
      <c r="AS44" s="308"/>
      <c r="AT44" s="308"/>
      <c r="AU44" s="308"/>
      <c r="AV44" s="308"/>
      <c r="AW44" s="308"/>
      <c r="AX44" s="308"/>
      <c r="AY44" s="312"/>
      <c r="AZ44" s="312"/>
      <c r="BA44" s="312"/>
      <c r="BB44" s="312"/>
      <c r="BC44" s="312"/>
      <c r="BD44" s="311" t="str">
        <f t="shared" si="58"/>
        <v/>
      </c>
      <c r="BE44" s="311"/>
      <c r="BF44" s="311"/>
      <c r="BG44" s="311"/>
      <c r="BH44" s="311"/>
      <c r="BI44" s="310" t="str">
        <f t="shared" si="41"/>
        <v/>
      </c>
      <c r="BJ44" s="310"/>
      <c r="BK44" s="310"/>
      <c r="BL44" s="310"/>
      <c r="BM44" s="310"/>
      <c r="BN44" s="311" t="str">
        <f t="shared" si="42"/>
        <v/>
      </c>
      <c r="BO44" s="311"/>
      <c r="BP44" s="311"/>
      <c r="BQ44" s="311"/>
      <c r="BR44" s="311"/>
      <c r="BS44" s="332" t="str">
        <f t="shared" si="43"/>
        <v/>
      </c>
      <c r="BT44" s="332"/>
      <c r="BU44" s="332"/>
      <c r="BV44" s="332"/>
      <c r="BW44" s="332"/>
      <c r="BX44" s="311" t="str">
        <f t="shared" si="44"/>
        <v/>
      </c>
      <c r="BY44" s="311"/>
      <c r="BZ44" s="311"/>
      <c r="CA44" s="311"/>
      <c r="CB44" s="311"/>
      <c r="CC44" s="311" t="str">
        <f t="shared" si="45"/>
        <v/>
      </c>
      <c r="CD44" s="311"/>
      <c r="CE44" s="311"/>
      <c r="CF44" s="311"/>
      <c r="CG44" s="311"/>
      <c r="CH44" s="55"/>
      <c r="CN44" s="107" t="s">
        <v>199</v>
      </c>
      <c r="CP44" s="87">
        <f t="shared" si="46"/>
        <v>0</v>
      </c>
      <c r="CR44" s="28" t="e">
        <f t="shared" si="47"/>
        <v>#VALUE!</v>
      </c>
      <c r="CS44" s="29" t="str">
        <f t="shared" si="48"/>
        <v/>
      </c>
      <c r="CU44" s="28">
        <f t="shared" si="49"/>
        <v>32</v>
      </c>
      <c r="CV44" s="31">
        <f t="shared" si="50"/>
        <v>32</v>
      </c>
      <c r="CW44" s="32">
        <f t="shared" si="66"/>
        <v>32</v>
      </c>
      <c r="CX44" s="32">
        <f t="shared" si="59"/>
        <v>32</v>
      </c>
      <c r="CY44" s="26"/>
      <c r="CZ44" s="28">
        <f t="shared" si="51"/>
        <v>0</v>
      </c>
      <c r="DA44" s="28">
        <f t="shared" si="52"/>
        <v>0</v>
      </c>
      <c r="DB44" s="34">
        <f t="shared" si="67"/>
        <v>0</v>
      </c>
      <c r="DC44" s="32">
        <f t="shared" si="60"/>
        <v>0</v>
      </c>
      <c r="DD44" s="35"/>
      <c r="DE44" s="28" t="e">
        <f t="shared" si="53"/>
        <v>#VALUE!</v>
      </c>
      <c r="DF44" s="31" t="e">
        <f t="shared" si="54"/>
        <v>#VALUE!</v>
      </c>
      <c r="DG44" s="32" t="e">
        <f t="shared" si="68"/>
        <v>#VALUE!</v>
      </c>
      <c r="DH44" s="32" t="e">
        <f t="shared" si="61"/>
        <v>#VALUE!</v>
      </c>
      <c r="DI44" s="32" t="e">
        <f t="shared" si="62"/>
        <v>#VALUE!</v>
      </c>
      <c r="DK44" s="38" t="e">
        <f t="shared" si="55"/>
        <v>#VALUE!</v>
      </c>
      <c r="DL44" s="41" t="e">
        <f t="shared" si="69"/>
        <v>#VALUE!</v>
      </c>
      <c r="DM44" s="38" t="e">
        <f t="shared" si="70"/>
        <v>#VALUE!</v>
      </c>
      <c r="DN44" s="32" t="e">
        <f t="shared" si="63"/>
        <v>#VALUE!</v>
      </c>
      <c r="DO44" s="32" t="e">
        <f t="shared" si="71"/>
        <v>#VALUE!</v>
      </c>
      <c r="DQ44" s="38" t="str">
        <f t="shared" si="56"/>
        <v/>
      </c>
      <c r="DR44" s="29" t="e">
        <f t="shared" si="72"/>
        <v>#VALUE!</v>
      </c>
      <c r="DS44" s="38" t="e">
        <f t="shared" si="73"/>
        <v>#VALUE!</v>
      </c>
      <c r="DT44" s="32" t="e">
        <f t="shared" si="64"/>
        <v>#VALUE!</v>
      </c>
      <c r="DU44" s="32" t="e">
        <f t="shared" si="65"/>
        <v>#VALUE!</v>
      </c>
      <c r="DW44" s="38" t="e">
        <f t="shared" si="74"/>
        <v>#VALUE!</v>
      </c>
      <c r="DX44" s="42" t="e">
        <f t="shared" si="75"/>
        <v>#VALUE!</v>
      </c>
      <c r="DY44" s="38" t="e">
        <f t="shared" si="76"/>
        <v>#VALUE!</v>
      </c>
      <c r="DZ44" s="42" t="e">
        <f t="shared" si="77"/>
        <v>#VALUE!</v>
      </c>
      <c r="EA44" s="38" t="e">
        <f t="shared" si="78"/>
        <v>#VALUE!</v>
      </c>
      <c r="EB44" s="42" t="e">
        <f t="shared" si="79"/>
        <v>#VALUE!</v>
      </c>
    </row>
    <row r="45" spans="1:132" ht="11.45" customHeight="1" x14ac:dyDescent="0.2">
      <c r="A45" s="346" t="str">
        <f t="shared" si="38"/>
        <v/>
      </c>
      <c r="B45" s="346"/>
      <c r="C45" s="346"/>
      <c r="D45" s="346"/>
      <c r="E45" s="346"/>
      <c r="F45" s="346"/>
      <c r="G45" s="346"/>
      <c r="H45" s="346"/>
      <c r="I45" s="318" t="str">
        <f t="shared" si="39"/>
        <v/>
      </c>
      <c r="J45" s="318"/>
      <c r="K45" s="318"/>
      <c r="L45" s="318"/>
      <c r="M45" s="318"/>
      <c r="N45" s="318"/>
      <c r="O45" s="318"/>
      <c r="P45" s="443" t="str">
        <f t="shared" si="57"/>
        <v/>
      </c>
      <c r="Q45" s="443"/>
      <c r="R45" s="443"/>
      <c r="S45" s="443"/>
      <c r="T45" s="443"/>
      <c r="U45" s="308" t="str">
        <f t="shared" si="40"/>
        <v/>
      </c>
      <c r="V45" s="308"/>
      <c r="W45" s="308"/>
      <c r="X45" s="308"/>
      <c r="Y45" s="308"/>
      <c r="Z45" s="308"/>
      <c r="AA45" s="308"/>
      <c r="AB45" s="308"/>
      <c r="AC45" s="309"/>
      <c r="AD45" s="308"/>
      <c r="AE45" s="308"/>
      <c r="AF45" s="308"/>
      <c r="AG45" s="308"/>
      <c r="AH45" s="308"/>
      <c r="AI45" s="308"/>
      <c r="AJ45" s="308"/>
      <c r="AK45" s="308"/>
      <c r="AL45" s="308"/>
      <c r="AM45" s="308"/>
      <c r="AN45" s="308"/>
      <c r="AO45" s="308"/>
      <c r="AP45" s="308"/>
      <c r="AQ45" s="308"/>
      <c r="AR45" s="308"/>
      <c r="AS45" s="308"/>
      <c r="AT45" s="308"/>
      <c r="AU45" s="308"/>
      <c r="AV45" s="308"/>
      <c r="AW45" s="308"/>
      <c r="AX45" s="308"/>
      <c r="AY45" s="312"/>
      <c r="AZ45" s="312"/>
      <c r="BA45" s="312"/>
      <c r="BB45" s="312"/>
      <c r="BC45" s="312"/>
      <c r="BD45" s="311" t="str">
        <f t="shared" si="58"/>
        <v/>
      </c>
      <c r="BE45" s="311"/>
      <c r="BF45" s="311"/>
      <c r="BG45" s="311"/>
      <c r="BH45" s="311"/>
      <c r="BI45" s="310" t="str">
        <f t="shared" si="41"/>
        <v/>
      </c>
      <c r="BJ45" s="310"/>
      <c r="BK45" s="310"/>
      <c r="BL45" s="310"/>
      <c r="BM45" s="310"/>
      <c r="BN45" s="311" t="str">
        <f>IF(OR(BD45="",BI45=""),"",BD45*BI45)</f>
        <v/>
      </c>
      <c r="BO45" s="311"/>
      <c r="BP45" s="311"/>
      <c r="BQ45" s="311"/>
      <c r="BR45" s="311"/>
      <c r="BS45" s="332" t="str">
        <f t="shared" si="43"/>
        <v/>
      </c>
      <c r="BT45" s="332"/>
      <c r="BU45" s="332"/>
      <c r="BV45" s="332"/>
      <c r="BW45" s="332"/>
      <c r="BX45" s="311" t="str">
        <f t="shared" si="44"/>
        <v/>
      </c>
      <c r="BY45" s="311"/>
      <c r="BZ45" s="311"/>
      <c r="CA45" s="311"/>
      <c r="CB45" s="311"/>
      <c r="CC45" s="311" t="str">
        <f t="shared" si="45"/>
        <v/>
      </c>
      <c r="CD45" s="311"/>
      <c r="CE45" s="311"/>
      <c r="CF45" s="311"/>
      <c r="CG45" s="311"/>
      <c r="CH45" s="55"/>
      <c r="CN45" s="87" t="s">
        <v>200</v>
      </c>
      <c r="CP45" s="87">
        <f t="shared" si="46"/>
        <v>0</v>
      </c>
      <c r="CR45" s="28" t="e">
        <f t="shared" si="47"/>
        <v>#VALUE!</v>
      </c>
      <c r="CS45" s="29" t="str">
        <f t="shared" si="48"/>
        <v/>
      </c>
      <c r="CU45" s="28">
        <f t="shared" si="49"/>
        <v>32</v>
      </c>
      <c r="CV45" s="31">
        <f t="shared" si="50"/>
        <v>32</v>
      </c>
      <c r="CW45" s="32">
        <f t="shared" si="66"/>
        <v>32</v>
      </c>
      <c r="CX45" s="32">
        <f t="shared" si="59"/>
        <v>32</v>
      </c>
      <c r="CY45" s="26"/>
      <c r="CZ45" s="28">
        <f t="shared" si="51"/>
        <v>0</v>
      </c>
      <c r="DA45" s="28">
        <f t="shared" si="52"/>
        <v>0</v>
      </c>
      <c r="DB45" s="34">
        <f t="shared" si="67"/>
        <v>0</v>
      </c>
      <c r="DC45" s="32">
        <f t="shared" si="60"/>
        <v>0</v>
      </c>
      <c r="DD45" s="35"/>
      <c r="DE45" s="28" t="e">
        <f t="shared" si="53"/>
        <v>#VALUE!</v>
      </c>
      <c r="DF45" s="31" t="e">
        <f t="shared" si="54"/>
        <v>#VALUE!</v>
      </c>
      <c r="DG45" s="32" t="e">
        <f t="shared" si="68"/>
        <v>#VALUE!</v>
      </c>
      <c r="DH45" s="32" t="e">
        <f t="shared" si="61"/>
        <v>#VALUE!</v>
      </c>
      <c r="DI45" s="32" t="e">
        <f>DH45*(1+((EXP(((0.01374979547/2)*(((103.872/DH45)+0.2701)*(1/DH45)))*(1+(0.8*((0.01374979547/2)*(((103.872/DH45)+0.2701)*(1/DH45))))))-1)/(1+(((0.01374979547/2)*(((103.872/DH45)+0.2701)*(1/DH45)))*(1+(1.6*((0.01374979547/2)*(((103.872/DH45)+0.2701)*(1/DH45)))))*(((2*103.872)+(0.2701+DH45))/(103.872+(0.2701*DH45)))))))</f>
        <v>#VALUE!</v>
      </c>
      <c r="DK45" s="38" t="e">
        <f t="shared" si="55"/>
        <v>#VALUE!</v>
      </c>
      <c r="DL45" s="41" t="e">
        <f t="shared" si="69"/>
        <v>#VALUE!</v>
      </c>
      <c r="DM45" s="38" t="e">
        <f t="shared" si="70"/>
        <v>#VALUE!</v>
      </c>
      <c r="DN45" s="32" t="e">
        <f t="shared" si="63"/>
        <v>#VALUE!</v>
      </c>
      <c r="DO45" s="32" t="e">
        <f t="shared" si="71"/>
        <v>#VALUE!</v>
      </c>
      <c r="DQ45" s="38" t="str">
        <f t="shared" si="56"/>
        <v/>
      </c>
      <c r="DR45" s="29" t="e">
        <f t="shared" si="72"/>
        <v>#VALUE!</v>
      </c>
      <c r="DS45" s="38" t="e">
        <f t="shared" si="73"/>
        <v>#VALUE!</v>
      </c>
      <c r="DT45" s="32" t="e">
        <f t="shared" si="64"/>
        <v>#VALUE!</v>
      </c>
      <c r="DU45" s="32" t="e">
        <f t="shared" si="65"/>
        <v>#VALUE!</v>
      </c>
      <c r="DW45" s="38" t="e">
        <f t="shared" si="74"/>
        <v>#VALUE!</v>
      </c>
      <c r="DX45" s="42" t="e">
        <f t="shared" si="75"/>
        <v>#VALUE!</v>
      </c>
      <c r="DY45" s="38" t="e">
        <f t="shared" si="76"/>
        <v>#VALUE!</v>
      </c>
      <c r="DZ45" s="42" t="e">
        <f t="shared" si="77"/>
        <v>#VALUE!</v>
      </c>
      <c r="EA45" s="38" t="e">
        <f t="shared" si="78"/>
        <v>#VALUE!</v>
      </c>
      <c r="EB45" s="42" t="e">
        <f t="shared" si="79"/>
        <v>#VALUE!</v>
      </c>
    </row>
    <row r="46" spans="1:132" ht="11.45" customHeight="1" x14ac:dyDescent="0.2">
      <c r="A46" s="346" t="str">
        <f t="shared" si="38"/>
        <v/>
      </c>
      <c r="B46" s="346"/>
      <c r="C46" s="346"/>
      <c r="D46" s="346"/>
      <c r="E46" s="346"/>
      <c r="F46" s="346"/>
      <c r="G46" s="346"/>
      <c r="H46" s="346"/>
      <c r="I46" s="318" t="str">
        <f t="shared" si="39"/>
        <v/>
      </c>
      <c r="J46" s="318"/>
      <c r="K46" s="318"/>
      <c r="L46" s="318"/>
      <c r="M46" s="318"/>
      <c r="N46" s="318"/>
      <c r="O46" s="318"/>
      <c r="P46" s="443" t="str">
        <f t="shared" si="57"/>
        <v/>
      </c>
      <c r="Q46" s="443"/>
      <c r="R46" s="443"/>
      <c r="S46" s="443"/>
      <c r="T46" s="443"/>
      <c r="U46" s="308" t="str">
        <f t="shared" si="40"/>
        <v/>
      </c>
      <c r="V46" s="308"/>
      <c r="W46" s="308"/>
      <c r="X46" s="308"/>
      <c r="Y46" s="308"/>
      <c r="Z46" s="308"/>
      <c r="AA46" s="308"/>
      <c r="AB46" s="308"/>
      <c r="AC46" s="309"/>
      <c r="AD46" s="308"/>
      <c r="AE46" s="308"/>
      <c r="AF46" s="308"/>
      <c r="AG46" s="308"/>
      <c r="AH46" s="308"/>
      <c r="AI46" s="308"/>
      <c r="AJ46" s="308"/>
      <c r="AK46" s="308"/>
      <c r="AL46" s="308"/>
      <c r="AM46" s="308"/>
      <c r="AN46" s="308"/>
      <c r="AO46" s="308"/>
      <c r="AP46" s="308"/>
      <c r="AQ46" s="308"/>
      <c r="AR46" s="308"/>
      <c r="AS46" s="308"/>
      <c r="AT46" s="308"/>
      <c r="AU46" s="308"/>
      <c r="AV46" s="308"/>
      <c r="AW46" s="308"/>
      <c r="AX46" s="308"/>
      <c r="AY46" s="312"/>
      <c r="AZ46" s="312"/>
      <c r="BA46" s="312"/>
      <c r="BB46" s="312"/>
      <c r="BC46" s="312"/>
      <c r="BD46" s="311" t="str">
        <f t="shared" si="58"/>
        <v/>
      </c>
      <c r="BE46" s="311"/>
      <c r="BF46" s="311"/>
      <c r="BG46" s="311"/>
      <c r="BH46" s="311"/>
      <c r="BI46" s="310" t="str">
        <f t="shared" si="41"/>
        <v/>
      </c>
      <c r="BJ46" s="310"/>
      <c r="BK46" s="310"/>
      <c r="BL46" s="310"/>
      <c r="BM46" s="310"/>
      <c r="BN46" s="311" t="str">
        <f t="shared" si="42"/>
        <v/>
      </c>
      <c r="BO46" s="311"/>
      <c r="BP46" s="311"/>
      <c r="BQ46" s="311"/>
      <c r="BR46" s="311"/>
      <c r="BS46" s="332" t="str">
        <f t="shared" si="43"/>
        <v/>
      </c>
      <c r="BT46" s="332"/>
      <c r="BU46" s="332"/>
      <c r="BV46" s="332"/>
      <c r="BW46" s="332"/>
      <c r="BX46" s="311" t="str">
        <f t="shared" si="44"/>
        <v/>
      </c>
      <c r="BY46" s="311"/>
      <c r="BZ46" s="311"/>
      <c r="CA46" s="311"/>
      <c r="CB46" s="311"/>
      <c r="CC46" s="311" t="str">
        <f t="shared" si="45"/>
        <v/>
      </c>
      <c r="CD46" s="311"/>
      <c r="CE46" s="311"/>
      <c r="CF46" s="311"/>
      <c r="CG46" s="311"/>
      <c r="CH46" s="55"/>
      <c r="CN46" s="87" t="s">
        <v>201</v>
      </c>
      <c r="CP46" s="87">
        <f t="shared" si="46"/>
        <v>0</v>
      </c>
      <c r="CR46" s="28" t="e">
        <f t="shared" si="47"/>
        <v>#VALUE!</v>
      </c>
      <c r="CS46" s="29" t="str">
        <f t="shared" si="48"/>
        <v/>
      </c>
      <c r="CU46" s="28">
        <f t="shared" si="49"/>
        <v>32</v>
      </c>
      <c r="CV46" s="31">
        <f t="shared" si="50"/>
        <v>32</v>
      </c>
      <c r="CW46" s="32">
        <f t="shared" si="66"/>
        <v>32</v>
      </c>
      <c r="CX46" s="32">
        <f t="shared" si="59"/>
        <v>32</v>
      </c>
      <c r="CY46" s="26"/>
      <c r="CZ46" s="28">
        <f t="shared" si="51"/>
        <v>0</v>
      </c>
      <c r="DA46" s="28">
        <f t="shared" si="52"/>
        <v>0</v>
      </c>
      <c r="DB46" s="34">
        <f t="shared" si="67"/>
        <v>0</v>
      </c>
      <c r="DC46" s="32">
        <f t="shared" si="60"/>
        <v>0</v>
      </c>
      <c r="DD46" s="35"/>
      <c r="DE46" s="28" t="e">
        <f t="shared" si="53"/>
        <v>#VALUE!</v>
      </c>
      <c r="DF46" s="31" t="e">
        <f t="shared" si="54"/>
        <v>#VALUE!</v>
      </c>
      <c r="DG46" s="32" t="e">
        <f t="shared" si="68"/>
        <v>#VALUE!</v>
      </c>
      <c r="DH46" s="32" t="e">
        <f t="shared" si="61"/>
        <v>#VALUE!</v>
      </c>
      <c r="DI46" s="32" t="e">
        <f t="shared" si="62"/>
        <v>#VALUE!</v>
      </c>
      <c r="DK46" s="38" t="e">
        <f t="shared" si="55"/>
        <v>#VALUE!</v>
      </c>
      <c r="DL46" s="41" t="e">
        <f t="shared" si="69"/>
        <v>#VALUE!</v>
      </c>
      <c r="DM46" s="38" t="e">
        <f t="shared" si="70"/>
        <v>#VALUE!</v>
      </c>
      <c r="DN46" s="32" t="e">
        <f t="shared" si="63"/>
        <v>#VALUE!</v>
      </c>
      <c r="DO46" s="32" t="e">
        <f t="shared" si="71"/>
        <v>#VALUE!</v>
      </c>
      <c r="DQ46" s="38" t="str">
        <f t="shared" si="56"/>
        <v/>
      </c>
      <c r="DR46" s="29" t="e">
        <f t="shared" si="72"/>
        <v>#VALUE!</v>
      </c>
      <c r="DS46" s="38" t="e">
        <f t="shared" si="73"/>
        <v>#VALUE!</v>
      </c>
      <c r="DT46" s="32" t="e">
        <f t="shared" si="64"/>
        <v>#VALUE!</v>
      </c>
      <c r="DU46" s="32" t="e">
        <f t="shared" si="65"/>
        <v>#VALUE!</v>
      </c>
      <c r="DW46" s="38" t="e">
        <f t="shared" si="74"/>
        <v>#VALUE!</v>
      </c>
      <c r="DX46" s="42" t="e">
        <f t="shared" si="75"/>
        <v>#VALUE!</v>
      </c>
      <c r="DY46" s="38" t="e">
        <f t="shared" si="76"/>
        <v>#VALUE!</v>
      </c>
      <c r="DZ46" s="42" t="e">
        <f t="shared" si="77"/>
        <v>#VALUE!</v>
      </c>
      <c r="EA46" s="38" t="e">
        <f t="shared" si="78"/>
        <v>#VALUE!</v>
      </c>
      <c r="EB46" s="42" t="e">
        <f t="shared" si="79"/>
        <v>#VALUE!</v>
      </c>
    </row>
    <row r="47" spans="1:132" ht="11.45" customHeight="1" x14ac:dyDescent="0.2">
      <c r="A47" s="346" t="str">
        <f t="shared" si="38"/>
        <v/>
      </c>
      <c r="B47" s="346"/>
      <c r="C47" s="346"/>
      <c r="D47" s="346"/>
      <c r="E47" s="346"/>
      <c r="F47" s="346"/>
      <c r="G47" s="346"/>
      <c r="H47" s="346"/>
      <c r="I47" s="318" t="str">
        <f t="shared" si="39"/>
        <v/>
      </c>
      <c r="J47" s="318"/>
      <c r="K47" s="318"/>
      <c r="L47" s="318"/>
      <c r="M47" s="318"/>
      <c r="N47" s="318"/>
      <c r="O47" s="318"/>
      <c r="P47" s="443" t="str">
        <f t="shared" si="57"/>
        <v/>
      </c>
      <c r="Q47" s="443"/>
      <c r="R47" s="443"/>
      <c r="S47" s="443"/>
      <c r="T47" s="443"/>
      <c r="U47" s="308" t="str">
        <f t="shared" si="40"/>
        <v/>
      </c>
      <c r="V47" s="308"/>
      <c r="W47" s="308"/>
      <c r="X47" s="308"/>
      <c r="Y47" s="308"/>
      <c r="Z47" s="308"/>
      <c r="AA47" s="308"/>
      <c r="AB47" s="308"/>
      <c r="AC47" s="309"/>
      <c r="AD47" s="308"/>
      <c r="AE47" s="308"/>
      <c r="AF47" s="308"/>
      <c r="AG47" s="308"/>
      <c r="AH47" s="308"/>
      <c r="AI47" s="308"/>
      <c r="AJ47" s="308"/>
      <c r="AK47" s="308"/>
      <c r="AL47" s="308"/>
      <c r="AM47" s="308"/>
      <c r="AN47" s="308"/>
      <c r="AO47" s="308"/>
      <c r="AP47" s="308"/>
      <c r="AQ47" s="308"/>
      <c r="AR47" s="308"/>
      <c r="AS47" s="308"/>
      <c r="AT47" s="308"/>
      <c r="AU47" s="308"/>
      <c r="AV47" s="308"/>
      <c r="AW47" s="308"/>
      <c r="AX47" s="308"/>
      <c r="AY47" s="312"/>
      <c r="AZ47" s="312"/>
      <c r="BA47" s="312"/>
      <c r="BB47" s="312"/>
      <c r="BC47" s="312"/>
      <c r="BD47" s="311" t="str">
        <f t="shared" si="58"/>
        <v/>
      </c>
      <c r="BE47" s="311"/>
      <c r="BF47" s="311"/>
      <c r="BG47" s="311"/>
      <c r="BH47" s="311"/>
      <c r="BI47" s="310" t="str">
        <f t="shared" si="41"/>
        <v/>
      </c>
      <c r="BJ47" s="310"/>
      <c r="BK47" s="310"/>
      <c r="BL47" s="310"/>
      <c r="BM47" s="310"/>
      <c r="BN47" s="311" t="str">
        <f t="shared" si="42"/>
        <v/>
      </c>
      <c r="BO47" s="311"/>
      <c r="BP47" s="311"/>
      <c r="BQ47" s="311"/>
      <c r="BR47" s="311"/>
      <c r="BS47" s="332" t="str">
        <f t="shared" si="43"/>
        <v/>
      </c>
      <c r="BT47" s="332"/>
      <c r="BU47" s="332"/>
      <c r="BV47" s="332"/>
      <c r="BW47" s="332"/>
      <c r="BX47" s="311" t="str">
        <f t="shared" si="44"/>
        <v/>
      </c>
      <c r="BY47" s="311"/>
      <c r="BZ47" s="311"/>
      <c r="CA47" s="311"/>
      <c r="CB47" s="311"/>
      <c r="CC47" s="311" t="str">
        <f t="shared" si="45"/>
        <v/>
      </c>
      <c r="CD47" s="311"/>
      <c r="CE47" s="311"/>
      <c r="CF47" s="311"/>
      <c r="CG47" s="311"/>
      <c r="CH47" s="55"/>
      <c r="CN47" s="87" t="s">
        <v>202</v>
      </c>
      <c r="CP47" s="87">
        <f t="shared" si="46"/>
        <v>0</v>
      </c>
      <c r="CR47" s="28" t="e">
        <f t="shared" si="47"/>
        <v>#VALUE!</v>
      </c>
      <c r="CS47" s="29" t="str">
        <f t="shared" si="48"/>
        <v/>
      </c>
      <c r="CU47" s="28">
        <f t="shared" si="49"/>
        <v>32</v>
      </c>
      <c r="CV47" s="31">
        <f t="shared" si="50"/>
        <v>32</v>
      </c>
      <c r="CW47" s="32">
        <f t="shared" si="66"/>
        <v>32</v>
      </c>
      <c r="CX47" s="32">
        <f t="shared" si="59"/>
        <v>32</v>
      </c>
      <c r="CY47" s="26"/>
      <c r="CZ47" s="28">
        <f t="shared" si="51"/>
        <v>0</v>
      </c>
      <c r="DA47" s="28">
        <f t="shared" si="52"/>
        <v>0</v>
      </c>
      <c r="DB47" s="34">
        <f t="shared" si="67"/>
        <v>0</v>
      </c>
      <c r="DC47" s="32">
        <f t="shared" si="60"/>
        <v>0</v>
      </c>
      <c r="DD47" s="35"/>
      <c r="DE47" s="28" t="e">
        <f t="shared" si="53"/>
        <v>#VALUE!</v>
      </c>
      <c r="DF47" s="31" t="e">
        <f t="shared" si="54"/>
        <v>#VALUE!</v>
      </c>
      <c r="DG47" s="32" t="e">
        <f t="shared" si="68"/>
        <v>#VALUE!</v>
      </c>
      <c r="DH47" s="32" t="e">
        <f t="shared" si="61"/>
        <v>#VALUE!</v>
      </c>
      <c r="DI47" s="32" t="e">
        <f t="shared" si="62"/>
        <v>#VALUE!</v>
      </c>
      <c r="DK47" s="38" t="e">
        <f t="shared" si="55"/>
        <v>#VALUE!</v>
      </c>
      <c r="DL47" s="41" t="e">
        <f t="shared" si="69"/>
        <v>#VALUE!</v>
      </c>
      <c r="DM47" s="38" t="e">
        <f t="shared" si="70"/>
        <v>#VALUE!</v>
      </c>
      <c r="DN47" s="32" t="e">
        <f t="shared" si="63"/>
        <v>#VALUE!</v>
      </c>
      <c r="DO47" s="32" t="e">
        <f t="shared" si="71"/>
        <v>#VALUE!</v>
      </c>
      <c r="DQ47" s="38" t="str">
        <f t="shared" si="56"/>
        <v/>
      </c>
      <c r="DR47" s="29" t="e">
        <f t="shared" si="72"/>
        <v>#VALUE!</v>
      </c>
      <c r="DS47" s="38" t="e">
        <f t="shared" si="73"/>
        <v>#VALUE!</v>
      </c>
      <c r="DT47" s="32" t="e">
        <f t="shared" si="64"/>
        <v>#VALUE!</v>
      </c>
      <c r="DU47" s="32" t="e">
        <f t="shared" si="65"/>
        <v>#VALUE!</v>
      </c>
      <c r="DW47" s="38" t="e">
        <f t="shared" si="74"/>
        <v>#VALUE!</v>
      </c>
      <c r="DX47" s="42" t="e">
        <f t="shared" si="75"/>
        <v>#VALUE!</v>
      </c>
      <c r="DY47" s="38" t="e">
        <f t="shared" si="76"/>
        <v>#VALUE!</v>
      </c>
      <c r="DZ47" s="42" t="e">
        <f t="shared" si="77"/>
        <v>#VALUE!</v>
      </c>
      <c r="EA47" s="38" t="e">
        <f t="shared" si="78"/>
        <v>#VALUE!</v>
      </c>
      <c r="EB47" s="42" t="e">
        <f t="shared" si="79"/>
        <v>#VALUE!</v>
      </c>
    </row>
    <row r="48" spans="1:132" ht="11.45" customHeight="1" x14ac:dyDescent="0.2">
      <c r="A48" s="346" t="str">
        <f t="shared" si="38"/>
        <v/>
      </c>
      <c r="B48" s="346"/>
      <c r="C48" s="346"/>
      <c r="D48" s="346"/>
      <c r="E48" s="346"/>
      <c r="F48" s="346"/>
      <c r="G48" s="346"/>
      <c r="H48" s="346"/>
      <c r="I48" s="318" t="str">
        <f t="shared" si="39"/>
        <v/>
      </c>
      <c r="J48" s="318"/>
      <c r="K48" s="318"/>
      <c r="L48" s="318"/>
      <c r="M48" s="318"/>
      <c r="N48" s="318"/>
      <c r="O48" s="318"/>
      <c r="P48" s="443" t="str">
        <f t="shared" si="57"/>
        <v/>
      </c>
      <c r="Q48" s="443"/>
      <c r="R48" s="443"/>
      <c r="S48" s="443"/>
      <c r="T48" s="443"/>
      <c r="U48" s="308" t="str">
        <f t="shared" si="40"/>
        <v/>
      </c>
      <c r="V48" s="308"/>
      <c r="W48" s="308"/>
      <c r="X48" s="308"/>
      <c r="Y48" s="308"/>
      <c r="Z48" s="308"/>
      <c r="AA48" s="308"/>
      <c r="AB48" s="308"/>
      <c r="AC48" s="309"/>
      <c r="AD48" s="308"/>
      <c r="AE48" s="308"/>
      <c r="AF48" s="308"/>
      <c r="AG48" s="308"/>
      <c r="AH48" s="308"/>
      <c r="AI48" s="308"/>
      <c r="AJ48" s="308"/>
      <c r="AK48" s="308"/>
      <c r="AL48" s="308"/>
      <c r="AM48" s="308"/>
      <c r="AN48" s="308"/>
      <c r="AO48" s="308"/>
      <c r="AP48" s="308"/>
      <c r="AQ48" s="308"/>
      <c r="AR48" s="308"/>
      <c r="AS48" s="308"/>
      <c r="AT48" s="308"/>
      <c r="AU48" s="308"/>
      <c r="AV48" s="308"/>
      <c r="AW48" s="308"/>
      <c r="AX48" s="308"/>
      <c r="AY48" s="312"/>
      <c r="AZ48" s="312"/>
      <c r="BA48" s="312"/>
      <c r="BB48" s="312"/>
      <c r="BC48" s="312"/>
      <c r="BD48" s="311" t="str">
        <f t="shared" si="58"/>
        <v/>
      </c>
      <c r="BE48" s="311"/>
      <c r="BF48" s="311"/>
      <c r="BG48" s="311"/>
      <c r="BH48" s="311"/>
      <c r="BI48" s="310" t="str">
        <f t="shared" si="41"/>
        <v/>
      </c>
      <c r="BJ48" s="310"/>
      <c r="BK48" s="310"/>
      <c r="BL48" s="310"/>
      <c r="BM48" s="310"/>
      <c r="BN48" s="311" t="str">
        <f t="shared" si="42"/>
        <v/>
      </c>
      <c r="BO48" s="311"/>
      <c r="BP48" s="311"/>
      <c r="BQ48" s="311"/>
      <c r="BR48" s="311"/>
      <c r="BS48" s="332" t="str">
        <f t="shared" si="43"/>
        <v/>
      </c>
      <c r="BT48" s="332"/>
      <c r="BU48" s="332"/>
      <c r="BV48" s="332"/>
      <c r="BW48" s="332"/>
      <c r="BX48" s="311" t="str">
        <f t="shared" si="44"/>
        <v/>
      </c>
      <c r="BY48" s="311"/>
      <c r="BZ48" s="311"/>
      <c r="CA48" s="311"/>
      <c r="CB48" s="311"/>
      <c r="CC48" s="311" t="str">
        <f t="shared" si="45"/>
        <v/>
      </c>
      <c r="CD48" s="311"/>
      <c r="CE48" s="311"/>
      <c r="CF48" s="311"/>
      <c r="CG48" s="311"/>
      <c r="CH48" s="55"/>
      <c r="CN48" s="87" t="s">
        <v>203</v>
      </c>
      <c r="CP48" s="2">
        <f t="shared" si="46"/>
        <v>0</v>
      </c>
      <c r="CR48" s="45" t="e">
        <f t="shared" si="47"/>
        <v>#VALUE!</v>
      </c>
      <c r="CS48" s="46" t="str">
        <f t="shared" si="48"/>
        <v/>
      </c>
      <c r="CU48" s="45">
        <f t="shared" si="49"/>
        <v>32</v>
      </c>
      <c r="CV48" s="47">
        <f t="shared" si="50"/>
        <v>32</v>
      </c>
      <c r="CW48" s="48">
        <f>ROUND(CU48,1)</f>
        <v>32</v>
      </c>
      <c r="CX48" s="48">
        <f t="shared" si="59"/>
        <v>32</v>
      </c>
      <c r="CZ48" s="45">
        <f t="shared" si="51"/>
        <v>0</v>
      </c>
      <c r="DA48" s="45">
        <f t="shared" si="52"/>
        <v>0</v>
      </c>
      <c r="DB48" s="49">
        <f>ROUND(CZ48,1)</f>
        <v>0</v>
      </c>
      <c r="DC48" s="48">
        <f t="shared" si="60"/>
        <v>0</v>
      </c>
      <c r="DD48" s="35"/>
      <c r="DE48" s="45" t="e">
        <f t="shared" si="53"/>
        <v>#VALUE!</v>
      </c>
      <c r="DF48" s="47" t="e">
        <f t="shared" si="54"/>
        <v>#VALUE!</v>
      </c>
      <c r="DG48" s="48" t="e">
        <f>ROUND(DE48,1)</f>
        <v>#VALUE!</v>
      </c>
      <c r="DH48" s="48" t="e">
        <f t="shared" si="61"/>
        <v>#VALUE!</v>
      </c>
      <c r="DI48" s="48" t="e">
        <f t="shared" si="62"/>
        <v>#VALUE!</v>
      </c>
      <c r="DK48" s="50" t="e">
        <f t="shared" si="55"/>
        <v>#VALUE!</v>
      </c>
      <c r="DL48" s="51" t="e">
        <f>ROUND(DK48*5,2)/5</f>
        <v>#VALUE!</v>
      </c>
      <c r="DM48" s="50" t="e">
        <f>ROUND(DK48,4)</f>
        <v>#VALUE!</v>
      </c>
      <c r="DN48" s="48" t="e">
        <f t="shared" si="63"/>
        <v>#VALUE!</v>
      </c>
      <c r="DO48" s="48" t="e">
        <f>DN48*(1+((EXP(((0.01374979547/2)*(((103.872/DN48)+0.2701)*(1/DN48)))*(1+(0.8*((0.01374979547/2)*(((103.872/DN48)+0.2701)*(1/DN48))))))-1)/(1+(((0.01374979547/2)*(((103.872/DN48)+0.2701)*(1/DN48)))*(1+(1.6*((0.01374979547/2)*(((103.872/DN48)+0.2701)*(1/DN48)))))*(((2*103.872)+(0.2701+DN48))/(103.872+(0.2701*DN48)))))))</f>
        <v>#VALUE!</v>
      </c>
      <c r="DQ48" s="50" t="str">
        <f t="shared" si="56"/>
        <v/>
      </c>
      <c r="DR48" s="46" t="e">
        <f>ROUND(DQ48*5,2)/5</f>
        <v>#VALUE!</v>
      </c>
      <c r="DS48" s="50" t="e">
        <f>ROUND(DQ48,4)</f>
        <v>#VALUE!</v>
      </c>
      <c r="DT48" s="48" t="e">
        <f t="shared" si="64"/>
        <v>#VALUE!</v>
      </c>
      <c r="DU48" s="48" t="e">
        <f t="shared" si="65"/>
        <v>#VALUE!</v>
      </c>
      <c r="DW48" s="50" t="e">
        <f>ROUND(EXP(-((103.872/(((141.5/(DF48+131.5))*999.012)^2))+(0.2701/((141.5/(DF48+131.5))*999.012)))*(CV48-60)*(1+(0.8*((103.872/(((141.5/(DF48+131.5))*999.012)^2))+(0.2701/((141.5/(DF48+131.5))*999.012)))*(CV48-60)))),4)</f>
        <v>#VALUE!</v>
      </c>
      <c r="DX48" s="52" t="e">
        <f>ROUND(EXP(-(((103.872/DI48)+0.2701)*(1/DI48))*(CX48-60.0068749)*(1+(0.8*(((103.872/DI48)+0.2701)*(1/DI48))*((CX48-60.0068749)+0.01374979547)))),5)</f>
        <v>#VALUE!</v>
      </c>
      <c r="DY48" s="50" t="e">
        <f>ROUND(EXP(-((103.872/((DL48*999.012)^2))+(0.2701/(DL48*999.012)))*(CV48-60)*(1+(0.8*((103.872/((DL48*999.012)^2))+(0.2701/(DL48*999.012)))*(CV48-60)))),4)</f>
        <v>#VALUE!</v>
      </c>
      <c r="DZ48" s="52" t="e">
        <f>ROUND(EXP(-(((103.872/DO48)+0.2701)*(1/DO48))*(CX48-60.0068749)*(1+(0.8*(((103.872/DO48)+0.2701)*(1/DO48))*((CX48-60.0068749)+0.01374979547)))),5)</f>
        <v>#VALUE!</v>
      </c>
      <c r="EA48" s="50" t="e">
        <f>ROUND(EXP(-((186.9696/((DR48*1000)^2))+(0.4862/(DR48*1000)))*(DA48-15)*(1+(0.8*((186.9696/((DR48*1000)^2))+(0.4862/(DR48*1000)))*(DA48-15)))),4)</f>
        <v>#VALUE!</v>
      </c>
      <c r="EB48" s="52" t="e">
        <f>ROUND(EXP(-((((186.9696/DU48)+0.4862)*(1/DU48)))*(DC48-15.00367851)*(1+(0.8*((((186.9696/DU48)+0.4862)*(1/DU48)))*((DC48-15.00367851)+0.01374979547)))),5)</f>
        <v>#VALUE!</v>
      </c>
    </row>
    <row r="49" spans="1:131" ht="11.45" customHeight="1" x14ac:dyDescent="0.2">
      <c r="A49" s="159" t="s">
        <v>81</v>
      </c>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316"/>
      <c r="AD49" s="159"/>
      <c r="AE49" s="341" t="s">
        <v>212</v>
      </c>
      <c r="AF49" s="341"/>
      <c r="AG49" s="341"/>
      <c r="AH49" s="341"/>
      <c r="AI49" s="341"/>
      <c r="AJ49" s="320" t="str">
        <f>IF(COUNT(AJ37:AN48)=0,"",ROUND(SUM(AJ37:AN48),3))</f>
        <v/>
      </c>
      <c r="AK49" s="321"/>
      <c r="AL49" s="321"/>
      <c r="AM49" s="321"/>
      <c r="AN49" s="322"/>
      <c r="AO49" s="341" t="s">
        <v>214</v>
      </c>
      <c r="AP49" s="341"/>
      <c r="AQ49" s="341"/>
      <c r="AR49" s="341"/>
      <c r="AS49" s="341"/>
      <c r="AT49" s="320" t="str">
        <f>IF(COUNT(AT37:AX48)=0,"",ROUND(SUM(AT37:AX48),3))</f>
        <v/>
      </c>
      <c r="AU49" s="321"/>
      <c r="AV49" s="321"/>
      <c r="AW49" s="321"/>
      <c r="AX49" s="322"/>
      <c r="AY49" s="341" t="s">
        <v>211</v>
      </c>
      <c r="AZ49" s="341"/>
      <c r="BA49" s="341"/>
      <c r="BB49" s="341"/>
      <c r="BC49" s="341"/>
      <c r="BD49" s="320" t="str">
        <f>IF(COUNT(BD37:BH48)=0,"",ROUND(SUM(BD37:BH48),3))</f>
        <v/>
      </c>
      <c r="BE49" s="321"/>
      <c r="BF49" s="321"/>
      <c r="BG49" s="321"/>
      <c r="BH49" s="322"/>
      <c r="BI49" s="341" t="s">
        <v>210</v>
      </c>
      <c r="BJ49" s="341"/>
      <c r="BK49" s="341"/>
      <c r="BL49" s="341"/>
      <c r="BM49" s="341"/>
      <c r="BN49" s="320" t="str">
        <f>IF(COUNT(BN37:BR48)=0,"",ROUND(SUM(BN37:BR48),3))</f>
        <v/>
      </c>
      <c r="BO49" s="321"/>
      <c r="BP49" s="321"/>
      <c r="BQ49" s="321"/>
      <c r="BR49" s="322"/>
      <c r="BS49" s="341" t="s">
        <v>209</v>
      </c>
      <c r="BT49" s="341"/>
      <c r="BU49" s="341"/>
      <c r="BV49" s="341"/>
      <c r="BW49" s="341"/>
      <c r="BX49" s="320" t="str">
        <f>IF(COUNT(BX37:CB48)=0,"",ROUND(SUM(BX37:CB48),3))</f>
        <v/>
      </c>
      <c r="BY49" s="321"/>
      <c r="BZ49" s="321"/>
      <c r="CA49" s="321"/>
      <c r="CB49" s="322"/>
      <c r="CC49" s="320" t="str">
        <f>IF(COUNT(CC37:CG48)=0,"",ROUND(SUM(CC37:CG48),3))</f>
        <v/>
      </c>
      <c r="CD49" s="321"/>
      <c r="CE49" s="321"/>
      <c r="CF49" s="321"/>
      <c r="CG49" s="322"/>
      <c r="CN49" s="2" t="s">
        <v>204</v>
      </c>
    </row>
    <row r="50" spans="1:131" ht="11.45" customHeight="1" x14ac:dyDescent="0.2">
      <c r="A50" s="154"/>
      <c r="B50" s="154"/>
      <c r="C50" s="154"/>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c r="BC50" s="154"/>
      <c r="BD50" s="154"/>
      <c r="BE50" s="154"/>
      <c r="BF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row>
    <row r="51" spans="1:131" ht="11.45" hidden="1" customHeight="1" x14ac:dyDescent="0.2">
      <c r="A51" s="336" t="s">
        <v>446</v>
      </c>
      <c r="B51" s="336"/>
      <c r="C51" s="336"/>
      <c r="D51" s="336"/>
      <c r="E51" s="336"/>
      <c r="F51" s="336"/>
      <c r="G51" s="336"/>
      <c r="H51" s="336"/>
      <c r="I51" s="336"/>
      <c r="J51" s="336"/>
      <c r="K51" s="336"/>
      <c r="L51" s="336"/>
      <c r="M51" s="336"/>
      <c r="N51" s="336"/>
      <c r="O51" s="336"/>
      <c r="P51" s="336"/>
      <c r="Q51" s="336"/>
      <c r="R51" s="336"/>
      <c r="S51" s="343" t="s">
        <v>445</v>
      </c>
      <c r="T51" s="343"/>
      <c r="U51" s="343"/>
      <c r="V51" s="343"/>
      <c r="W51" s="343"/>
      <c r="X51" s="343"/>
      <c r="Y51" s="343"/>
      <c r="Z51" s="343"/>
      <c r="AA51" s="343"/>
      <c r="AB51" s="343"/>
      <c r="AC51" s="343"/>
      <c r="AD51" s="343"/>
      <c r="AE51" s="343"/>
      <c r="AF51" s="343"/>
      <c r="AG51" s="95" t="s">
        <v>0</v>
      </c>
      <c r="AH51" s="343"/>
      <c r="AI51" s="343"/>
      <c r="AJ51" s="343"/>
      <c r="AK51" s="343"/>
      <c r="AL51" s="343"/>
      <c r="AM51" s="343"/>
      <c r="AN51" s="343"/>
      <c r="AO51" s="95"/>
      <c r="AP51" s="393" t="s">
        <v>447</v>
      </c>
      <c r="AQ51" s="393"/>
      <c r="AR51" s="393"/>
      <c r="AS51" s="393"/>
      <c r="AT51" s="393"/>
      <c r="AU51" s="393"/>
      <c r="AV51" s="393"/>
      <c r="AW51" s="393"/>
      <c r="AX51" s="393"/>
      <c r="AY51" s="95" t="s">
        <v>0</v>
      </c>
      <c r="AZ51" s="343"/>
      <c r="BA51" s="343"/>
      <c r="BB51" s="343"/>
      <c r="BC51" s="343"/>
      <c r="BD51" s="343"/>
      <c r="BE51" s="343"/>
      <c r="BF51" s="343"/>
      <c r="BG51" s="96"/>
      <c r="BH51" s="365" t="s">
        <v>458</v>
      </c>
      <c r="BI51" s="365"/>
      <c r="BJ51" s="365"/>
      <c r="BK51" s="365"/>
      <c r="BL51" s="365"/>
      <c r="BM51" s="365"/>
      <c r="BN51" s="365"/>
      <c r="BO51" s="365"/>
      <c r="BP51" s="365"/>
      <c r="BQ51" s="365"/>
      <c r="BR51" s="365"/>
      <c r="BS51" s="365"/>
      <c r="BT51" s="365"/>
      <c r="BU51" s="365"/>
      <c r="BV51" s="365"/>
      <c r="BW51" s="365"/>
      <c r="BX51" s="365"/>
      <c r="BY51" s="95" t="s">
        <v>0</v>
      </c>
      <c r="BZ51" s="343"/>
      <c r="CA51" s="343"/>
      <c r="CB51" s="343"/>
      <c r="CC51" s="343"/>
      <c r="CD51" s="343"/>
      <c r="CE51" s="343"/>
      <c r="CF51" s="343"/>
      <c r="CG51" s="95"/>
    </row>
    <row r="52" spans="1:131" ht="11.45" hidden="1" customHeight="1" x14ac:dyDescent="0.2">
      <c r="A52" s="154"/>
      <c r="B52" s="154"/>
      <c r="C52" s="154"/>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N52" s="1" t="s">
        <v>222</v>
      </c>
    </row>
    <row r="53" spans="1:131" ht="11.45" hidden="1" customHeight="1" x14ac:dyDescent="0.2">
      <c r="A53" s="430" t="s">
        <v>448</v>
      </c>
      <c r="B53" s="430"/>
      <c r="C53" s="430"/>
      <c r="D53" s="430"/>
      <c r="E53" s="430"/>
      <c r="F53" s="430"/>
      <c r="G53" s="430" t="s">
        <v>197</v>
      </c>
      <c r="H53" s="430"/>
      <c r="I53" s="430"/>
      <c r="J53" s="430"/>
      <c r="K53" s="430"/>
      <c r="L53" s="430"/>
      <c r="M53" s="423" t="s">
        <v>449</v>
      </c>
      <c r="N53" s="423"/>
      <c r="O53" s="423"/>
      <c r="P53" s="423"/>
      <c r="Q53" s="423"/>
      <c r="R53" s="423"/>
      <c r="S53" s="197" t="s">
        <v>450</v>
      </c>
      <c r="T53" s="198"/>
      <c r="U53" s="198"/>
      <c r="V53" s="198"/>
      <c r="W53" s="198"/>
      <c r="X53" s="199"/>
      <c r="Y53" s="197" t="s">
        <v>451</v>
      </c>
      <c r="Z53" s="198"/>
      <c r="AA53" s="198"/>
      <c r="AB53" s="198"/>
      <c r="AC53" s="198"/>
      <c r="AD53" s="199"/>
      <c r="AE53" s="197" t="s">
        <v>84</v>
      </c>
      <c r="AF53" s="198"/>
      <c r="AG53" s="198"/>
      <c r="AH53" s="198"/>
      <c r="AI53" s="198"/>
      <c r="AJ53" s="199"/>
      <c r="AK53" s="197" t="s">
        <v>10</v>
      </c>
      <c r="AL53" s="198"/>
      <c r="AM53" s="198"/>
      <c r="AN53" s="198"/>
      <c r="AO53" s="198"/>
      <c r="AP53" s="199"/>
      <c r="AQ53" s="197" t="s">
        <v>452</v>
      </c>
      <c r="AR53" s="198"/>
      <c r="AS53" s="198"/>
      <c r="AT53" s="198"/>
      <c r="AU53" s="198"/>
      <c r="AV53" s="199"/>
      <c r="AW53" s="195"/>
      <c r="AX53" s="430" t="s">
        <v>456</v>
      </c>
      <c r="AY53" s="430"/>
      <c r="AZ53" s="430"/>
      <c r="BA53" s="430"/>
      <c r="BB53" s="430"/>
      <c r="BC53" s="430"/>
      <c r="BD53" s="430"/>
      <c r="BE53" s="430"/>
      <c r="BF53" s="430"/>
      <c r="BG53" s="430" t="s">
        <v>457</v>
      </c>
      <c r="BH53" s="430"/>
      <c r="BI53" s="430"/>
      <c r="BJ53" s="430"/>
      <c r="BK53" s="430"/>
      <c r="BL53" s="430"/>
      <c r="BM53" s="430"/>
      <c r="BN53" s="430"/>
      <c r="BO53" s="430"/>
      <c r="BP53" s="430"/>
      <c r="BQ53" s="430" t="s">
        <v>439</v>
      </c>
      <c r="BR53" s="430"/>
      <c r="BS53" s="430"/>
      <c r="BT53" s="430"/>
      <c r="BU53" s="430"/>
      <c r="BV53" s="430"/>
      <c r="BW53" s="430"/>
      <c r="BX53" s="430"/>
      <c r="BY53" s="430" t="s">
        <v>440</v>
      </c>
      <c r="BZ53" s="430"/>
      <c r="CA53" s="430"/>
      <c r="CB53" s="430"/>
      <c r="CC53" s="430"/>
      <c r="CD53" s="430"/>
      <c r="CE53" s="430"/>
      <c r="CF53" s="430"/>
      <c r="CG53" s="430"/>
      <c r="CN53" s="100">
        <f>IF(BI17=CN44,1,IF(BI17=CN45,2,IF(BI17=CN46,3,IF(BI17=CN47,4,IF(BI17=CN48,5,6)))))</f>
        <v>6</v>
      </c>
    </row>
    <row r="54" spans="1:131" ht="11.45" hidden="1" customHeight="1" x14ac:dyDescent="0.2">
      <c r="A54" s="430"/>
      <c r="B54" s="430"/>
      <c r="C54" s="430"/>
      <c r="D54" s="430"/>
      <c r="E54" s="430"/>
      <c r="F54" s="430"/>
      <c r="G54" s="430"/>
      <c r="H54" s="430"/>
      <c r="I54" s="430"/>
      <c r="J54" s="430"/>
      <c r="K54" s="430"/>
      <c r="L54" s="430"/>
      <c r="M54" s="423"/>
      <c r="N54" s="423"/>
      <c r="O54" s="423"/>
      <c r="P54" s="423"/>
      <c r="Q54" s="423"/>
      <c r="R54" s="423"/>
      <c r="S54" s="333" t="s">
        <v>454</v>
      </c>
      <c r="T54" s="209"/>
      <c r="U54" s="209"/>
      <c r="V54" s="209"/>
      <c r="W54" s="209"/>
      <c r="X54" s="334"/>
      <c r="Y54" s="333" t="s">
        <v>454</v>
      </c>
      <c r="Z54" s="209"/>
      <c r="AA54" s="209"/>
      <c r="AB54" s="209"/>
      <c r="AC54" s="209"/>
      <c r="AD54" s="334"/>
      <c r="AE54" s="424" t="s">
        <v>455</v>
      </c>
      <c r="AF54" s="425"/>
      <c r="AG54" s="425"/>
      <c r="AH54" s="425"/>
      <c r="AI54" s="425"/>
      <c r="AJ54" s="426"/>
      <c r="AK54" s="333" t="str">
        <f>IF(BI17="","",BI17)</f>
        <v>T54B-2004</v>
      </c>
      <c r="AL54" s="209"/>
      <c r="AM54" s="209"/>
      <c r="AN54" s="209"/>
      <c r="AO54" s="209"/>
      <c r="AP54" s="334"/>
      <c r="AQ54" s="333" t="str">
        <f>AJ36</f>
        <v>M³</v>
      </c>
      <c r="AR54" s="209"/>
      <c r="AS54" s="209"/>
      <c r="AT54" s="209"/>
      <c r="AU54" s="209"/>
      <c r="AV54" s="334"/>
      <c r="AW54" s="195"/>
      <c r="AX54" s="430"/>
      <c r="AY54" s="430"/>
      <c r="AZ54" s="430"/>
      <c r="BA54" s="430"/>
      <c r="BB54" s="430"/>
      <c r="BC54" s="430"/>
      <c r="BD54" s="430"/>
      <c r="BE54" s="430"/>
      <c r="BF54" s="430"/>
      <c r="BG54" s="430"/>
      <c r="BH54" s="430"/>
      <c r="BI54" s="430"/>
      <c r="BJ54" s="430"/>
      <c r="BK54" s="430"/>
      <c r="BL54" s="430"/>
      <c r="BM54" s="430"/>
      <c r="BN54" s="430"/>
      <c r="BO54" s="430"/>
      <c r="BP54" s="430"/>
      <c r="BQ54" s="430"/>
      <c r="BR54" s="430"/>
      <c r="BS54" s="430"/>
      <c r="BT54" s="430"/>
      <c r="BU54" s="430"/>
      <c r="BV54" s="430"/>
      <c r="BW54" s="430"/>
      <c r="BX54" s="430"/>
      <c r="BY54" s="430"/>
      <c r="BZ54" s="430"/>
      <c r="CA54" s="430"/>
      <c r="CB54" s="430"/>
      <c r="CC54" s="430"/>
      <c r="CD54" s="430"/>
      <c r="CE54" s="430"/>
      <c r="CF54" s="430"/>
      <c r="CG54" s="430"/>
      <c r="CN54" s="91"/>
    </row>
    <row r="55" spans="1:131" ht="11.45" hidden="1" customHeight="1" x14ac:dyDescent="0.2">
      <c r="A55" s="423"/>
      <c r="B55" s="423"/>
      <c r="C55" s="423"/>
      <c r="D55" s="423"/>
      <c r="E55" s="423"/>
      <c r="F55" s="423"/>
      <c r="G55" s="423"/>
      <c r="H55" s="423"/>
      <c r="I55" s="423"/>
      <c r="J55" s="423"/>
      <c r="K55" s="423"/>
      <c r="L55" s="423"/>
      <c r="M55" s="423"/>
      <c r="N55" s="423"/>
      <c r="O55" s="423"/>
      <c r="P55" s="423"/>
      <c r="Q55" s="423"/>
      <c r="R55" s="423"/>
      <c r="S55" s="423"/>
      <c r="T55" s="423"/>
      <c r="U55" s="423"/>
      <c r="V55" s="423"/>
      <c r="W55" s="423"/>
      <c r="X55" s="423"/>
      <c r="Y55" s="423"/>
      <c r="Z55" s="423"/>
      <c r="AA55" s="423"/>
      <c r="AB55" s="423"/>
      <c r="AC55" s="423"/>
      <c r="AD55" s="423"/>
      <c r="AE55" s="423"/>
      <c r="AF55" s="423"/>
      <c r="AG55" s="423"/>
      <c r="AH55" s="423"/>
      <c r="AI55" s="423"/>
      <c r="AJ55" s="423"/>
      <c r="AK55" s="423"/>
      <c r="AL55" s="423"/>
      <c r="AM55" s="423"/>
      <c r="AN55" s="423"/>
      <c r="AO55" s="423"/>
      <c r="AP55" s="423"/>
      <c r="AQ55" s="423"/>
      <c r="AR55" s="423"/>
      <c r="AS55" s="423"/>
      <c r="AT55" s="423"/>
      <c r="AU55" s="423"/>
      <c r="AV55" s="423"/>
      <c r="AW55" s="195"/>
      <c r="AX55" s="311" t="str">
        <f>IF('Bunker Certificate 3'!U25="","",'Bunker Certificate 3'!U25)</f>
        <v/>
      </c>
      <c r="AY55" s="311"/>
      <c r="AZ55" s="311"/>
      <c r="BA55" s="311"/>
      <c r="BB55" s="311"/>
      <c r="BC55" s="311"/>
      <c r="BD55" s="311"/>
      <c r="BE55" s="311"/>
      <c r="BF55" s="311"/>
      <c r="BG55" s="311" t="str">
        <f>IF(OR(BQ55="",BY55=""),"",BY55/BQ55)</f>
        <v/>
      </c>
      <c r="BH55" s="311"/>
      <c r="BI55" s="311"/>
      <c r="BJ55" s="311"/>
      <c r="BK55" s="311"/>
      <c r="BL55" s="311"/>
      <c r="BM55" s="311"/>
      <c r="BN55" s="311"/>
      <c r="BO55" s="311"/>
      <c r="BP55" s="311"/>
      <c r="BQ55" s="423" t="str">
        <f>IF(AX55="","",AX55-0.0011)</f>
        <v/>
      </c>
      <c r="BR55" s="423"/>
      <c r="BS55" s="423"/>
      <c r="BT55" s="423"/>
      <c r="BU55" s="423"/>
      <c r="BV55" s="423"/>
      <c r="BW55" s="423"/>
      <c r="BX55" s="423"/>
      <c r="BY55" s="423" t="str">
        <f>IF(BR11="","",BR11)</f>
        <v/>
      </c>
      <c r="BZ55" s="423"/>
      <c r="CA55" s="423"/>
      <c r="CB55" s="423"/>
      <c r="CC55" s="423"/>
      <c r="CD55" s="423"/>
      <c r="CE55" s="423"/>
      <c r="CF55" s="423"/>
      <c r="CG55" s="423"/>
    </row>
    <row r="56" spans="1:131" ht="11.45" hidden="1" customHeight="1" x14ac:dyDescent="0.2">
      <c r="A56" s="423"/>
      <c r="B56" s="423"/>
      <c r="C56" s="423"/>
      <c r="D56" s="423"/>
      <c r="E56" s="423"/>
      <c r="F56" s="423"/>
      <c r="G56" s="423"/>
      <c r="H56" s="423"/>
      <c r="I56" s="423"/>
      <c r="J56" s="423"/>
      <c r="K56" s="423"/>
      <c r="L56" s="423"/>
      <c r="M56" s="423"/>
      <c r="N56" s="423"/>
      <c r="O56" s="423"/>
      <c r="P56" s="423"/>
      <c r="Q56" s="423"/>
      <c r="R56" s="423"/>
      <c r="S56" s="423"/>
      <c r="T56" s="423"/>
      <c r="U56" s="423"/>
      <c r="V56" s="423"/>
      <c r="W56" s="423"/>
      <c r="X56" s="423"/>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195"/>
      <c r="AX56" s="311"/>
      <c r="AY56" s="311"/>
      <c r="AZ56" s="311"/>
      <c r="BA56" s="311"/>
      <c r="BB56" s="311"/>
      <c r="BC56" s="311"/>
      <c r="BD56" s="311"/>
      <c r="BE56" s="311"/>
      <c r="BF56" s="311"/>
      <c r="BG56" s="311"/>
      <c r="BH56" s="311"/>
      <c r="BI56" s="311"/>
      <c r="BJ56" s="311"/>
      <c r="BK56" s="311"/>
      <c r="BL56" s="311"/>
      <c r="BM56" s="311"/>
      <c r="BN56" s="311"/>
      <c r="BO56" s="311"/>
      <c r="BP56" s="311"/>
      <c r="BQ56" s="423"/>
      <c r="BR56" s="423"/>
      <c r="BS56" s="423"/>
      <c r="BT56" s="423"/>
      <c r="BU56" s="423"/>
      <c r="BV56" s="423"/>
      <c r="BW56" s="423"/>
      <c r="BX56" s="423"/>
      <c r="BY56" s="423"/>
      <c r="BZ56" s="423"/>
      <c r="CA56" s="423"/>
      <c r="CB56" s="423"/>
      <c r="CC56" s="423"/>
      <c r="CD56" s="423"/>
      <c r="CE56" s="423"/>
      <c r="CF56" s="423"/>
      <c r="CG56" s="423"/>
      <c r="CN56" s="1" t="s">
        <v>425</v>
      </c>
    </row>
    <row r="57" spans="1:131" ht="11.45" hidden="1" customHeight="1" x14ac:dyDescent="0.2">
      <c r="A57" s="423"/>
      <c r="B57" s="423"/>
      <c r="C57" s="423"/>
      <c r="D57" s="423"/>
      <c r="E57" s="423"/>
      <c r="F57" s="423"/>
      <c r="G57" s="423"/>
      <c r="H57" s="423"/>
      <c r="I57" s="423"/>
      <c r="J57" s="423"/>
      <c r="K57" s="423"/>
      <c r="L57" s="423"/>
      <c r="M57" s="423"/>
      <c r="N57" s="423"/>
      <c r="O57" s="423"/>
      <c r="P57" s="423"/>
      <c r="Q57" s="423"/>
      <c r="R57" s="423"/>
      <c r="S57" s="423"/>
      <c r="T57" s="423"/>
      <c r="U57" s="423"/>
      <c r="V57" s="423"/>
      <c r="W57" s="423"/>
      <c r="X57" s="423"/>
      <c r="Y57" s="423"/>
      <c r="Z57" s="423"/>
      <c r="AA57" s="423"/>
      <c r="AB57" s="423"/>
      <c r="AC57" s="423"/>
      <c r="AD57" s="423"/>
      <c r="AE57" s="423"/>
      <c r="AF57" s="423"/>
      <c r="AG57" s="423"/>
      <c r="AH57" s="423"/>
      <c r="AI57" s="423"/>
      <c r="AJ57" s="423"/>
      <c r="AK57" s="423"/>
      <c r="AL57" s="423"/>
      <c r="AM57" s="423"/>
      <c r="AN57" s="423"/>
      <c r="AO57" s="423"/>
      <c r="AP57" s="423"/>
      <c r="AQ57" s="423"/>
      <c r="AR57" s="423"/>
      <c r="AS57" s="423"/>
      <c r="AT57" s="423"/>
      <c r="AU57" s="423"/>
      <c r="AV57" s="423"/>
      <c r="AW57" s="195"/>
      <c r="AX57" s="311"/>
      <c r="AY57" s="311"/>
      <c r="AZ57" s="311"/>
      <c r="BA57" s="311"/>
      <c r="BB57" s="311"/>
      <c r="BC57" s="311"/>
      <c r="BD57" s="311"/>
      <c r="BE57" s="311"/>
      <c r="BF57" s="311"/>
      <c r="BG57" s="311"/>
      <c r="BH57" s="311"/>
      <c r="BI57" s="311"/>
      <c r="BJ57" s="311"/>
      <c r="BK57" s="311"/>
      <c r="BL57" s="311"/>
      <c r="BM57" s="311"/>
      <c r="BN57" s="311"/>
      <c r="BO57" s="311"/>
      <c r="BP57" s="311"/>
      <c r="BQ57" s="423"/>
      <c r="BR57" s="423"/>
      <c r="BS57" s="423"/>
      <c r="BT57" s="423"/>
      <c r="BU57" s="423"/>
      <c r="BV57" s="423"/>
      <c r="BW57" s="423"/>
      <c r="BX57" s="423"/>
      <c r="BY57" s="423"/>
      <c r="BZ57" s="423"/>
      <c r="CA57" s="423"/>
      <c r="CB57" s="423"/>
      <c r="CC57" s="423"/>
      <c r="CD57" s="423"/>
      <c r="CE57" s="423"/>
      <c r="CF57" s="423"/>
      <c r="CG57" s="423"/>
      <c r="CN57" s="107" t="s">
        <v>429</v>
      </c>
    </row>
    <row r="58" spans="1:131" ht="11.45" hidden="1" customHeight="1" x14ac:dyDescent="0.2">
      <c r="A58" s="428" t="s">
        <v>441</v>
      </c>
      <c r="B58" s="428"/>
      <c r="C58" s="428"/>
      <c r="D58" s="428"/>
      <c r="E58" s="102" t="s">
        <v>0</v>
      </c>
      <c r="F58" s="429"/>
      <c r="G58" s="429"/>
      <c r="H58" s="429"/>
      <c r="I58" s="429"/>
      <c r="J58" s="429"/>
      <c r="K58" s="429"/>
      <c r="L58" s="429"/>
      <c r="M58" s="429"/>
      <c r="N58" s="429"/>
      <c r="O58" s="429"/>
      <c r="P58" s="429"/>
      <c r="Q58" s="429"/>
      <c r="R58" s="429"/>
      <c r="S58" s="429"/>
      <c r="T58" s="429"/>
      <c r="U58" s="429"/>
      <c r="V58" s="429"/>
      <c r="W58" s="429"/>
      <c r="X58" s="429"/>
      <c r="Y58" s="429"/>
      <c r="Z58" s="429"/>
      <c r="AA58" s="429"/>
      <c r="AB58" s="429"/>
      <c r="AC58" s="429"/>
      <c r="AD58" s="429"/>
      <c r="AE58" s="429"/>
      <c r="AF58" s="429"/>
      <c r="AG58" s="429"/>
      <c r="AH58" s="429"/>
      <c r="AI58" s="429"/>
      <c r="AJ58" s="429"/>
      <c r="AK58" s="429"/>
      <c r="AL58" s="429"/>
      <c r="AM58" s="429"/>
      <c r="AN58" s="429"/>
      <c r="AO58" s="429"/>
      <c r="AP58" s="429"/>
      <c r="AQ58" s="429"/>
      <c r="AR58" s="429"/>
      <c r="AS58" s="429"/>
      <c r="AT58" s="429"/>
      <c r="AU58" s="429"/>
      <c r="AV58" s="429"/>
      <c r="AW58" s="429"/>
      <c r="AX58" s="429"/>
      <c r="AY58" s="429"/>
      <c r="AZ58" s="429"/>
      <c r="BA58" s="429"/>
      <c r="BB58" s="429"/>
      <c r="BC58" s="429"/>
      <c r="BD58" s="429"/>
      <c r="BE58" s="429"/>
      <c r="BF58" s="429"/>
      <c r="BG58" s="429"/>
      <c r="BH58" s="429"/>
      <c r="BI58" s="429"/>
      <c r="BJ58" s="429"/>
      <c r="BK58" s="429"/>
      <c r="BL58" s="429"/>
      <c r="BM58" s="429"/>
      <c r="BN58" s="429"/>
      <c r="BO58" s="429"/>
      <c r="BP58" s="429"/>
      <c r="BQ58" s="429"/>
      <c r="BR58" s="429"/>
      <c r="BS58" s="429"/>
      <c r="BT58" s="429"/>
      <c r="BU58" s="429"/>
      <c r="BV58" s="429"/>
      <c r="BW58" s="429"/>
      <c r="BX58" s="429"/>
      <c r="BY58" s="429"/>
      <c r="BZ58" s="429"/>
      <c r="CA58" s="429"/>
      <c r="CB58" s="429"/>
      <c r="CC58" s="429"/>
      <c r="CD58" s="429"/>
      <c r="CE58" s="429"/>
      <c r="CF58" s="429"/>
      <c r="CG58" s="429"/>
      <c r="CM58" s="91"/>
      <c r="CN58" s="87" t="s">
        <v>430</v>
      </c>
      <c r="CO58" s="91"/>
      <c r="CP58" s="91"/>
      <c r="CQ58" s="91"/>
    </row>
    <row r="59" spans="1:131" ht="11.45" customHeight="1" x14ac:dyDescent="0.2">
      <c r="A59" s="154"/>
      <c r="B59" s="154"/>
      <c r="C59" s="215" t="str">
        <f>IF('Data Entry'!N29="","",'Data Entry'!N29)&amp;IF(OR('Data Entry'!N29="",'Data Entry'!N30=""),""," / Licence No")&amp; IF('Data Entry'!N30="","",'Data Entry'!N30)</f>
        <v>MEHMET EROĞLU</v>
      </c>
      <c r="D59" s="215"/>
      <c r="E59" s="215"/>
      <c r="F59" s="215"/>
      <c r="G59" s="215"/>
      <c r="H59" s="215"/>
      <c r="I59" s="215"/>
      <c r="J59" s="215"/>
      <c r="K59" s="215"/>
      <c r="L59" s="215"/>
      <c r="M59" s="215"/>
      <c r="N59" s="215"/>
      <c r="O59" s="215"/>
      <c r="P59" s="215"/>
      <c r="Q59" s="154"/>
      <c r="R59" s="154"/>
      <c r="S59" s="154"/>
      <c r="T59" s="154"/>
      <c r="U59" s="154"/>
      <c r="V59" s="154"/>
      <c r="W59" s="154"/>
      <c r="X59" s="154"/>
      <c r="Y59" s="154"/>
      <c r="Z59" s="154"/>
      <c r="AA59" s="154"/>
      <c r="AB59" s="154"/>
      <c r="AC59" s="154"/>
      <c r="AD59" s="154"/>
      <c r="AE59" s="154"/>
      <c r="AF59" s="154"/>
      <c r="AG59" s="154"/>
      <c r="AH59" s="154"/>
      <c r="AI59" s="154"/>
      <c r="AJ59" s="154"/>
      <c r="AK59" s="215" t="str">
        <f>IF('Data Entry'!N23="","",'Data Entry'!N23)</f>
        <v/>
      </c>
      <c r="AL59" s="215"/>
      <c r="AM59" s="215"/>
      <c r="AN59" s="215"/>
      <c r="AO59" s="215"/>
      <c r="AP59" s="215"/>
      <c r="AQ59" s="215"/>
      <c r="AR59" s="215"/>
      <c r="AS59" s="215"/>
      <c r="AT59" s="215"/>
      <c r="AU59" s="215"/>
      <c r="AV59" s="215"/>
      <c r="AW59" s="215"/>
      <c r="AX59" s="215"/>
      <c r="AY59" s="154"/>
      <c r="AZ59" s="154"/>
      <c r="BA59" s="154"/>
      <c r="BB59" s="154"/>
      <c r="BC59" s="154"/>
      <c r="BD59" s="154"/>
      <c r="BE59" s="154"/>
      <c r="BF59" s="154"/>
      <c r="BG59" s="154"/>
      <c r="BH59" s="154"/>
      <c r="BI59" s="154"/>
      <c r="BJ59" s="154"/>
      <c r="BK59" s="154"/>
      <c r="BL59" s="154"/>
      <c r="BM59" s="154"/>
      <c r="BN59" s="154"/>
      <c r="BO59" s="154"/>
      <c r="BP59" s="154"/>
      <c r="BQ59" s="154"/>
      <c r="BR59" s="215" t="str">
        <f>IF('Data Entry'!N9="","",'Data Entry'!N9)</f>
        <v/>
      </c>
      <c r="BS59" s="215"/>
      <c r="BT59" s="215"/>
      <c r="BU59" s="215"/>
      <c r="BV59" s="215"/>
      <c r="BW59" s="215"/>
      <c r="BX59" s="215"/>
      <c r="BY59" s="215"/>
      <c r="BZ59" s="215"/>
      <c r="CA59" s="215"/>
      <c r="CB59" s="215"/>
      <c r="CC59" s="215"/>
      <c r="CD59" s="215"/>
      <c r="CE59" s="215"/>
      <c r="CF59" s="375"/>
      <c r="CG59" s="375"/>
      <c r="CN59" s="87" t="s">
        <v>444</v>
      </c>
      <c r="DW59" s="35"/>
      <c r="DX59" s="56"/>
      <c r="DZ59" s="35"/>
      <c r="EA59" s="56"/>
    </row>
    <row r="60" spans="1:131" ht="11.45" customHeight="1" x14ac:dyDescent="0.2">
      <c r="A60" s="154"/>
      <c r="B60" s="154"/>
      <c r="C60" s="215"/>
      <c r="D60" s="215"/>
      <c r="E60" s="215"/>
      <c r="F60" s="215"/>
      <c r="G60" s="215"/>
      <c r="H60" s="215"/>
      <c r="I60" s="215"/>
      <c r="J60" s="215"/>
      <c r="K60" s="215"/>
      <c r="L60" s="215"/>
      <c r="M60" s="215"/>
      <c r="N60" s="215"/>
      <c r="O60" s="215"/>
      <c r="P60" s="215"/>
      <c r="Q60" s="154"/>
      <c r="R60" s="154"/>
      <c r="S60" s="154"/>
      <c r="T60" s="154"/>
      <c r="U60" s="154"/>
      <c r="V60" s="154"/>
      <c r="W60" s="154"/>
      <c r="X60" s="154"/>
      <c r="Y60" s="154"/>
      <c r="Z60" s="154"/>
      <c r="AA60" s="154"/>
      <c r="AB60" s="154"/>
      <c r="AC60" s="154"/>
      <c r="AD60" s="154"/>
      <c r="AE60" s="154"/>
      <c r="AF60" s="154"/>
      <c r="AG60" s="154"/>
      <c r="AH60" s="154"/>
      <c r="AI60" s="154"/>
      <c r="AJ60" s="154"/>
      <c r="AK60" s="215"/>
      <c r="AL60" s="215"/>
      <c r="AM60" s="215"/>
      <c r="AN60" s="215"/>
      <c r="AO60" s="215"/>
      <c r="AP60" s="215"/>
      <c r="AQ60" s="215"/>
      <c r="AR60" s="215"/>
      <c r="AS60" s="215"/>
      <c r="AT60" s="215"/>
      <c r="AU60" s="215"/>
      <c r="AV60" s="215"/>
      <c r="AW60" s="215"/>
      <c r="AX60" s="215"/>
      <c r="AY60" s="154"/>
      <c r="AZ60" s="154"/>
      <c r="BA60" s="154"/>
      <c r="BB60" s="154"/>
      <c r="BC60" s="154"/>
      <c r="BD60" s="154"/>
      <c r="BE60" s="154"/>
      <c r="BF60" s="154"/>
      <c r="BG60" s="154"/>
      <c r="BH60" s="154"/>
      <c r="BI60" s="154"/>
      <c r="BJ60" s="154"/>
      <c r="BK60" s="154"/>
      <c r="BL60" s="154"/>
      <c r="BM60" s="154"/>
      <c r="BN60" s="154"/>
      <c r="BO60" s="154"/>
      <c r="BP60" s="154"/>
      <c r="BQ60" s="154"/>
      <c r="BR60" s="215"/>
      <c r="BS60" s="215"/>
      <c r="BT60" s="215"/>
      <c r="BU60" s="215"/>
      <c r="BV60" s="215"/>
      <c r="BW60" s="215"/>
      <c r="BX60" s="215"/>
      <c r="BY60" s="215"/>
      <c r="BZ60" s="215"/>
      <c r="CA60" s="215"/>
      <c r="CB60" s="215"/>
      <c r="CC60" s="215"/>
      <c r="CD60" s="215"/>
      <c r="CE60" s="215"/>
      <c r="CF60" s="375"/>
      <c r="CG60" s="375"/>
      <c r="CN60" s="2" t="s">
        <v>431</v>
      </c>
      <c r="DW60" s="35"/>
      <c r="DX60" s="56"/>
      <c r="DZ60" s="35"/>
      <c r="EA60" s="56"/>
    </row>
    <row r="61" spans="1:131" ht="11.45" customHeight="1" x14ac:dyDescent="0.2">
      <c r="A61" s="154"/>
      <c r="B61" s="154"/>
      <c r="C61" s="216"/>
      <c r="D61" s="216"/>
      <c r="E61" s="216"/>
      <c r="F61" s="216"/>
      <c r="G61" s="216"/>
      <c r="H61" s="216"/>
      <c r="I61" s="216"/>
      <c r="J61" s="216"/>
      <c r="K61" s="216"/>
      <c r="L61" s="216"/>
      <c r="M61" s="216"/>
      <c r="N61" s="216"/>
      <c r="O61" s="216"/>
      <c r="P61" s="216"/>
      <c r="Q61" s="154"/>
      <c r="R61" s="154"/>
      <c r="S61" s="154"/>
      <c r="T61" s="154"/>
      <c r="U61" s="154"/>
      <c r="V61" s="154"/>
      <c r="W61" s="154"/>
      <c r="X61" s="154"/>
      <c r="Y61" s="154"/>
      <c r="Z61" s="154"/>
      <c r="AA61" s="154"/>
      <c r="AB61" s="154"/>
      <c r="AC61" s="154"/>
      <c r="AD61" s="154"/>
      <c r="AE61" s="154"/>
      <c r="AF61" s="154"/>
      <c r="AG61" s="154"/>
      <c r="AH61" s="154"/>
      <c r="AI61" s="154"/>
      <c r="AJ61" s="154"/>
      <c r="AK61" s="216"/>
      <c r="AL61" s="216"/>
      <c r="AM61" s="216"/>
      <c r="AN61" s="216"/>
      <c r="AO61" s="216"/>
      <c r="AP61" s="216"/>
      <c r="AQ61" s="216"/>
      <c r="AR61" s="216"/>
      <c r="AS61" s="216"/>
      <c r="AT61" s="216"/>
      <c r="AU61" s="216"/>
      <c r="AV61" s="216"/>
      <c r="AW61" s="216"/>
      <c r="AX61" s="216"/>
      <c r="AY61" s="154"/>
      <c r="AZ61" s="154"/>
      <c r="BA61" s="154"/>
      <c r="BB61" s="154"/>
      <c r="BC61" s="154"/>
      <c r="BD61" s="154"/>
      <c r="BE61" s="154"/>
      <c r="BF61" s="154"/>
      <c r="BG61" s="154"/>
      <c r="BH61" s="154"/>
      <c r="BI61" s="154"/>
      <c r="BJ61" s="154"/>
      <c r="BK61" s="154"/>
      <c r="BL61" s="154"/>
      <c r="BM61" s="154"/>
      <c r="BN61" s="154"/>
      <c r="BO61" s="154"/>
      <c r="BP61" s="154"/>
      <c r="BQ61" s="154"/>
      <c r="BR61" s="216"/>
      <c r="BS61" s="216"/>
      <c r="BT61" s="216"/>
      <c r="BU61" s="216"/>
      <c r="BV61" s="216"/>
      <c r="BW61" s="216"/>
      <c r="BX61" s="216"/>
      <c r="BY61" s="216"/>
      <c r="BZ61" s="216"/>
      <c r="CA61" s="216"/>
      <c r="CB61" s="216"/>
      <c r="CC61" s="216"/>
      <c r="CD61" s="216"/>
      <c r="CE61" s="216"/>
      <c r="CF61" s="375"/>
      <c r="CG61" s="375"/>
      <c r="CN61" s="91"/>
      <c r="DW61" s="35"/>
      <c r="DX61" s="56"/>
      <c r="DZ61" s="35"/>
      <c r="EA61" s="56"/>
    </row>
    <row r="62" spans="1:131" ht="11.45" customHeight="1" x14ac:dyDescent="0.2">
      <c r="A62" s="154"/>
      <c r="B62" s="154"/>
      <c r="C62" s="211" t="s">
        <v>184</v>
      </c>
      <c r="D62" s="211"/>
      <c r="E62" s="211"/>
      <c r="F62" s="211"/>
      <c r="G62" s="211"/>
      <c r="H62" s="211"/>
      <c r="I62" s="211"/>
      <c r="J62" s="211"/>
      <c r="K62" s="211"/>
      <c r="L62" s="211"/>
      <c r="M62" s="211"/>
      <c r="N62" s="211"/>
      <c r="O62" s="211"/>
      <c r="P62" s="211"/>
      <c r="Q62" s="154"/>
      <c r="R62" s="154"/>
      <c r="S62" s="154"/>
      <c r="T62" s="154"/>
      <c r="U62" s="154"/>
      <c r="V62" s="154"/>
      <c r="W62" s="154"/>
      <c r="X62" s="154"/>
      <c r="Y62" s="154"/>
      <c r="Z62" s="154"/>
      <c r="AA62" s="154"/>
      <c r="AB62" s="154"/>
      <c r="AC62" s="154"/>
      <c r="AD62" s="154"/>
      <c r="AE62" s="154"/>
      <c r="AF62" s="154"/>
      <c r="AG62" s="154"/>
      <c r="AH62" s="154"/>
      <c r="AI62" s="154"/>
      <c r="AJ62" s="154"/>
      <c r="AK62" s="218" t="s">
        <v>51</v>
      </c>
      <c r="AL62" s="218"/>
      <c r="AM62" s="218"/>
      <c r="AN62" s="218"/>
      <c r="AO62" s="218"/>
      <c r="AP62" s="218"/>
      <c r="AQ62" s="218"/>
      <c r="AR62" s="218"/>
      <c r="AS62" s="218"/>
      <c r="AT62" s="218"/>
      <c r="AU62" s="218"/>
      <c r="AV62" s="218"/>
      <c r="AW62" s="218"/>
      <c r="AX62" s="218"/>
      <c r="AY62" s="154"/>
      <c r="AZ62" s="154"/>
      <c r="BA62" s="154"/>
      <c r="BB62" s="154"/>
      <c r="BC62" s="154"/>
      <c r="BD62" s="154"/>
      <c r="BE62" s="154"/>
      <c r="BF62" s="154"/>
      <c r="BG62" s="154"/>
      <c r="BH62" s="154"/>
      <c r="BI62" s="154"/>
      <c r="BJ62" s="154"/>
      <c r="BK62" s="154"/>
      <c r="BL62" s="154"/>
      <c r="BM62" s="154"/>
      <c r="BN62" s="154"/>
      <c r="BO62" s="154"/>
      <c r="BP62" s="154"/>
      <c r="BQ62" s="154"/>
      <c r="BR62" s="218" t="s">
        <v>17</v>
      </c>
      <c r="BS62" s="218"/>
      <c r="BT62" s="218"/>
      <c r="BU62" s="218"/>
      <c r="BV62" s="218"/>
      <c r="BW62" s="218"/>
      <c r="BX62" s="218"/>
      <c r="BY62" s="218"/>
      <c r="BZ62" s="218"/>
      <c r="CA62" s="218"/>
      <c r="CB62" s="218"/>
      <c r="CC62" s="218"/>
      <c r="CD62" s="218"/>
      <c r="CE62" s="218"/>
      <c r="CF62" s="375"/>
      <c r="CG62" s="375"/>
      <c r="DW62" s="35"/>
      <c r="DX62" s="56"/>
      <c r="DZ62" s="35"/>
      <c r="EA62" s="56"/>
    </row>
    <row r="63" spans="1:131" ht="11.45" customHeight="1" x14ac:dyDescent="0.2">
      <c r="A63" s="148" t="s">
        <v>179</v>
      </c>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9" t="str">
        <f>'Data Entry'!AK9</f>
        <v>LTS-CUS-F-01 rev 2.0</v>
      </c>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c r="BS63" s="149"/>
      <c r="BT63" s="149"/>
      <c r="BU63" s="149"/>
      <c r="BV63" s="149"/>
      <c r="BW63" s="149"/>
      <c r="BX63" s="149"/>
      <c r="BY63" s="149"/>
      <c r="BZ63" s="149"/>
      <c r="CA63" s="149"/>
      <c r="CB63" s="149"/>
      <c r="CC63" s="149"/>
      <c r="CD63" s="149"/>
      <c r="CE63" s="149"/>
      <c r="CF63" s="149"/>
      <c r="CG63" s="149"/>
      <c r="CN63" s="1" t="s">
        <v>428</v>
      </c>
      <c r="DW63" s="35"/>
      <c r="DX63" s="56"/>
      <c r="DZ63" s="35"/>
      <c r="EA63" s="56"/>
    </row>
    <row r="64" spans="1:131" ht="11.45" customHeight="1" x14ac:dyDescent="0.2">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N64" s="107" t="s">
        <v>432</v>
      </c>
      <c r="DW64" s="35"/>
      <c r="DX64" s="56"/>
      <c r="DZ64" s="35"/>
      <c r="EA64" s="56"/>
    </row>
    <row r="65" spans="57:131" ht="11.45" customHeight="1" x14ac:dyDescent="0.2">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N65" s="2" t="s">
        <v>433</v>
      </c>
      <c r="DW65" s="35"/>
      <c r="DX65" s="56"/>
      <c r="DZ65" s="35"/>
      <c r="EA65" s="56"/>
    </row>
    <row r="66" spans="57:131" ht="11.45" customHeight="1" x14ac:dyDescent="0.2">
      <c r="CB66" s="90"/>
      <c r="CC66" s="90"/>
      <c r="CD66" s="90"/>
      <c r="CE66" s="90"/>
      <c r="CF66" s="90"/>
      <c r="CG66" s="90"/>
    </row>
  </sheetData>
  <sheetProtection formatCells="0" selectLockedCells="1"/>
  <mergeCells count="665">
    <mergeCell ref="A58:D58"/>
    <mergeCell ref="F58:CG58"/>
    <mergeCell ref="A57:F57"/>
    <mergeCell ref="G57:L57"/>
    <mergeCell ref="M57:R57"/>
    <mergeCell ref="S57:X57"/>
    <mergeCell ref="Y57:AD57"/>
    <mergeCell ref="AE57:AJ57"/>
    <mergeCell ref="A55:F55"/>
    <mergeCell ref="G55:L55"/>
    <mergeCell ref="M55:R55"/>
    <mergeCell ref="S55:X55"/>
    <mergeCell ref="Y55:AD55"/>
    <mergeCell ref="AE55:AJ55"/>
    <mergeCell ref="AK55:AP55"/>
    <mergeCell ref="AQ55:AV55"/>
    <mergeCell ref="AX55:BF57"/>
    <mergeCell ref="AK56:AP56"/>
    <mergeCell ref="AQ56:AV56"/>
    <mergeCell ref="AK57:AP57"/>
    <mergeCell ref="AQ57:AV57"/>
    <mergeCell ref="A56:F56"/>
    <mergeCell ref="G56:L56"/>
    <mergeCell ref="M56:R56"/>
    <mergeCell ref="BG55:BP57"/>
    <mergeCell ref="BQ55:BX57"/>
    <mergeCell ref="BY55:CG57"/>
    <mergeCell ref="S56:X56"/>
    <mergeCell ref="Y56:AD56"/>
    <mergeCell ref="AE56:AJ56"/>
    <mergeCell ref="AE53:AJ53"/>
    <mergeCell ref="AK53:AP53"/>
    <mergeCell ref="AQ53:AV53"/>
    <mergeCell ref="AW53:AW57"/>
    <mergeCell ref="AX53:BF54"/>
    <mergeCell ref="BG53:BP54"/>
    <mergeCell ref="BY53:CG54"/>
    <mergeCell ref="S54:X54"/>
    <mergeCell ref="Y54:AD54"/>
    <mergeCell ref="AE54:AJ54"/>
    <mergeCell ref="AK54:AP54"/>
    <mergeCell ref="AQ54:AV54"/>
    <mergeCell ref="BS46:BW46"/>
    <mergeCell ref="BX46:CB46"/>
    <mergeCell ref="AO46:AS46"/>
    <mergeCell ref="AT46:AX46"/>
    <mergeCell ref="AY48:BC48"/>
    <mergeCell ref="AT48:AX48"/>
    <mergeCell ref="BS48:BW48"/>
    <mergeCell ref="BX47:CB47"/>
    <mergeCell ref="BX44:CB44"/>
    <mergeCell ref="BS44:BW44"/>
    <mergeCell ref="CC47:CG47"/>
    <mergeCell ref="CC48:CG48"/>
    <mergeCell ref="CC49:CG49"/>
    <mergeCell ref="CC38:CG38"/>
    <mergeCell ref="CC39:CG39"/>
    <mergeCell ref="CC40:CG40"/>
    <mergeCell ref="CC41:CG41"/>
    <mergeCell ref="CC42:CG42"/>
    <mergeCell ref="CC44:CG44"/>
    <mergeCell ref="CC45:CG45"/>
    <mergeCell ref="CC46:CG46"/>
    <mergeCell ref="AO63:CG63"/>
    <mergeCell ref="AK59:AX61"/>
    <mergeCell ref="AK62:AX62"/>
    <mergeCell ref="BR59:CE61"/>
    <mergeCell ref="BR62:CE62"/>
    <mergeCell ref="Q59:AJ62"/>
    <mergeCell ref="AY59:BQ62"/>
    <mergeCell ref="CF59:CG62"/>
    <mergeCell ref="A63:AN63"/>
    <mergeCell ref="A59:B62"/>
    <mergeCell ref="C59:P61"/>
    <mergeCell ref="C62:P62"/>
    <mergeCell ref="AT42:AX42"/>
    <mergeCell ref="AJ43:AN43"/>
    <mergeCell ref="AE46:AI46"/>
    <mergeCell ref="AJ46:AN46"/>
    <mergeCell ref="BI46:BM46"/>
    <mergeCell ref="CC24:CG24"/>
    <mergeCell ref="CC25:CG25"/>
    <mergeCell ref="BX45:CB45"/>
    <mergeCell ref="BS45:BW45"/>
    <mergeCell ref="BI41:BM41"/>
    <mergeCell ref="BN41:BR41"/>
    <mergeCell ref="BN42:BR42"/>
    <mergeCell ref="BS41:BW41"/>
    <mergeCell ref="BX41:CB41"/>
    <mergeCell ref="BD42:BH42"/>
    <mergeCell ref="BS38:BW38"/>
    <mergeCell ref="BX38:CB38"/>
    <mergeCell ref="AO38:AS38"/>
    <mergeCell ref="AT38:AX38"/>
    <mergeCell ref="AY38:BC38"/>
    <mergeCell ref="BD38:BH38"/>
    <mergeCell ref="CC26:CG26"/>
    <mergeCell ref="AP32:AW32"/>
    <mergeCell ref="AX32:AZ32"/>
    <mergeCell ref="I43:O43"/>
    <mergeCell ref="P43:T43"/>
    <mergeCell ref="A33:F34"/>
    <mergeCell ref="T34:W34"/>
    <mergeCell ref="G33:L33"/>
    <mergeCell ref="AD34:AF34"/>
    <mergeCell ref="AH34:AL34"/>
    <mergeCell ref="AM34:AP34"/>
    <mergeCell ref="U43:Y43"/>
    <mergeCell ref="Z43:AD43"/>
    <mergeCell ref="AE43:AI43"/>
    <mergeCell ref="AO43:AS43"/>
    <mergeCell ref="A41:H41"/>
    <mergeCell ref="I41:O41"/>
    <mergeCell ref="P41:T41"/>
    <mergeCell ref="U41:Y41"/>
    <mergeCell ref="A42:H42"/>
    <mergeCell ref="I42:O42"/>
    <mergeCell ref="P42:T42"/>
    <mergeCell ref="U42:Y42"/>
    <mergeCell ref="Z42:AD42"/>
    <mergeCell ref="AQ33:AU34"/>
    <mergeCell ref="A40:H40"/>
    <mergeCell ref="I40:O40"/>
    <mergeCell ref="BR13:CG13"/>
    <mergeCell ref="A14:F15"/>
    <mergeCell ref="G14:L14"/>
    <mergeCell ref="CC22:CG22"/>
    <mergeCell ref="N14:S14"/>
    <mergeCell ref="T14:W14"/>
    <mergeCell ref="X14:AC15"/>
    <mergeCell ref="AM14:AP14"/>
    <mergeCell ref="AQ14:AV15"/>
    <mergeCell ref="AW14:BL14"/>
    <mergeCell ref="BN14:BQ14"/>
    <mergeCell ref="BR14:CG15"/>
    <mergeCell ref="G15:L15"/>
    <mergeCell ref="N15:S15"/>
    <mergeCell ref="T15:W15"/>
    <mergeCell ref="AD15:AF15"/>
    <mergeCell ref="AH15:AL15"/>
    <mergeCell ref="AM15:AP15"/>
    <mergeCell ref="AW15:BL15"/>
    <mergeCell ref="BS22:BW22"/>
    <mergeCell ref="BX22:CB22"/>
    <mergeCell ref="BD22:BH22"/>
    <mergeCell ref="CC18:CG18"/>
    <mergeCell ref="CC19:CG19"/>
    <mergeCell ref="CC20:CG20"/>
    <mergeCell ref="CC21:CG21"/>
    <mergeCell ref="BI21:BM21"/>
    <mergeCell ref="BS49:BW49"/>
    <mergeCell ref="BX49:CB49"/>
    <mergeCell ref="BX48:CB48"/>
    <mergeCell ref="BN20:BR20"/>
    <mergeCell ref="BS20:BW20"/>
    <mergeCell ref="CC27:CG27"/>
    <mergeCell ref="CC28:CG28"/>
    <mergeCell ref="CC29:CG29"/>
    <mergeCell ref="CC43:CG43"/>
    <mergeCell ref="CC30:CG30"/>
    <mergeCell ref="A31:CG31"/>
    <mergeCell ref="CC35:CG35"/>
    <mergeCell ref="CC36:CG36"/>
    <mergeCell ref="CC37:CG37"/>
    <mergeCell ref="BD37:BH37"/>
    <mergeCell ref="BI37:BM37"/>
    <mergeCell ref="A43:H43"/>
    <mergeCell ref="A32:AK32"/>
    <mergeCell ref="AL32:AN32"/>
    <mergeCell ref="BN34:BQ34"/>
    <mergeCell ref="BX27:CB27"/>
    <mergeCell ref="BX26:CB26"/>
    <mergeCell ref="BX25:CB25"/>
    <mergeCell ref="BS21:BW21"/>
    <mergeCell ref="BX21:CB21"/>
    <mergeCell ref="BI38:BM38"/>
    <mergeCell ref="BS23:BW23"/>
    <mergeCell ref="BX23:CB23"/>
    <mergeCell ref="BI24:BM24"/>
    <mergeCell ref="BI23:BM23"/>
    <mergeCell ref="BI25:BM25"/>
    <mergeCell ref="BN25:BR25"/>
    <mergeCell ref="BX24:CB24"/>
    <mergeCell ref="BS25:BW25"/>
    <mergeCell ref="BI22:BM22"/>
    <mergeCell ref="BN22:BR22"/>
    <mergeCell ref="BN29:BR29"/>
    <mergeCell ref="BB32:BI32"/>
    <mergeCell ref="BJ32:BP32"/>
    <mergeCell ref="AV33:BL33"/>
    <mergeCell ref="AV34:BL34"/>
    <mergeCell ref="A52:CG52"/>
    <mergeCell ref="A53:F54"/>
    <mergeCell ref="G53:L54"/>
    <mergeCell ref="M53:R54"/>
    <mergeCell ref="S53:X53"/>
    <mergeCell ref="Y53:AD53"/>
    <mergeCell ref="AT49:AX49"/>
    <mergeCell ref="AY49:BC49"/>
    <mergeCell ref="BD49:BH49"/>
    <mergeCell ref="BI49:BM49"/>
    <mergeCell ref="BN49:BR49"/>
    <mergeCell ref="A49:AD49"/>
    <mergeCell ref="AE49:AI49"/>
    <mergeCell ref="AJ49:AN49"/>
    <mergeCell ref="AO49:AS49"/>
    <mergeCell ref="A50:CG50"/>
    <mergeCell ref="A51:R51"/>
    <mergeCell ref="S51:AF51"/>
    <mergeCell ref="AH51:AN51"/>
    <mergeCell ref="AP51:AX51"/>
    <mergeCell ref="AZ51:BF51"/>
    <mergeCell ref="BH51:BX51"/>
    <mergeCell ref="BZ51:CF51"/>
    <mergeCell ref="BQ53:BX54"/>
    <mergeCell ref="A48:H48"/>
    <mergeCell ref="I48:O48"/>
    <mergeCell ref="P48:T48"/>
    <mergeCell ref="U48:Y48"/>
    <mergeCell ref="Z48:AD48"/>
    <mergeCell ref="AE48:AI48"/>
    <mergeCell ref="AJ48:AN48"/>
    <mergeCell ref="AO48:AS48"/>
    <mergeCell ref="BS47:BW47"/>
    <mergeCell ref="BD48:BH48"/>
    <mergeCell ref="BI48:BM48"/>
    <mergeCell ref="BN48:BR48"/>
    <mergeCell ref="A46:H46"/>
    <mergeCell ref="I46:O46"/>
    <mergeCell ref="P46:T46"/>
    <mergeCell ref="U46:Y46"/>
    <mergeCell ref="Z46:AD46"/>
    <mergeCell ref="BN46:BR46"/>
    <mergeCell ref="BD47:BH47"/>
    <mergeCell ref="BI47:BM47"/>
    <mergeCell ref="BN47:BR47"/>
    <mergeCell ref="AY46:BC46"/>
    <mergeCell ref="BD46:BH46"/>
    <mergeCell ref="A47:H47"/>
    <mergeCell ref="I47:O47"/>
    <mergeCell ref="P47:T47"/>
    <mergeCell ref="U47:Y47"/>
    <mergeCell ref="AT47:AX47"/>
    <mergeCell ref="AY47:BC47"/>
    <mergeCell ref="Z47:AD47"/>
    <mergeCell ref="AE47:AI47"/>
    <mergeCell ref="AJ47:AN47"/>
    <mergeCell ref="AO47:AS47"/>
    <mergeCell ref="A44:H44"/>
    <mergeCell ref="I44:O44"/>
    <mergeCell ref="P44:T44"/>
    <mergeCell ref="U44:Y44"/>
    <mergeCell ref="Z44:AD44"/>
    <mergeCell ref="BI44:BM44"/>
    <mergeCell ref="BN44:BR44"/>
    <mergeCell ref="AT45:AX45"/>
    <mergeCell ref="AY45:BC45"/>
    <mergeCell ref="BD45:BH45"/>
    <mergeCell ref="A45:H45"/>
    <mergeCell ref="I45:O45"/>
    <mergeCell ref="P45:T45"/>
    <mergeCell ref="U45:Y45"/>
    <mergeCell ref="Z45:AD45"/>
    <mergeCell ref="AE45:AI45"/>
    <mergeCell ref="AJ45:AN45"/>
    <mergeCell ref="AO45:AS45"/>
    <mergeCell ref="BN45:BR45"/>
    <mergeCell ref="BI45:BM45"/>
    <mergeCell ref="AO44:AS44"/>
    <mergeCell ref="AT44:AX44"/>
    <mergeCell ref="AY44:BC44"/>
    <mergeCell ref="BD44:BH44"/>
    <mergeCell ref="AE44:AI44"/>
    <mergeCell ref="CI39:CL40"/>
    <mergeCell ref="AY43:BC43"/>
    <mergeCell ref="AY42:BC42"/>
    <mergeCell ref="BI43:BM43"/>
    <mergeCell ref="BS42:BW42"/>
    <mergeCell ref="BX42:CB42"/>
    <mergeCell ref="BN43:BR43"/>
    <mergeCell ref="BS43:BW43"/>
    <mergeCell ref="BX43:CB43"/>
    <mergeCell ref="BI42:BM42"/>
    <mergeCell ref="AO41:AS41"/>
    <mergeCell ref="AT41:AX41"/>
    <mergeCell ref="AJ40:AN40"/>
    <mergeCell ref="BD43:BH43"/>
    <mergeCell ref="AY41:BC41"/>
    <mergeCell ref="BD41:BH41"/>
    <mergeCell ref="AO40:AS40"/>
    <mergeCell ref="AT40:AX40"/>
    <mergeCell ref="AY40:BC40"/>
    <mergeCell ref="BD40:BH40"/>
    <mergeCell ref="AJ41:AN41"/>
    <mergeCell ref="AT43:AX43"/>
    <mergeCell ref="AO42:AS42"/>
    <mergeCell ref="P40:T40"/>
    <mergeCell ref="U40:Y40"/>
    <mergeCell ref="Z40:AD40"/>
    <mergeCell ref="A39:H39"/>
    <mergeCell ref="I39:O39"/>
    <mergeCell ref="BS40:BW40"/>
    <mergeCell ref="BX40:CB40"/>
    <mergeCell ref="BI40:BM40"/>
    <mergeCell ref="BN40:BR40"/>
    <mergeCell ref="P39:T39"/>
    <mergeCell ref="U39:Y39"/>
    <mergeCell ref="BX39:CB39"/>
    <mergeCell ref="AE40:AI40"/>
    <mergeCell ref="AT39:AX39"/>
    <mergeCell ref="AY39:BC39"/>
    <mergeCell ref="BD39:BH39"/>
    <mergeCell ref="BI39:BM39"/>
    <mergeCell ref="AJ38:AN38"/>
    <mergeCell ref="Z39:AD39"/>
    <mergeCell ref="BN39:BR39"/>
    <mergeCell ref="BS39:BW39"/>
    <mergeCell ref="AE39:AI39"/>
    <mergeCell ref="AJ39:AN39"/>
    <mergeCell ref="AO39:AS39"/>
    <mergeCell ref="A37:H37"/>
    <mergeCell ref="I37:O37"/>
    <mergeCell ref="P37:T37"/>
    <mergeCell ref="U37:Y37"/>
    <mergeCell ref="AT37:AX37"/>
    <mergeCell ref="A38:H38"/>
    <mergeCell ref="I38:O38"/>
    <mergeCell ref="P38:T38"/>
    <mergeCell ref="U38:Y38"/>
    <mergeCell ref="Z38:AD38"/>
    <mergeCell ref="AE38:AI38"/>
    <mergeCell ref="AY37:BC37"/>
    <mergeCell ref="AO37:AS37"/>
    <mergeCell ref="Z37:AD37"/>
    <mergeCell ref="AE37:AI37"/>
    <mergeCell ref="AJ37:AN37"/>
    <mergeCell ref="BN38:BR38"/>
    <mergeCell ref="DW35:DX35"/>
    <mergeCell ref="DY35:DZ35"/>
    <mergeCell ref="EA35:EB35"/>
    <mergeCell ref="AO36:AS36"/>
    <mergeCell ref="DA35:DC35"/>
    <mergeCell ref="DF35:DI35"/>
    <mergeCell ref="DL35:DO35"/>
    <mergeCell ref="BN37:BR37"/>
    <mergeCell ref="BS37:BW37"/>
    <mergeCell ref="BX37:CB37"/>
    <mergeCell ref="BN36:BR36"/>
    <mergeCell ref="BI36:BM36"/>
    <mergeCell ref="BD35:BH35"/>
    <mergeCell ref="BI35:BM35"/>
    <mergeCell ref="BN35:BR35"/>
    <mergeCell ref="DR35:DU35"/>
    <mergeCell ref="BS35:BW36"/>
    <mergeCell ref="BX35:CB35"/>
    <mergeCell ref="CR35:CS35"/>
    <mergeCell ref="CV35:CX35"/>
    <mergeCell ref="BX36:CB36"/>
    <mergeCell ref="AY35:BC35"/>
    <mergeCell ref="Z36:AD36"/>
    <mergeCell ref="AE36:AI36"/>
    <mergeCell ref="AJ36:AN36"/>
    <mergeCell ref="AE35:AI35"/>
    <mergeCell ref="AJ35:AN35"/>
    <mergeCell ref="AO35:AS35"/>
    <mergeCell ref="AT35:AX35"/>
    <mergeCell ref="AT36:AX36"/>
    <mergeCell ref="AY36:BC36"/>
    <mergeCell ref="A30:AD30"/>
    <mergeCell ref="AE30:AI30"/>
    <mergeCell ref="AJ30:AN30"/>
    <mergeCell ref="AO30:AS30"/>
    <mergeCell ref="AT30:AX30"/>
    <mergeCell ref="AY30:BC30"/>
    <mergeCell ref="BX30:CB30"/>
    <mergeCell ref="A35:H35"/>
    <mergeCell ref="I35:O36"/>
    <mergeCell ref="P35:T35"/>
    <mergeCell ref="U35:Y35"/>
    <mergeCell ref="Z35:AD35"/>
    <mergeCell ref="BD36:BH36"/>
    <mergeCell ref="A36:H36"/>
    <mergeCell ref="N33:S33"/>
    <mergeCell ref="T33:W33"/>
    <mergeCell ref="X33:AC34"/>
    <mergeCell ref="AD33:AF33"/>
    <mergeCell ref="AH33:AL33"/>
    <mergeCell ref="AM33:AP33"/>
    <mergeCell ref="G34:L34"/>
    <mergeCell ref="N34:S34"/>
    <mergeCell ref="P36:T36"/>
    <mergeCell ref="U36:Y36"/>
    <mergeCell ref="CI29:CL30"/>
    <mergeCell ref="AO29:AS29"/>
    <mergeCell ref="BS29:BW29"/>
    <mergeCell ref="BD30:BH30"/>
    <mergeCell ref="BI30:BM30"/>
    <mergeCell ref="BN30:BR30"/>
    <mergeCell ref="BS30:BW30"/>
    <mergeCell ref="A28:H28"/>
    <mergeCell ref="I28:O28"/>
    <mergeCell ref="P28:T28"/>
    <mergeCell ref="U28:Y28"/>
    <mergeCell ref="BX28:CB28"/>
    <mergeCell ref="A29:H29"/>
    <mergeCell ref="I29:O29"/>
    <mergeCell ref="P29:T29"/>
    <mergeCell ref="U29:Y29"/>
    <mergeCell ref="Z29:AD29"/>
    <mergeCell ref="BX29:CB29"/>
    <mergeCell ref="AE29:AI29"/>
    <mergeCell ref="AJ29:AN29"/>
    <mergeCell ref="BS28:BW28"/>
    <mergeCell ref="Z28:AD28"/>
    <mergeCell ref="AE28:AI28"/>
    <mergeCell ref="AJ28:AN28"/>
    <mergeCell ref="AO28:AS28"/>
    <mergeCell ref="BD28:BH28"/>
    <mergeCell ref="BI28:BM28"/>
    <mergeCell ref="BS26:BW26"/>
    <mergeCell ref="AT28:AX28"/>
    <mergeCell ref="AY28:BC28"/>
    <mergeCell ref="A25:H25"/>
    <mergeCell ref="I25:O25"/>
    <mergeCell ref="P25:T25"/>
    <mergeCell ref="BS27:BW27"/>
    <mergeCell ref="A27:H27"/>
    <mergeCell ref="I27:O27"/>
    <mergeCell ref="P27:T27"/>
    <mergeCell ref="U27:Y27"/>
    <mergeCell ref="Z27:AD27"/>
    <mergeCell ref="A26:H26"/>
    <mergeCell ref="I26:O26"/>
    <mergeCell ref="P26:T26"/>
    <mergeCell ref="U26:Y26"/>
    <mergeCell ref="Z26:AD26"/>
    <mergeCell ref="AE26:AI26"/>
    <mergeCell ref="BD26:BH26"/>
    <mergeCell ref="BI26:BM26"/>
    <mergeCell ref="AJ26:AN26"/>
    <mergeCell ref="Z24:AD24"/>
    <mergeCell ref="AE24:AI24"/>
    <mergeCell ref="AO25:AS25"/>
    <mergeCell ref="AT25:AX25"/>
    <mergeCell ref="BD24:BH24"/>
    <mergeCell ref="AJ24:AN24"/>
    <mergeCell ref="AO24:AS24"/>
    <mergeCell ref="AY25:BC25"/>
    <mergeCell ref="BD25:BH25"/>
    <mergeCell ref="AT24:AX24"/>
    <mergeCell ref="Z25:AD25"/>
    <mergeCell ref="AE25:AI25"/>
    <mergeCell ref="AJ25:AN25"/>
    <mergeCell ref="AY24:BC24"/>
    <mergeCell ref="U22:Y22"/>
    <mergeCell ref="Z22:AD22"/>
    <mergeCell ref="AE22:AI22"/>
    <mergeCell ref="AJ22:AN22"/>
    <mergeCell ref="AO22:AS22"/>
    <mergeCell ref="CI21:CL22"/>
    <mergeCell ref="A23:H23"/>
    <mergeCell ref="I23:O23"/>
    <mergeCell ref="P23:T23"/>
    <mergeCell ref="U23:Y23"/>
    <mergeCell ref="Z23:AD23"/>
    <mergeCell ref="AE23:AI23"/>
    <mergeCell ref="AJ23:AN23"/>
    <mergeCell ref="AT22:AX22"/>
    <mergeCell ref="AY22:BC22"/>
    <mergeCell ref="AO23:AS23"/>
    <mergeCell ref="AT23:AX23"/>
    <mergeCell ref="AY23:BC23"/>
    <mergeCell ref="BD23:BH23"/>
    <mergeCell ref="BN23:BR23"/>
    <mergeCell ref="BN21:BR21"/>
    <mergeCell ref="CC23:CG23"/>
    <mergeCell ref="U21:Y21"/>
    <mergeCell ref="Z21:AD21"/>
    <mergeCell ref="AE21:AI21"/>
    <mergeCell ref="AJ21:AN21"/>
    <mergeCell ref="AO21:AS21"/>
    <mergeCell ref="AT21:AX21"/>
    <mergeCell ref="BD20:BH20"/>
    <mergeCell ref="BI20:BM20"/>
    <mergeCell ref="AJ20:AN20"/>
    <mergeCell ref="AO20:AS20"/>
    <mergeCell ref="AY21:BC21"/>
    <mergeCell ref="BD21:BH21"/>
    <mergeCell ref="AT19:AX19"/>
    <mergeCell ref="AY19:BC19"/>
    <mergeCell ref="BS19:BW19"/>
    <mergeCell ref="BX19:CB19"/>
    <mergeCell ref="A20:H20"/>
    <mergeCell ref="I20:O20"/>
    <mergeCell ref="P20:T20"/>
    <mergeCell ref="U20:Y20"/>
    <mergeCell ref="Z20:AD20"/>
    <mergeCell ref="AE20:AI20"/>
    <mergeCell ref="BD19:BH19"/>
    <mergeCell ref="BI19:BM19"/>
    <mergeCell ref="BN19:BR19"/>
    <mergeCell ref="AT20:AX20"/>
    <mergeCell ref="AY20:BC20"/>
    <mergeCell ref="BX20:CB20"/>
    <mergeCell ref="U19:Y19"/>
    <mergeCell ref="Z19:AD19"/>
    <mergeCell ref="AE19:AI19"/>
    <mergeCell ref="AJ19:AN19"/>
    <mergeCell ref="AO19:AS19"/>
    <mergeCell ref="AE18:AI18"/>
    <mergeCell ref="AJ18:AN18"/>
    <mergeCell ref="DW16:DX16"/>
    <mergeCell ref="DY16:DZ16"/>
    <mergeCell ref="EA16:EB16"/>
    <mergeCell ref="CV16:CX16"/>
    <mergeCell ref="DA16:DC16"/>
    <mergeCell ref="DF16:DI16"/>
    <mergeCell ref="DL16:DO16"/>
    <mergeCell ref="AO17:AS17"/>
    <mergeCell ref="BN18:BR18"/>
    <mergeCell ref="BS18:BW18"/>
    <mergeCell ref="AO18:AS18"/>
    <mergeCell ref="AT18:AX18"/>
    <mergeCell ref="AY18:BC18"/>
    <mergeCell ref="AT17:AX17"/>
    <mergeCell ref="AY17:BC17"/>
    <mergeCell ref="BI17:BM17"/>
    <mergeCell ref="BD18:BH18"/>
    <mergeCell ref="BI18:BM18"/>
    <mergeCell ref="DR16:DU16"/>
    <mergeCell ref="CC16:CG16"/>
    <mergeCell ref="BX18:CB18"/>
    <mergeCell ref="CR16:CS16"/>
    <mergeCell ref="BN17:BR17"/>
    <mergeCell ref="BX17:CB17"/>
    <mergeCell ref="T10:AB10"/>
    <mergeCell ref="AC10:AF10"/>
    <mergeCell ref="L9:AN9"/>
    <mergeCell ref="AO9:BP9"/>
    <mergeCell ref="BR9:BY9"/>
    <mergeCell ref="BD16:BH16"/>
    <mergeCell ref="BI16:BM16"/>
    <mergeCell ref="BN16:BR16"/>
    <mergeCell ref="BS16:BW17"/>
    <mergeCell ref="BD17:BH17"/>
    <mergeCell ref="BR11:BY11"/>
    <mergeCell ref="AO11:BP11"/>
    <mergeCell ref="AO16:AS16"/>
    <mergeCell ref="AT16:AX16"/>
    <mergeCell ref="AY16:BC16"/>
    <mergeCell ref="BN15:BQ15"/>
    <mergeCell ref="BZ10:CG10"/>
    <mergeCell ref="BZ11:CG11"/>
    <mergeCell ref="AP13:AW13"/>
    <mergeCell ref="AX13:AZ13"/>
    <mergeCell ref="BB13:BI13"/>
    <mergeCell ref="BJ13:BP13"/>
    <mergeCell ref="U18:Y18"/>
    <mergeCell ref="Z18:AD18"/>
    <mergeCell ref="A12:CG12"/>
    <mergeCell ref="AO10:BP10"/>
    <mergeCell ref="BR10:BY10"/>
    <mergeCell ref="P17:T17"/>
    <mergeCell ref="U17:Y17"/>
    <mergeCell ref="AI11:AN11"/>
    <mergeCell ref="A11:Y11"/>
    <mergeCell ref="AA11:AH11"/>
    <mergeCell ref="AJ17:AN17"/>
    <mergeCell ref="Z16:AD16"/>
    <mergeCell ref="AE16:AI16"/>
    <mergeCell ref="AE17:AI17"/>
    <mergeCell ref="Z17:AD17"/>
    <mergeCell ref="AJ16:AN16"/>
    <mergeCell ref="A13:AK13"/>
    <mergeCell ref="AL13:AN13"/>
    <mergeCell ref="AD14:AF14"/>
    <mergeCell ref="AH14:AL14"/>
    <mergeCell ref="CC17:CG17"/>
    <mergeCell ref="BX16:CB16"/>
    <mergeCell ref="A10:N10"/>
    <mergeCell ref="O10:R10"/>
    <mergeCell ref="CN1:EB2"/>
    <mergeCell ref="A1:BK1"/>
    <mergeCell ref="BL1:BP1"/>
    <mergeCell ref="BR1:CG1"/>
    <mergeCell ref="A2:BK2"/>
    <mergeCell ref="BR3:CG3"/>
    <mergeCell ref="A3:BQ3"/>
    <mergeCell ref="A6:CG6"/>
    <mergeCell ref="A4:G4"/>
    <mergeCell ref="A5:G5"/>
    <mergeCell ref="BL2:BP2"/>
    <mergeCell ref="BR2:CG2"/>
    <mergeCell ref="I4:T4"/>
    <mergeCell ref="U4:W4"/>
    <mergeCell ref="Y4:AD4"/>
    <mergeCell ref="AE4:AG4"/>
    <mergeCell ref="AI4:AN4"/>
    <mergeCell ref="AO4:AP5"/>
    <mergeCell ref="AQ4:AZ4"/>
    <mergeCell ref="BB4:BL4"/>
    <mergeCell ref="BM4:BV4"/>
    <mergeCell ref="A24:H24"/>
    <mergeCell ref="I24:O24"/>
    <mergeCell ref="P24:T24"/>
    <mergeCell ref="A18:H18"/>
    <mergeCell ref="I18:O18"/>
    <mergeCell ref="P18:T18"/>
    <mergeCell ref="A22:H22"/>
    <mergeCell ref="I22:O22"/>
    <mergeCell ref="P22:T22"/>
    <mergeCell ref="A19:H19"/>
    <mergeCell ref="I19:O19"/>
    <mergeCell ref="P19:T19"/>
    <mergeCell ref="A21:H21"/>
    <mergeCell ref="I21:O21"/>
    <mergeCell ref="P21:T21"/>
    <mergeCell ref="Z41:AD41"/>
    <mergeCell ref="AE41:AI41"/>
    <mergeCell ref="BN24:BR24"/>
    <mergeCell ref="U25:Y25"/>
    <mergeCell ref="BN26:BR26"/>
    <mergeCell ref="AE27:AI27"/>
    <mergeCell ref="AJ27:AN27"/>
    <mergeCell ref="AO27:AS27"/>
    <mergeCell ref="AT27:AX27"/>
    <mergeCell ref="AY27:BC27"/>
    <mergeCell ref="BD27:BH27"/>
    <mergeCell ref="BI27:BM27"/>
    <mergeCell ref="AT29:AX29"/>
    <mergeCell ref="AY29:BC29"/>
    <mergeCell ref="BD29:BH29"/>
    <mergeCell ref="BI29:BM29"/>
    <mergeCell ref="AY26:BC26"/>
    <mergeCell ref="AT26:AX26"/>
    <mergeCell ref="BN27:BR27"/>
    <mergeCell ref="BN33:BQ33"/>
    <mergeCell ref="BR33:CG34"/>
    <mergeCell ref="BR32:CG32"/>
    <mergeCell ref="AO26:AS26"/>
    <mergeCell ref="BS24:BW24"/>
    <mergeCell ref="AE42:AI42"/>
    <mergeCell ref="AJ42:AN42"/>
    <mergeCell ref="AJ44:AN44"/>
    <mergeCell ref="BN28:BR28"/>
    <mergeCell ref="BX4:CG4"/>
    <mergeCell ref="I5:T5"/>
    <mergeCell ref="U5:AA5"/>
    <mergeCell ref="AC5:AN5"/>
    <mergeCell ref="AQ5:AZ5"/>
    <mergeCell ref="BB5:BL5"/>
    <mergeCell ref="BM5:BV5"/>
    <mergeCell ref="BX5:CG5"/>
    <mergeCell ref="U24:Y24"/>
    <mergeCell ref="A7:CG7"/>
    <mergeCell ref="AO8:CG8"/>
    <mergeCell ref="BZ9:CG9"/>
    <mergeCell ref="A8:AN8"/>
    <mergeCell ref="A9:J9"/>
    <mergeCell ref="A16:H16"/>
    <mergeCell ref="I16:O17"/>
    <mergeCell ref="P16:T16"/>
    <mergeCell ref="U16:Y16"/>
    <mergeCell ref="A17:H17"/>
    <mergeCell ref="AH10:AN10"/>
  </mergeCells>
  <phoneticPr fontId="2" type="noConversion"/>
  <conditionalFormatting sqref="BR9:BY11 BX30 BN29:BR30 BD30 AT30 AJ30 C59 AK59 BR59 U37:Y48 A37:O48 CC30 BD18:CG29 BD37:CG48 BX49 BN49 BD49 AT49 AJ49 CC49">
    <cfRule type="containsBlanks" dxfId="27" priority="11" stopIfTrue="1">
      <formula>LEN(TRIM(A9))=0</formula>
    </cfRule>
  </conditionalFormatting>
  <conditionalFormatting sqref="L9 T10 AH10 AA11 A18:BC29 Z37:BC48">
    <cfRule type="containsBlanks" dxfId="26" priority="10" stopIfTrue="1">
      <formula>LEN(TRIM(A9))=0</formula>
    </cfRule>
  </conditionalFormatting>
  <conditionalFormatting sqref="AH14 AP13">
    <cfRule type="containsBlanks" dxfId="25" priority="9" stopIfTrue="1">
      <formula>LEN(TRIM(AH13))=0</formula>
    </cfRule>
  </conditionalFormatting>
  <conditionalFormatting sqref="N14:S15 AH15 BB13 BR13 BN14:BQ15 AM15">
    <cfRule type="containsBlanks" dxfId="24" priority="8" stopIfTrue="1">
      <formula>LEN(TRIM(N13))=0</formula>
    </cfRule>
  </conditionalFormatting>
  <conditionalFormatting sqref="AH33">
    <cfRule type="containsBlanks" dxfId="23" priority="7" stopIfTrue="1">
      <formula>LEN(TRIM(AH33))=0</formula>
    </cfRule>
  </conditionalFormatting>
  <conditionalFormatting sqref="AM34 AH34 N33:S34 BN33:BQ34 BB32 BR32">
    <cfRule type="containsBlanks" dxfId="22" priority="6" stopIfTrue="1">
      <formula>LEN(TRIM(N32))=0</formula>
    </cfRule>
  </conditionalFormatting>
  <conditionalFormatting sqref="AX55:CG57">
    <cfRule type="containsBlanks" dxfId="21" priority="5" stopIfTrue="1">
      <formula>LEN(TRIM(AX55))=0</formula>
    </cfRule>
  </conditionalFormatting>
  <conditionalFormatting sqref="BZ51 AZ51 AH51">
    <cfRule type="containsBlanks" dxfId="20" priority="4" stopIfTrue="1">
      <formula>LEN(TRIM(AH51))=0</formula>
    </cfRule>
  </conditionalFormatting>
  <conditionalFormatting sqref="BB4:BL5 BX4:CG5 AP32">
    <cfRule type="containsBlanks" dxfId="19" priority="3" stopIfTrue="1">
      <formula>LEN(TRIM(AP4))=0</formula>
    </cfRule>
  </conditionalFormatting>
  <conditionalFormatting sqref="BR1:CG2 I4:T5 Y4 AC5 AI4">
    <cfRule type="containsBlanks" dxfId="18" priority="2" stopIfTrue="1">
      <formula>LEN(TRIM(I1))=0</formula>
    </cfRule>
  </conditionalFormatting>
  <conditionalFormatting sqref="P37:T48">
    <cfRule type="containsBlanks" dxfId="17" priority="1" stopIfTrue="1">
      <formula>LEN(TRIM(P37))=0</formula>
    </cfRule>
  </conditionalFormatting>
  <dataValidations count="48">
    <dataValidation type="list" allowBlank="1" showInputMessage="1" showErrorMessage="1" sqref="AY17:BC17" xr:uid="{00000000-0002-0000-1500-000000000000}">
      <formula1>$CN$39:$CN$40</formula1>
    </dataValidation>
    <dataValidation type="list" allowBlank="1" showInputMessage="1" showErrorMessage="1" sqref="AJ17:AN17" xr:uid="{00000000-0002-0000-1500-000001000000}">
      <formula1>$CN$34:$CN$35</formula1>
    </dataValidation>
    <dataValidation type="list" allowBlank="1" showInputMessage="1" showErrorMessage="1" sqref="T14 T33" xr:uid="{00000000-0002-0000-1500-000002000000}">
      <formula1>$CN$8:$CN$9</formula1>
    </dataValidation>
    <dataValidation type="list" allowBlank="1" showInputMessage="1" showErrorMessage="1" sqref="U17:Y17" xr:uid="{00000000-0002-0000-1500-000003000000}">
      <formula1>$CN$24:$CN$25</formula1>
    </dataValidation>
    <dataValidation type="list" allowBlank="1" showInputMessage="1" showErrorMessage="1" sqref="P16:T16" xr:uid="{00000000-0002-0000-1500-000004000000}">
      <formula1>$CN$18:$CN$20</formula1>
    </dataValidation>
    <dataValidation type="list" allowBlank="1" showInputMessage="1" showErrorMessage="1" sqref="Z36:AD36 Z17:AD17 AO17:AS17 AO36:AS36" xr:uid="{00000000-0002-0000-1500-000005000000}">
      <formula1>$CN$29:$CN$30</formula1>
    </dataValidation>
    <dataValidation allowBlank="1" showInputMessage="1" showErrorMessage="1" prompt="Enter the amount of bunkers on departure from the last port of call as advised by the barge" sqref="AA11:AH11" xr:uid="{00000000-0002-0000-1500-000006000000}"/>
    <dataValidation allowBlank="1" showInputMessage="1" showErrorMessage="1" prompt="Enter the time barge sailed from last port of call" sqref="AH10:AN10" xr:uid="{00000000-0002-0000-1500-000007000000}"/>
    <dataValidation allowBlank="1" showInputMessage="1" showErrorMessage="1" prompt="Enter the barge's last port of call" sqref="L9:AN9" xr:uid="{00000000-0002-0000-1500-000008000000}"/>
    <dataValidation allowBlank="1" showInputMessage="1" showErrorMessage="1" prompt="Enter the date barge sailed from the last port of call" sqref="T10:AB10" xr:uid="{00000000-0002-0000-1500-000009000000}"/>
    <dataValidation allowBlank="1" showInputMessage="1" showErrorMessage="1" prompt="Enter aft draft when opening calculations were made. Please enter in metres or in ft&amp;in, ensuring correct units are selected in adjacent box. Also select whether trim corrections were applied." sqref="N15" xr:uid="{00000000-0002-0000-1500-00000A000000}"/>
    <dataValidation allowBlank="1" showInputMessage="1" showErrorMessage="1" prompt="Enter forward draft when opening calculations were made. Please enter in metres or in ft&amp;in, ensuring correct units are selected in adjacent box. Also select whether trim corrections were applied." sqref="N14" xr:uid="{00000000-0002-0000-1500-00000B000000}"/>
    <dataValidation allowBlank="1" showInputMessage="1" showErrorMessage="1" prompt="Enter the name of the barge tank" sqref="A18:H18" xr:uid="{00000000-0002-0000-1500-00000C000000}"/>
    <dataValidation allowBlank="1" showInputMessage="1" showErrorMessage="1" prompt="Enter the grade of fuel within the tank" sqref="I18:O18" xr:uid="{00000000-0002-0000-1500-00000D000000}"/>
    <dataValidation allowBlank="1" showInputMessage="1" showErrorMessage="1" promptTitle="Opening Density" prompt="Enter the density/API/specific gravity of the fuel within the tank as advised by the barge. Ensure that it is correctly stated above." sqref="P18:T18" xr:uid="{00000000-0002-0000-1500-00000E000000}"/>
    <dataValidation allowBlank="1" showInputMessage="1" showErrorMessage="1" prompt="Enter the reference height in metres or in Ft&amp;In, this should be available in the vessels calibration tables. Ensure to select the correct units above._x000a_" sqref="U18:Y18" xr:uid="{00000000-0002-0000-1500-00000F000000}"/>
    <dataValidation allowBlank="1" showInputMessage="1" showErrorMessage="1" promptTitle="Opening Soundings" prompt="Enter observed innage/ullage figures. Ensure that innage or ullage is correctly stated above." sqref="Z18:AD18" xr:uid="{00000000-0002-0000-1500-000010000000}"/>
    <dataValidation allowBlank="1" showInputMessage="1" showErrorMessage="1" promptTitle="Opening Soundings" prompt="Enter corrected innage/ullage figures. Ensure that innage or ullage is correctly stated above." sqref="AE18:AI18" xr:uid="{00000000-0002-0000-1500-000011000000}"/>
    <dataValidation allowBlank="1" showInputMessage="1" showErrorMessage="1" promptTitle="Opening Soundings" prompt="Enter the Total Observed Volume (T.O.V.), this can be ascertained by using the vessel's calibration tables. This can be entered in m³ or barrels, ensure the correct units are selected above." sqref="AJ18:AN18" xr:uid="{00000000-0002-0000-1500-000012000000}"/>
    <dataValidation allowBlank="1" showInputMessage="1" showErrorMessage="1" promptTitle="Opening Soundings" prompt="Enter if any Free Water (F.W.) was observed during the soundings." sqref="AO18:AS18" xr:uid="{00000000-0002-0000-1500-000013000000}"/>
    <dataValidation allowBlank="1" showInputMessage="1" showErrorMessage="1" promptTitle="Opening Soundings" prompt="Calculate the volume of F.W. This can be entered in m³ or barrels, ensure the correct units are selected above." sqref="AT18:AX18" xr:uid="{00000000-0002-0000-1500-000014000000}"/>
    <dataValidation allowBlank="1" showInputMessage="1" showErrorMessage="1" promptTitle="Opening Temperatures" prompt="Enter the temperature of the fuel within the tank in either °C or °F. Ensure the correct units are selected above." sqref="AY18:BC18" xr:uid="{00000000-0002-0000-1500-000015000000}"/>
    <dataValidation allowBlank="1" showInputMessage="1" showErrorMessage="1" prompt="Enter forward draft when closing calculations were made. Please enter in metres or in ft&amp;in, ensuring correct units are selected in adjacent box. Also select whether trim corrections were applied." sqref="N33:S33" xr:uid="{00000000-0002-0000-1500-000016000000}"/>
    <dataValidation allowBlank="1" showInputMessage="1" showErrorMessage="1" prompt="Enter aft draft when closing calculations were made. Please enter in metres or in ft&amp;in, ensuring correct units are selected in adjacent box. Also select whether trim corrections were applied." sqref="N34:S34" xr:uid="{00000000-0002-0000-1500-000017000000}"/>
    <dataValidation allowBlank="1" showInputMessage="1" showErrorMessage="1" promptTitle="Closing soundings" prompt="Enter observed innage/ullage figures. Ensure that innage or ullage is correctly stated above." sqref="Z37:AD37" xr:uid="{00000000-0002-0000-1500-000018000000}"/>
    <dataValidation allowBlank="1" showInputMessage="1" showErrorMessage="1" promptTitle="Closing soundings" prompt="Enter corrected innage/ullage figures. Ensure that innage or ullage is correctly stated above." sqref="AE37:AI37" xr:uid="{00000000-0002-0000-1500-000019000000}"/>
    <dataValidation allowBlank="1" showInputMessage="1" showErrorMessage="1" promptTitle="Closing Soundings" prompt="Enter the Total Observed Volume (T.O.V.), this can be ascertained by using the vessel's calibration tables. This can be entered in m³ or barrels, ensure the correct units are selected above." sqref="AJ37:AN37" xr:uid="{00000000-0002-0000-1500-00001A000000}"/>
    <dataValidation allowBlank="1" showInputMessage="1" showErrorMessage="1" promptTitle="Closing Soundings" prompt="Enter if any Free Water (F.W.) was observed during the soundings." sqref="AO37:AS37" xr:uid="{00000000-0002-0000-1500-00001B000000}"/>
    <dataValidation allowBlank="1" showInputMessage="1" showErrorMessage="1" promptTitle="Closing Soundings" prompt="Calculate the volume of F.W. This can be entered in m³ or barrels, ensure the correct units are selected above." sqref="AT37:AX37" xr:uid="{00000000-0002-0000-1500-00001C000000}"/>
    <dataValidation allowBlank="1" showInputMessage="1" showErrorMessage="1" promptTitle="Closing Soundings" prompt="Enter the temperature of the fuel within the tank in either °C or °F. Ensure the correct units are selected above." sqref="AY37:BC37" xr:uid="{00000000-0002-0000-1500-00001D000000}"/>
    <dataValidation allowBlank="1" showInputMessage="1" showErrorMessage="1" promptTitle="Closing Density" prompt="Enter the density/API/specific gravity of the fuel within the tank. Ensure that it is correctly stated above." sqref="P37:T37" xr:uid="{80ABC796-DFD9-46E8-B973-2842A12C7017}"/>
    <dataValidation type="list" allowBlank="1" showInputMessage="1" showErrorMessage="1" prompt="Advise whether list corrections were made on arrival" sqref="BN15:BQ15" xr:uid="{00000000-0002-0000-1500-00001F000000}">
      <formula1>$CN$13:$CN$14</formula1>
    </dataValidation>
    <dataValidation allowBlank="1" showInputMessage="1" showErrorMessage="1" prompt="Advise time that the opening soundings were made_x000a_" sqref="BB13:BI13" xr:uid="{00000000-0002-0000-1500-000020000000}"/>
    <dataValidation type="list" allowBlank="1" showInputMessage="1" showErrorMessage="1" prompt="Advise whether trim corrections were made on arrival" sqref="BN14:BQ14" xr:uid="{00000000-0002-0000-1500-000021000000}">
      <formula1>$CN$13:$CN$14</formula1>
    </dataValidation>
    <dataValidation allowBlank="1" showInputMessage="1" showErrorMessage="1" prompt="Advise the list of the vessel when opening soundings were made and select either °P or °S in the adjacent box" sqref="AH15:AL15" xr:uid="{00000000-0002-0000-1500-000022000000}"/>
    <dataValidation type="list" allowBlank="1" showInputMessage="1" showErrorMessage="1" prompt="Advise the sea condition during the opening soundings" sqref="BR13:CG13" xr:uid="{00000000-0002-0000-1500-000023000000}">
      <formula1>$CN$57:$CN$60</formula1>
    </dataValidation>
    <dataValidation type="list" allowBlank="1" showInputMessage="1" showErrorMessage="1" sqref="AM15 AM34" xr:uid="{00000000-0002-0000-1500-000024000000}">
      <formula1>$CN$64:$CN$65</formula1>
    </dataValidation>
    <dataValidation allowBlank="1" showInputMessage="1" showErrorMessage="1" prompt="Advise the list of the vessel when closing soundings were made and select either °P or °S in the adjacent box" sqref="AH34:AL34" xr:uid="{00000000-0002-0000-1500-000025000000}"/>
    <dataValidation allowBlank="1" showInputMessage="1" showErrorMessage="1" prompt="Advise time that the closing soundings were made_x000a_" sqref="BB32:BI32" xr:uid="{00000000-0002-0000-1500-000026000000}"/>
    <dataValidation type="list" allowBlank="1" showInputMessage="1" showErrorMessage="1" prompt="Advise whether trim corrections were made on departure" sqref="BN33:BQ33" xr:uid="{00000000-0002-0000-1500-000027000000}">
      <formula1>$CN$13:$CN$14</formula1>
    </dataValidation>
    <dataValidation type="list" allowBlank="1" showInputMessage="1" showErrorMessage="1" prompt="Advise whether list corrections were made on departure_x000a_" sqref="BN34:BQ34" xr:uid="{00000000-0002-0000-1500-000028000000}">
      <formula1>$CN$13:$CN$14</formula1>
    </dataValidation>
    <dataValidation type="list" allowBlank="1" showInputMessage="1" showErrorMessage="1" prompt="Advise the sea condition during the closing soundings" sqref="BR32:CG32" xr:uid="{00000000-0002-0000-1500-000029000000}">
      <formula1>$CN$57:$CN$60</formula1>
    </dataValidation>
    <dataValidation type="list" allowBlank="1" showInputMessage="1" showErrorMessage="1" sqref="BZ51:CF51" xr:uid="{00000000-0002-0000-1500-00002A000000}">
      <formula1>$CN$13:$CN$14</formula1>
    </dataValidation>
    <dataValidation allowBlank="1" showInputMessage="1" showErrorMessage="1" prompt="Enter the serial number of the thermometer used" sqref="BX5:CG5" xr:uid="{00000000-0002-0000-1500-00002B000000}"/>
    <dataValidation allowBlank="1" showInputMessage="1" showErrorMessage="1" prompt="Enter the serial number of the sounding tape used" sqref="BX4:CG4" xr:uid="{00000000-0002-0000-1500-00002C000000}"/>
    <dataValidation operator="greaterThan" allowBlank="1" showInputMessage="1" showErrorMessage="1" prompt="Enter the date of the calibration table_x000a_" sqref="BB5:BL5" xr:uid="{00000000-0002-0000-1500-00002D000000}"/>
    <dataValidation allowBlank="1" showInputMessage="1" showErrorMessage="1" prompt="Please enter the name of the company that has certified/created the calibration table." sqref="BB4:BL4" xr:uid="{00000000-0002-0000-1500-00002E000000}"/>
    <dataValidation allowBlank="1" showInputMessage="1" showErrorMessage="1" prompt="Advise date closing measurements were made" sqref="AP32:AW32" xr:uid="{33B2C297-3BFD-4EB5-8BBF-71A2556A0821}"/>
  </dataValidations>
  <printOptions horizontalCentered="1" verticalCentered="1"/>
  <pageMargins left="0.23622047244094491" right="0.23622047244094491" top="0.23622047244094491" bottom="0.23622047244094491" header="0.51181102362204722" footer="0.23622047244094491"/>
  <pageSetup scale="94" orientation="landscape" r:id="rId1"/>
  <headerFooter alignWithMargins="0">
    <oddFooter>&amp;C&amp;06 &amp;P &amp; of &amp;N</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9">
    <tabColor theme="7" tint="0.39997558519241921"/>
    <pageSetUpPr fitToPage="1"/>
  </sheetPr>
  <dimension ref="A1:Q150"/>
  <sheetViews>
    <sheetView showGridLines="0" zoomScaleNormal="100" workbookViewId="0">
      <selection activeCell="BG36" sqref="BG36"/>
    </sheetView>
  </sheetViews>
  <sheetFormatPr defaultColWidth="11.42578125" defaultRowHeight="15" x14ac:dyDescent="0.25"/>
  <cols>
    <col min="1" max="1" width="5.85546875" style="57" customWidth="1"/>
    <col min="2" max="2" width="1.140625" style="57" customWidth="1"/>
    <col min="3" max="3" width="6.140625" style="57" customWidth="1"/>
    <col min="4" max="4" width="1.5703125" style="57" customWidth="1"/>
    <col min="5" max="5" width="10.7109375" style="57" customWidth="1"/>
    <col min="6" max="6" width="10.85546875" style="57" customWidth="1"/>
    <col min="7" max="7" width="10.7109375" style="57" customWidth="1"/>
    <col min="8" max="8" width="1.7109375" style="57" customWidth="1"/>
    <col min="9" max="9" width="6.85546875" style="57" customWidth="1"/>
    <col min="10" max="10" width="5.28515625" style="57" customWidth="1"/>
    <col min="11" max="11" width="1.5703125" style="57" customWidth="1"/>
    <col min="12" max="12" width="5.42578125" style="57" customWidth="1"/>
    <col min="13" max="13" width="10" style="57" customWidth="1"/>
    <col min="14" max="14" width="11.42578125" style="57" customWidth="1"/>
    <col min="15" max="15" width="0.85546875" style="57" customWidth="1"/>
    <col min="16" max="16" width="4.7109375" style="57" customWidth="1"/>
    <col min="17" max="17" width="3.140625" style="57" customWidth="1"/>
    <col min="18" max="16384" width="11.42578125" style="57"/>
  </cols>
  <sheetData>
    <row r="1" spans="1:17" ht="71.25" customHeight="1" x14ac:dyDescent="0.25">
      <c r="A1" s="492"/>
      <c r="B1" s="493"/>
      <c r="C1" s="493"/>
      <c r="N1" s="58"/>
    </row>
    <row r="2" spans="1:17" ht="21" x14ac:dyDescent="0.25">
      <c r="A2" s="494" t="s">
        <v>283</v>
      </c>
      <c r="B2" s="494"/>
      <c r="C2" s="494"/>
      <c r="D2" s="494"/>
      <c r="E2" s="494"/>
      <c r="F2" s="494"/>
      <c r="G2" s="494"/>
      <c r="H2" s="494"/>
      <c r="I2" s="494"/>
      <c r="J2" s="494"/>
      <c r="K2" s="494"/>
      <c r="L2" s="494"/>
      <c r="M2" s="494"/>
      <c r="N2" s="494"/>
      <c r="O2" s="494"/>
      <c r="P2" s="494"/>
      <c r="Q2" s="59"/>
    </row>
    <row r="3" spans="1:17" ht="6" customHeight="1" x14ac:dyDescent="0.25">
      <c r="A3" s="59"/>
      <c r="B3" s="59"/>
      <c r="C3" s="59"/>
      <c r="D3" s="59"/>
      <c r="E3" s="59"/>
      <c r="F3" s="59"/>
      <c r="G3" s="59"/>
      <c r="H3" s="59"/>
      <c r="I3" s="59"/>
      <c r="J3" s="59"/>
      <c r="K3" s="59"/>
      <c r="L3" s="59"/>
      <c r="M3" s="59"/>
      <c r="N3" s="59"/>
      <c r="O3" s="59"/>
      <c r="P3" s="59"/>
      <c r="Q3" s="59"/>
    </row>
    <row r="4" spans="1:17" ht="15" customHeight="1" x14ac:dyDescent="0.25">
      <c r="A4" s="476" t="s">
        <v>278</v>
      </c>
      <c r="B4" s="476"/>
      <c r="C4" s="476"/>
      <c r="D4" s="60" t="s">
        <v>0</v>
      </c>
      <c r="E4" s="495" t="str">
        <f>IF('Data Entry'!N6="","",'Data Entry'!N6)</f>
        <v/>
      </c>
      <c r="F4" s="495"/>
      <c r="G4" s="495"/>
      <c r="H4" s="61"/>
      <c r="I4" s="476" t="s">
        <v>268</v>
      </c>
      <c r="J4" s="476"/>
      <c r="K4" s="62" t="s">
        <v>0</v>
      </c>
      <c r="L4" s="496" t="str">
        <f>IF('Data Entry'!N20="","",'Data Entry'!N20)</f>
        <v/>
      </c>
      <c r="M4" s="496"/>
      <c r="N4" s="496"/>
      <c r="O4" s="496"/>
      <c r="P4" s="496"/>
      <c r="Q4" s="59"/>
    </row>
    <row r="5" spans="1:17" ht="15" customHeight="1" x14ac:dyDescent="0.25">
      <c r="A5" s="476" t="s">
        <v>317</v>
      </c>
      <c r="B5" s="476"/>
      <c r="C5" s="476"/>
      <c r="D5" s="60" t="s">
        <v>0</v>
      </c>
      <c r="E5" s="488" t="str">
        <f>IF('Data Entry'!N26="","",'Data Entry'!N26)&amp;IF(OR('Data Entry'!N26="",'Data Entry'!N27=""),"","/")&amp; IF('Data Entry'!N27="","",'Data Entry'!N27)</f>
        <v>ANCHORAGE AREA/İSTANBUL</v>
      </c>
      <c r="F5" s="488"/>
      <c r="G5" s="488"/>
      <c r="H5" s="61"/>
      <c r="I5" s="476" t="s">
        <v>318</v>
      </c>
      <c r="J5" s="476"/>
      <c r="K5" s="62" t="s">
        <v>0</v>
      </c>
      <c r="L5" s="497" t="str">
        <f>IF('Data Entry'!N28="","",'Data Entry'!N28)</f>
        <v/>
      </c>
      <c r="M5" s="497"/>
      <c r="N5" s="497"/>
      <c r="O5" s="497"/>
      <c r="P5" s="497"/>
      <c r="Q5" s="59"/>
    </row>
    <row r="6" spans="1:17" ht="15" customHeight="1" x14ac:dyDescent="0.25">
      <c r="A6" s="476" t="s">
        <v>319</v>
      </c>
      <c r="B6" s="476"/>
      <c r="C6" s="476"/>
      <c r="D6" s="60" t="s">
        <v>0</v>
      </c>
      <c r="E6" s="488" t="str">
        <f>IF('Data Entry'!N24="","",'Data Entry'!N24)</f>
        <v/>
      </c>
      <c r="F6" s="488"/>
      <c r="G6" s="488"/>
      <c r="H6" s="61"/>
      <c r="I6" s="63" t="s">
        <v>281</v>
      </c>
      <c r="J6" s="63"/>
      <c r="K6" s="62" t="s">
        <v>0</v>
      </c>
      <c r="L6" s="498" t="str">
        <f>IF('Data Entry'!N39="","",'Data Entry'!N39)</f>
        <v>SC17124</v>
      </c>
      <c r="M6" s="498"/>
      <c r="N6" s="498"/>
      <c r="O6" s="498"/>
      <c r="P6" s="498"/>
      <c r="Q6" s="59"/>
    </row>
    <row r="7" spans="1:17" ht="15" customHeight="1" x14ac:dyDescent="0.25">
      <c r="A7" s="476" t="s">
        <v>277</v>
      </c>
      <c r="B7" s="476"/>
      <c r="C7" s="476"/>
      <c r="D7" s="60" t="s">
        <v>0</v>
      </c>
      <c r="E7" s="488" t="str">
        <f>IF('Data Entry'!N22="","",'Data Entry'!N22)</f>
        <v/>
      </c>
      <c r="F7" s="488"/>
      <c r="G7" s="488"/>
      <c r="H7" s="61"/>
      <c r="I7" s="476"/>
      <c r="J7" s="476"/>
      <c r="K7" s="62"/>
      <c r="L7" s="477" t="str">
        <f>'Bunker Certificate 1'!Y4</f>
        <v/>
      </c>
      <c r="M7" s="477"/>
      <c r="N7" s="477"/>
      <c r="O7" s="477"/>
      <c r="P7" s="477"/>
      <c r="Q7" s="59"/>
    </row>
    <row r="8" spans="1:17" ht="6" customHeight="1" x14ac:dyDescent="0.25">
      <c r="A8" s="59"/>
      <c r="B8" s="59"/>
      <c r="C8" s="59"/>
      <c r="D8" s="59"/>
      <c r="E8" s="59"/>
      <c r="F8" s="59"/>
      <c r="G8" s="59"/>
      <c r="H8" s="59"/>
      <c r="I8" s="59"/>
      <c r="J8" s="59"/>
      <c r="K8" s="59"/>
      <c r="L8" s="59"/>
      <c r="M8" s="59"/>
      <c r="N8" s="59"/>
      <c r="O8" s="59"/>
      <c r="P8" s="59"/>
      <c r="Q8" s="59"/>
    </row>
    <row r="9" spans="1:17" ht="6" customHeight="1" x14ac:dyDescent="0.25">
      <c r="A9" s="59"/>
      <c r="B9" s="59"/>
      <c r="C9" s="59"/>
      <c r="D9" s="59"/>
      <c r="E9" s="59"/>
      <c r="F9" s="59"/>
      <c r="G9" s="59"/>
      <c r="H9" s="59"/>
      <c r="I9" s="59"/>
      <c r="J9" s="59"/>
      <c r="K9" s="59"/>
      <c r="L9" s="59"/>
      <c r="M9" s="59"/>
      <c r="N9" s="59"/>
      <c r="O9" s="59"/>
      <c r="P9" s="59"/>
      <c r="Q9" s="59"/>
    </row>
    <row r="10" spans="1:17" x14ac:dyDescent="0.25">
      <c r="A10" s="480" t="s">
        <v>284</v>
      </c>
      <c r="B10" s="481"/>
      <c r="C10" s="481"/>
      <c r="D10" s="481"/>
      <c r="E10" s="481"/>
      <c r="F10" s="481"/>
      <c r="G10" s="481"/>
      <c r="H10" s="481"/>
      <c r="I10" s="481"/>
      <c r="J10" s="481"/>
      <c r="K10" s="481"/>
      <c r="L10" s="481"/>
      <c r="M10" s="481"/>
      <c r="N10" s="481"/>
      <c r="O10" s="481"/>
      <c r="P10" s="481"/>
      <c r="Q10" s="482"/>
    </row>
    <row r="11" spans="1:17" ht="8.1" customHeight="1" x14ac:dyDescent="0.25">
      <c r="A11" s="64"/>
      <c r="B11" s="62"/>
      <c r="C11" s="65"/>
      <c r="D11" s="65"/>
      <c r="E11" s="65"/>
      <c r="F11" s="65"/>
      <c r="G11" s="65"/>
      <c r="H11" s="65"/>
      <c r="I11" s="65"/>
      <c r="J11" s="65"/>
      <c r="K11" s="65"/>
      <c r="L11" s="65"/>
      <c r="M11" s="65"/>
      <c r="N11" s="65"/>
      <c r="O11" s="65"/>
      <c r="P11" s="65"/>
      <c r="Q11" s="66"/>
    </row>
    <row r="12" spans="1:17" ht="15" customHeight="1" x14ac:dyDescent="0.25">
      <c r="A12" s="67">
        <v>1</v>
      </c>
      <c r="B12" s="61"/>
      <c r="C12" s="106" t="s">
        <v>354</v>
      </c>
      <c r="D12" s="106"/>
      <c r="E12" s="106"/>
      <c r="F12" s="106"/>
      <c r="G12" s="106"/>
      <c r="H12" s="106"/>
      <c r="I12" s="106"/>
      <c r="J12" s="106"/>
      <c r="K12" s="106"/>
      <c r="L12" s="106"/>
      <c r="M12" s="106"/>
      <c r="N12" s="105"/>
      <c r="O12" s="68"/>
      <c r="P12" s="69"/>
      <c r="Q12" s="70"/>
    </row>
    <row r="13" spans="1:17" ht="15" customHeight="1" x14ac:dyDescent="0.25">
      <c r="A13" s="67">
        <v>2</v>
      </c>
      <c r="B13" s="61"/>
      <c r="C13" s="106" t="s">
        <v>285</v>
      </c>
      <c r="D13" s="71"/>
      <c r="E13" s="71"/>
      <c r="F13" s="71"/>
      <c r="G13" s="71"/>
      <c r="H13" s="71"/>
      <c r="I13" s="71"/>
      <c r="J13" s="71"/>
      <c r="K13" s="71"/>
      <c r="L13" s="71"/>
      <c r="M13" s="71"/>
      <c r="N13" s="71"/>
      <c r="O13" s="68"/>
      <c r="P13" s="69"/>
      <c r="Q13" s="70"/>
    </row>
    <row r="14" spans="1:17" ht="15" customHeight="1" x14ac:dyDescent="0.25">
      <c r="A14" s="67">
        <v>3</v>
      </c>
      <c r="B14" s="61"/>
      <c r="C14" s="106" t="s">
        <v>355</v>
      </c>
      <c r="D14" s="106"/>
      <c r="E14" s="106"/>
      <c r="F14" s="106"/>
      <c r="G14" s="106"/>
      <c r="H14" s="106"/>
      <c r="I14" s="106"/>
      <c r="J14" s="106"/>
      <c r="K14" s="106"/>
      <c r="L14" s="106"/>
      <c r="M14" s="106"/>
      <c r="N14" s="105"/>
      <c r="O14" s="68"/>
      <c r="P14" s="69"/>
      <c r="Q14" s="70"/>
    </row>
    <row r="15" spans="1:17" ht="15" customHeight="1" x14ac:dyDescent="0.25">
      <c r="A15" s="67">
        <v>4</v>
      </c>
      <c r="B15" s="61"/>
      <c r="C15" s="106" t="s">
        <v>286</v>
      </c>
      <c r="D15" s="71"/>
      <c r="E15" s="71"/>
      <c r="F15" s="71"/>
      <c r="G15" s="71"/>
      <c r="H15" s="71"/>
      <c r="I15" s="71"/>
      <c r="J15" s="71"/>
      <c r="K15" s="71"/>
      <c r="L15" s="71"/>
      <c r="M15" s="71"/>
      <c r="N15" s="71"/>
      <c r="O15" s="68"/>
      <c r="P15" s="69"/>
      <c r="Q15" s="70"/>
    </row>
    <row r="16" spans="1:17" ht="15" customHeight="1" x14ac:dyDescent="0.25">
      <c r="A16" s="67">
        <v>5</v>
      </c>
      <c r="B16" s="61"/>
      <c r="C16" s="106" t="s">
        <v>287</v>
      </c>
      <c r="D16" s="106"/>
      <c r="E16" s="106"/>
      <c r="F16" s="106"/>
      <c r="G16" s="106"/>
      <c r="H16" s="106"/>
      <c r="I16" s="106"/>
      <c r="J16" s="106"/>
      <c r="K16" s="106"/>
      <c r="L16" s="106"/>
      <c r="M16" s="106"/>
      <c r="N16" s="106"/>
      <c r="O16" s="68"/>
      <c r="P16" s="69"/>
      <c r="Q16" s="70"/>
    </row>
    <row r="17" spans="1:17" ht="15" customHeight="1" x14ac:dyDescent="0.25">
      <c r="A17" s="72"/>
      <c r="B17" s="61"/>
      <c r="C17" s="106" t="s">
        <v>288</v>
      </c>
      <c r="D17" s="71"/>
      <c r="E17" s="71"/>
      <c r="F17" s="71"/>
      <c r="G17" s="105"/>
      <c r="H17" s="270"/>
      <c r="I17" s="270"/>
      <c r="J17" s="270"/>
      <c r="K17" s="270"/>
      <c r="L17" s="270"/>
      <c r="M17" s="270"/>
      <c r="N17" s="270"/>
      <c r="O17" s="68"/>
      <c r="P17" s="69"/>
      <c r="Q17" s="70"/>
    </row>
    <row r="18" spans="1:17" ht="15" customHeight="1" x14ac:dyDescent="0.25">
      <c r="A18" s="67">
        <v>6</v>
      </c>
      <c r="B18" s="61"/>
      <c r="C18" s="106" t="s">
        <v>310</v>
      </c>
      <c r="D18" s="71"/>
      <c r="E18" s="71"/>
      <c r="F18" s="71"/>
      <c r="G18" s="105"/>
      <c r="H18" s="127"/>
      <c r="I18" s="127"/>
      <c r="J18" s="127"/>
      <c r="K18" s="127"/>
      <c r="L18" s="127"/>
      <c r="M18" s="127"/>
      <c r="N18" s="127"/>
      <c r="O18" s="68"/>
      <c r="P18" s="69"/>
      <c r="Q18" s="70"/>
    </row>
    <row r="19" spans="1:17" ht="15" customHeight="1" x14ac:dyDescent="0.25">
      <c r="A19" s="67"/>
      <c r="B19" s="61"/>
      <c r="C19" s="106"/>
      <c r="D19" s="71"/>
      <c r="E19" s="466" t="s">
        <v>311</v>
      </c>
      <c r="F19" s="466"/>
      <c r="G19" s="467" t="s">
        <v>312</v>
      </c>
      <c r="H19" s="467"/>
      <c r="I19" s="467"/>
      <c r="J19" s="467"/>
      <c r="K19" s="470" t="s">
        <v>313</v>
      </c>
      <c r="L19" s="470"/>
      <c r="M19" s="470"/>
      <c r="N19" s="470"/>
      <c r="O19" s="68"/>
      <c r="P19" s="69"/>
      <c r="Q19" s="70"/>
    </row>
    <row r="20" spans="1:17" ht="15" customHeight="1" x14ac:dyDescent="0.25">
      <c r="A20" s="458" t="s">
        <v>278</v>
      </c>
      <c r="B20" s="459"/>
      <c r="C20" s="459"/>
      <c r="D20" s="73" t="s">
        <v>0</v>
      </c>
      <c r="E20" s="551" t="str">
        <f>IF('Data Entry'!N7="","",'Data Entry'!N7)</f>
        <v/>
      </c>
      <c r="F20" s="551"/>
      <c r="G20" s="471"/>
      <c r="H20" s="472"/>
      <c r="I20" s="472"/>
      <c r="J20" s="472"/>
      <c r="K20" s="471"/>
      <c r="L20" s="472"/>
      <c r="M20" s="472"/>
      <c r="N20" s="472"/>
      <c r="O20" s="61"/>
      <c r="P20" s="61"/>
      <c r="Q20" s="70"/>
    </row>
    <row r="21" spans="1:17" ht="15" customHeight="1" x14ac:dyDescent="0.25">
      <c r="A21" s="458" t="s">
        <v>277</v>
      </c>
      <c r="B21" s="459"/>
      <c r="C21" s="459"/>
      <c r="D21" s="73" t="s">
        <v>0</v>
      </c>
      <c r="E21" s="552"/>
      <c r="F21" s="552"/>
      <c r="G21" s="473"/>
      <c r="H21" s="474"/>
      <c r="I21" s="474"/>
      <c r="J21" s="474"/>
      <c r="K21" s="473"/>
      <c r="L21" s="474"/>
      <c r="M21" s="474"/>
      <c r="N21" s="474"/>
      <c r="O21" s="61"/>
      <c r="P21" s="61"/>
      <c r="Q21" s="70"/>
    </row>
    <row r="22" spans="1:17" ht="15" customHeight="1" x14ac:dyDescent="0.25">
      <c r="A22" s="67">
        <v>7</v>
      </c>
      <c r="B22" s="61"/>
      <c r="C22" s="105" t="s">
        <v>289</v>
      </c>
      <c r="D22" s="71"/>
      <c r="E22" s="71"/>
      <c r="F22" s="71"/>
      <c r="G22" s="71"/>
      <c r="H22" s="71"/>
      <c r="I22" s="71"/>
      <c r="J22" s="71"/>
      <c r="K22" s="71"/>
      <c r="L22" s="71"/>
      <c r="M22" s="71"/>
      <c r="N22" s="71"/>
      <c r="O22" s="68"/>
      <c r="P22" s="69"/>
      <c r="Q22" s="70"/>
    </row>
    <row r="23" spans="1:17" ht="15" customHeight="1" x14ac:dyDescent="0.25">
      <c r="A23" s="67">
        <v>8</v>
      </c>
      <c r="B23" s="61"/>
      <c r="C23" s="106" t="s">
        <v>290</v>
      </c>
      <c r="D23" s="106"/>
      <c r="E23" s="106"/>
      <c r="F23" s="106"/>
      <c r="G23" s="106"/>
      <c r="H23" s="106"/>
      <c r="I23" s="106"/>
      <c r="J23" s="106"/>
      <c r="K23" s="106"/>
      <c r="L23" s="106"/>
      <c r="M23" s="106"/>
      <c r="N23" s="106"/>
      <c r="O23" s="68"/>
      <c r="P23" s="69"/>
      <c r="Q23" s="70"/>
    </row>
    <row r="24" spans="1:17" ht="15" customHeight="1" x14ac:dyDescent="0.25">
      <c r="A24" s="72"/>
      <c r="B24" s="61"/>
      <c r="C24" s="106" t="s">
        <v>291</v>
      </c>
      <c r="D24" s="71"/>
      <c r="E24" s="71"/>
      <c r="F24" s="71"/>
      <c r="G24" s="478"/>
      <c r="H24" s="478"/>
      <c r="I24" s="478"/>
      <c r="J24" s="478"/>
      <c r="K24" s="478"/>
      <c r="L24" s="478"/>
      <c r="M24" s="478"/>
      <c r="N24" s="478"/>
      <c r="O24" s="68"/>
      <c r="P24" s="69"/>
      <c r="Q24" s="70"/>
    </row>
    <row r="25" spans="1:17" ht="3" customHeight="1" x14ac:dyDescent="0.25">
      <c r="A25" s="72"/>
      <c r="B25" s="61"/>
      <c r="C25" s="106"/>
      <c r="D25" s="71"/>
      <c r="E25" s="71"/>
      <c r="F25" s="71"/>
      <c r="G25" s="128"/>
      <c r="H25" s="128"/>
      <c r="I25" s="128"/>
      <c r="J25" s="128"/>
      <c r="K25" s="128"/>
      <c r="L25" s="128"/>
      <c r="M25" s="128"/>
      <c r="N25" s="128"/>
      <c r="O25" s="68"/>
      <c r="P25" s="69"/>
      <c r="Q25" s="70"/>
    </row>
    <row r="26" spans="1:17" ht="15" customHeight="1" x14ac:dyDescent="0.25">
      <c r="A26" s="67">
        <v>9</v>
      </c>
      <c r="B26" s="61"/>
      <c r="C26" s="106" t="s">
        <v>292</v>
      </c>
      <c r="D26" s="71"/>
      <c r="E26" s="71"/>
      <c r="F26" s="71"/>
      <c r="G26" s="71"/>
      <c r="H26" s="71"/>
      <c r="I26" s="71"/>
      <c r="J26" s="71"/>
      <c r="K26" s="71"/>
      <c r="L26" s="71"/>
      <c r="M26" s="71"/>
      <c r="N26" s="71"/>
      <c r="O26" s="68"/>
      <c r="P26" s="69"/>
      <c r="Q26" s="70"/>
    </row>
    <row r="27" spans="1:17" ht="15" customHeight="1" x14ac:dyDescent="0.25">
      <c r="A27" s="67">
        <v>10</v>
      </c>
      <c r="B27" s="61"/>
      <c r="C27" s="106" t="s">
        <v>293</v>
      </c>
      <c r="D27" s="71"/>
      <c r="E27" s="71"/>
      <c r="F27" s="71"/>
      <c r="G27" s="71"/>
      <c r="H27" s="71"/>
      <c r="I27" s="71"/>
      <c r="J27" s="71"/>
      <c r="K27" s="71"/>
      <c r="L27" s="71"/>
      <c r="M27" s="71"/>
      <c r="N27" s="71"/>
      <c r="O27" s="68"/>
      <c r="P27" s="69"/>
      <c r="Q27" s="70"/>
    </row>
    <row r="28" spans="1:17" ht="15" customHeight="1" x14ac:dyDescent="0.25">
      <c r="A28" s="67">
        <v>11</v>
      </c>
      <c r="B28" s="61"/>
      <c r="C28" s="106" t="s">
        <v>294</v>
      </c>
      <c r="D28" s="71"/>
      <c r="E28" s="71"/>
      <c r="F28" s="71"/>
      <c r="G28" s="71"/>
      <c r="H28" s="71"/>
      <c r="I28" s="71"/>
      <c r="J28" s="71"/>
      <c r="K28" s="71"/>
      <c r="L28" s="71"/>
      <c r="M28" s="71"/>
      <c r="N28" s="71"/>
      <c r="O28" s="68"/>
      <c r="P28" s="69"/>
      <c r="Q28" s="70"/>
    </row>
    <row r="29" spans="1:17" ht="15" customHeight="1" x14ac:dyDescent="0.25">
      <c r="A29" s="67">
        <v>12</v>
      </c>
      <c r="B29" s="61"/>
      <c r="C29" s="106" t="s">
        <v>295</v>
      </c>
      <c r="D29" s="71"/>
      <c r="E29" s="71"/>
      <c r="F29" s="71"/>
      <c r="G29" s="71"/>
      <c r="H29" s="71"/>
      <c r="I29" s="71"/>
      <c r="J29" s="71"/>
      <c r="K29" s="71"/>
      <c r="L29" s="71"/>
      <c r="M29" s="71"/>
      <c r="N29" s="71"/>
      <c r="O29" s="68"/>
      <c r="P29" s="69"/>
      <c r="Q29" s="70"/>
    </row>
    <row r="30" spans="1:17" ht="6" customHeight="1" x14ac:dyDescent="0.25">
      <c r="A30" s="72"/>
      <c r="B30" s="61"/>
      <c r="C30" s="106"/>
      <c r="D30" s="71"/>
      <c r="E30" s="71"/>
      <c r="F30" s="71"/>
      <c r="G30" s="71"/>
      <c r="H30" s="71"/>
      <c r="I30" s="71"/>
      <c r="J30" s="71"/>
      <c r="K30" s="71"/>
      <c r="L30" s="71"/>
      <c r="M30" s="71"/>
      <c r="N30" s="71"/>
      <c r="O30" s="68"/>
      <c r="P30" s="69"/>
      <c r="Q30" s="70"/>
    </row>
    <row r="31" spans="1:17" ht="15" customHeight="1" x14ac:dyDescent="0.25">
      <c r="A31" s="484" t="s">
        <v>296</v>
      </c>
      <c r="B31" s="485"/>
      <c r="C31" s="485"/>
      <c r="D31" s="485"/>
      <c r="E31" s="485"/>
      <c r="F31" s="485"/>
      <c r="G31" s="485"/>
      <c r="H31" s="485"/>
      <c r="I31" s="485"/>
      <c r="J31" s="485"/>
      <c r="K31" s="485"/>
      <c r="L31" s="485"/>
      <c r="M31" s="485"/>
      <c r="N31" s="485"/>
      <c r="O31" s="485"/>
      <c r="P31" s="485"/>
      <c r="Q31" s="486"/>
    </row>
    <row r="32" spans="1:17" ht="8.25" customHeight="1" x14ac:dyDescent="0.25">
      <c r="A32" s="72"/>
      <c r="B32" s="61"/>
      <c r="C32" s="106"/>
      <c r="D32" s="71"/>
      <c r="E32" s="71"/>
      <c r="F32" s="71"/>
      <c r="G32" s="71"/>
      <c r="H32" s="71"/>
      <c r="I32" s="71"/>
      <c r="J32" s="71"/>
      <c r="K32" s="71"/>
      <c r="L32" s="71"/>
      <c r="M32" s="71"/>
      <c r="N32" s="71"/>
      <c r="O32" s="68"/>
      <c r="P32" s="69"/>
      <c r="Q32" s="70"/>
    </row>
    <row r="33" spans="1:17" ht="15" customHeight="1" x14ac:dyDescent="0.25">
      <c r="A33" s="67">
        <v>13</v>
      </c>
      <c r="B33" s="61"/>
      <c r="C33" s="106" t="s">
        <v>297</v>
      </c>
      <c r="D33" s="71"/>
      <c r="E33" s="71"/>
      <c r="F33" s="71"/>
      <c r="G33" s="71"/>
      <c r="H33" s="71"/>
      <c r="I33" s="71"/>
      <c r="J33" s="71"/>
      <c r="K33" s="71"/>
      <c r="L33" s="71"/>
      <c r="M33" s="71"/>
      <c r="N33" s="71"/>
      <c r="O33" s="68"/>
      <c r="P33" s="69"/>
      <c r="Q33" s="70"/>
    </row>
    <row r="34" spans="1:17" ht="15" customHeight="1" x14ac:dyDescent="0.25">
      <c r="A34" s="67">
        <v>14</v>
      </c>
      <c r="B34" s="61"/>
      <c r="C34" s="106" t="s">
        <v>298</v>
      </c>
      <c r="D34" s="71"/>
      <c r="E34" s="71"/>
      <c r="F34" s="71"/>
      <c r="G34" s="71"/>
      <c r="H34" s="71"/>
      <c r="I34" s="71"/>
      <c r="J34" s="71"/>
      <c r="K34" s="71"/>
      <c r="L34" s="71"/>
      <c r="M34" s="71"/>
      <c r="N34" s="71"/>
      <c r="O34" s="68"/>
      <c r="P34" s="69"/>
      <c r="Q34" s="70"/>
    </row>
    <row r="35" spans="1:17" ht="6" customHeight="1" x14ac:dyDescent="0.25">
      <c r="A35" s="72"/>
      <c r="B35" s="61"/>
      <c r="C35" s="106"/>
      <c r="D35" s="71"/>
      <c r="E35" s="71"/>
      <c r="F35" s="71"/>
      <c r="G35" s="71"/>
      <c r="H35" s="71"/>
      <c r="I35" s="71"/>
      <c r="J35" s="71"/>
      <c r="K35" s="71"/>
      <c r="L35" s="71"/>
      <c r="M35" s="71"/>
      <c r="N35" s="71"/>
      <c r="O35" s="68"/>
      <c r="P35" s="69"/>
      <c r="Q35" s="70"/>
    </row>
    <row r="36" spans="1:17" ht="15" customHeight="1" x14ac:dyDescent="0.25">
      <c r="A36" s="480" t="s">
        <v>299</v>
      </c>
      <c r="B36" s="481"/>
      <c r="C36" s="481"/>
      <c r="D36" s="481"/>
      <c r="E36" s="481"/>
      <c r="F36" s="481"/>
      <c r="G36" s="481"/>
      <c r="H36" s="481"/>
      <c r="I36" s="481"/>
      <c r="J36" s="481"/>
      <c r="K36" s="481"/>
      <c r="L36" s="481"/>
      <c r="M36" s="481"/>
      <c r="N36" s="481"/>
      <c r="O36" s="481"/>
      <c r="P36" s="481"/>
      <c r="Q36" s="482"/>
    </row>
    <row r="37" spans="1:17" ht="6" customHeight="1" x14ac:dyDescent="0.25">
      <c r="A37" s="72"/>
      <c r="B37" s="61"/>
      <c r="C37" s="71"/>
      <c r="D37" s="71"/>
      <c r="E37" s="71"/>
      <c r="F37" s="71"/>
      <c r="G37" s="71"/>
      <c r="H37" s="71"/>
      <c r="I37" s="71"/>
      <c r="J37" s="71"/>
      <c r="K37" s="71"/>
      <c r="L37" s="71"/>
      <c r="M37" s="71"/>
      <c r="N37" s="71"/>
      <c r="O37" s="68"/>
      <c r="P37" s="69"/>
      <c r="Q37" s="70"/>
    </row>
    <row r="38" spans="1:17" ht="15" customHeight="1" x14ac:dyDescent="0.25">
      <c r="A38" s="67">
        <v>15</v>
      </c>
      <c r="B38" s="61"/>
      <c r="C38" s="106" t="s">
        <v>354</v>
      </c>
      <c r="D38" s="106"/>
      <c r="E38" s="106"/>
      <c r="F38" s="106"/>
      <c r="G38" s="106"/>
      <c r="H38" s="106"/>
      <c r="I38" s="106"/>
      <c r="J38" s="106"/>
      <c r="K38" s="106"/>
      <c r="L38" s="106"/>
      <c r="M38" s="106"/>
      <c r="N38" s="105"/>
      <c r="O38" s="68"/>
      <c r="P38" s="69"/>
      <c r="Q38" s="70"/>
    </row>
    <row r="39" spans="1:17" ht="15" customHeight="1" x14ac:dyDescent="0.25">
      <c r="A39" s="67">
        <v>16</v>
      </c>
      <c r="B39" s="61"/>
      <c r="C39" s="106" t="s">
        <v>285</v>
      </c>
      <c r="D39" s="71"/>
      <c r="E39" s="71"/>
      <c r="F39" s="71"/>
      <c r="G39" s="71"/>
      <c r="H39" s="71"/>
      <c r="I39" s="71"/>
      <c r="J39" s="106"/>
      <c r="K39" s="106"/>
      <c r="L39" s="106"/>
      <c r="M39" s="106"/>
      <c r="N39" s="105"/>
      <c r="O39" s="68"/>
      <c r="P39" s="69"/>
      <c r="Q39" s="70"/>
    </row>
    <row r="40" spans="1:17" ht="15" customHeight="1" x14ac:dyDescent="0.25">
      <c r="A40" s="67">
        <v>17</v>
      </c>
      <c r="B40" s="61"/>
      <c r="C40" s="106" t="s">
        <v>355</v>
      </c>
      <c r="D40" s="106"/>
      <c r="E40" s="106"/>
      <c r="F40" s="106"/>
      <c r="G40" s="106"/>
      <c r="H40" s="106"/>
      <c r="I40" s="106"/>
      <c r="J40" s="106"/>
      <c r="K40" s="106"/>
      <c r="L40" s="106"/>
      <c r="M40" s="106"/>
      <c r="N40" s="105"/>
      <c r="O40" s="68"/>
      <c r="P40" s="69"/>
      <c r="Q40" s="70"/>
    </row>
    <row r="41" spans="1:17" ht="15" customHeight="1" x14ac:dyDescent="0.25">
      <c r="A41" s="67">
        <v>18</v>
      </c>
      <c r="B41" s="61"/>
      <c r="C41" s="106" t="s">
        <v>300</v>
      </c>
      <c r="D41" s="71"/>
      <c r="E41" s="71"/>
      <c r="F41" s="71"/>
      <c r="G41" s="71"/>
      <c r="H41" s="71"/>
      <c r="I41" s="71"/>
      <c r="J41" s="71"/>
      <c r="K41" s="71"/>
      <c r="L41" s="71"/>
      <c r="M41" s="71"/>
      <c r="N41" s="71"/>
      <c r="O41" s="68"/>
      <c r="P41" s="69"/>
      <c r="Q41" s="70"/>
    </row>
    <row r="42" spans="1:17" ht="15" customHeight="1" x14ac:dyDescent="0.25">
      <c r="A42" s="67">
        <v>19</v>
      </c>
      <c r="B42" s="61"/>
      <c r="C42" s="106" t="s">
        <v>301</v>
      </c>
      <c r="D42" s="71"/>
      <c r="E42" s="71"/>
      <c r="F42" s="71"/>
      <c r="G42" s="71"/>
      <c r="H42" s="71"/>
      <c r="I42" s="71"/>
      <c r="J42" s="106"/>
      <c r="K42" s="106"/>
      <c r="L42" s="106"/>
      <c r="M42" s="106"/>
      <c r="N42" s="105"/>
      <c r="O42" s="68"/>
      <c r="P42" s="69"/>
      <c r="Q42" s="70"/>
    </row>
    <row r="43" spans="1:17" ht="15" customHeight="1" x14ac:dyDescent="0.25">
      <c r="A43" s="67">
        <v>20</v>
      </c>
      <c r="B43" s="61"/>
      <c r="C43" s="106" t="s">
        <v>287</v>
      </c>
      <c r="D43" s="106"/>
      <c r="E43" s="106"/>
      <c r="F43" s="106"/>
      <c r="G43" s="106"/>
      <c r="H43" s="106"/>
      <c r="I43" s="106"/>
      <c r="J43" s="106"/>
      <c r="K43" s="106"/>
      <c r="L43" s="106"/>
      <c r="M43" s="106"/>
      <c r="N43" s="106"/>
      <c r="O43" s="68"/>
      <c r="P43" s="69"/>
      <c r="Q43" s="70"/>
    </row>
    <row r="44" spans="1:17" ht="15" customHeight="1" x14ac:dyDescent="0.25">
      <c r="A44" s="72"/>
      <c r="B44" s="61"/>
      <c r="C44" s="106" t="s">
        <v>288</v>
      </c>
      <c r="D44" s="71"/>
      <c r="E44" s="71"/>
      <c r="F44" s="71"/>
      <c r="G44" s="105"/>
      <c r="H44" s="487"/>
      <c r="I44" s="487"/>
      <c r="J44" s="487"/>
      <c r="K44" s="487"/>
      <c r="L44" s="487"/>
      <c r="M44" s="487"/>
      <c r="N44" s="487"/>
      <c r="O44" s="68"/>
      <c r="P44" s="69"/>
      <c r="Q44" s="70"/>
    </row>
    <row r="45" spans="1:17" ht="3.95" customHeight="1" x14ac:dyDescent="0.25">
      <c r="A45" s="72"/>
      <c r="B45" s="61"/>
      <c r="C45" s="106"/>
      <c r="D45" s="71"/>
      <c r="E45" s="71"/>
      <c r="F45" s="71"/>
      <c r="G45" s="105"/>
      <c r="H45" s="127"/>
      <c r="I45" s="127"/>
      <c r="J45" s="127"/>
      <c r="K45" s="127"/>
      <c r="L45" s="127"/>
      <c r="M45" s="127"/>
      <c r="N45" s="127"/>
      <c r="O45" s="68"/>
      <c r="P45" s="69"/>
      <c r="Q45" s="70"/>
    </row>
    <row r="46" spans="1:17" ht="15" customHeight="1" x14ac:dyDescent="0.25">
      <c r="A46" s="67">
        <v>21</v>
      </c>
      <c r="B46" s="61"/>
      <c r="C46" s="105" t="s">
        <v>289</v>
      </c>
      <c r="D46" s="71"/>
      <c r="E46" s="71"/>
      <c r="F46" s="71"/>
      <c r="G46" s="71"/>
      <c r="H46" s="71"/>
      <c r="I46" s="71"/>
      <c r="J46" s="71"/>
      <c r="K46" s="71"/>
      <c r="L46" s="71"/>
      <c r="M46" s="71"/>
      <c r="N46" s="71"/>
      <c r="O46" s="68"/>
      <c r="P46" s="69"/>
      <c r="Q46" s="70"/>
    </row>
    <row r="47" spans="1:17" ht="15" customHeight="1" x14ac:dyDescent="0.25">
      <c r="A47" s="67">
        <v>22</v>
      </c>
      <c r="B47" s="61"/>
      <c r="C47" s="106" t="s">
        <v>290</v>
      </c>
      <c r="D47" s="106"/>
      <c r="E47" s="106"/>
      <c r="F47" s="106"/>
      <c r="G47" s="106"/>
      <c r="H47" s="106"/>
      <c r="I47" s="106"/>
      <c r="J47" s="106"/>
      <c r="K47" s="106"/>
      <c r="L47" s="106"/>
      <c r="M47" s="106"/>
      <c r="N47" s="106"/>
      <c r="O47" s="68"/>
      <c r="P47" s="69"/>
      <c r="Q47" s="70"/>
    </row>
    <row r="48" spans="1:17" ht="15" customHeight="1" x14ac:dyDescent="0.25">
      <c r="A48" s="72"/>
      <c r="B48" s="61"/>
      <c r="C48" s="106" t="s">
        <v>291</v>
      </c>
      <c r="D48" s="71"/>
      <c r="E48" s="71"/>
      <c r="F48" s="71"/>
      <c r="G48" s="478"/>
      <c r="H48" s="478"/>
      <c r="I48" s="478"/>
      <c r="J48" s="478"/>
      <c r="K48" s="478"/>
      <c r="L48" s="478"/>
      <c r="M48" s="478"/>
      <c r="N48" s="478"/>
      <c r="O48" s="68"/>
      <c r="P48" s="69"/>
      <c r="Q48" s="70"/>
    </row>
    <row r="49" spans="1:17" ht="3.95" customHeight="1" x14ac:dyDescent="0.25">
      <c r="A49" s="72"/>
      <c r="B49" s="61"/>
      <c r="C49" s="106"/>
      <c r="D49" s="71"/>
      <c r="E49" s="71"/>
      <c r="F49" s="71"/>
      <c r="G49" s="479"/>
      <c r="H49" s="479"/>
      <c r="I49" s="479"/>
      <c r="J49" s="479"/>
      <c r="K49" s="479"/>
      <c r="L49" s="479"/>
      <c r="M49" s="479"/>
      <c r="N49" s="479"/>
      <c r="O49" s="68"/>
      <c r="P49" s="69"/>
      <c r="Q49" s="70"/>
    </row>
    <row r="50" spans="1:17" ht="15" customHeight="1" x14ac:dyDescent="0.25">
      <c r="A50" s="67">
        <v>23</v>
      </c>
      <c r="B50" s="61"/>
      <c r="C50" s="106" t="s">
        <v>292</v>
      </c>
      <c r="D50" s="71"/>
      <c r="E50" s="71"/>
      <c r="F50" s="71"/>
      <c r="G50" s="71"/>
      <c r="H50" s="71"/>
      <c r="I50" s="71"/>
      <c r="J50" s="71"/>
      <c r="K50" s="71"/>
      <c r="L50" s="71"/>
      <c r="M50" s="71"/>
      <c r="N50" s="71"/>
      <c r="O50" s="68"/>
      <c r="P50" s="69"/>
      <c r="Q50" s="70"/>
    </row>
    <row r="51" spans="1:17" ht="15" customHeight="1" x14ac:dyDescent="0.25">
      <c r="A51" s="67">
        <v>24</v>
      </c>
      <c r="B51" s="61"/>
      <c r="C51" s="106" t="s">
        <v>293</v>
      </c>
      <c r="D51" s="71"/>
      <c r="E51" s="71"/>
      <c r="F51" s="71"/>
      <c r="G51" s="71"/>
      <c r="H51" s="71"/>
      <c r="I51" s="71"/>
      <c r="J51" s="71"/>
      <c r="K51" s="71"/>
      <c r="L51" s="71"/>
      <c r="M51" s="71"/>
      <c r="N51" s="71"/>
      <c r="O51" s="68"/>
      <c r="P51" s="69"/>
      <c r="Q51" s="70"/>
    </row>
    <row r="52" spans="1:17" ht="15" customHeight="1" x14ac:dyDescent="0.25">
      <c r="A52" s="67">
        <v>25</v>
      </c>
      <c r="B52" s="61"/>
      <c r="C52" s="74" t="s">
        <v>302</v>
      </c>
      <c r="D52" s="71"/>
      <c r="E52" s="71"/>
      <c r="F52" s="71"/>
      <c r="G52" s="71"/>
      <c r="H52" s="71"/>
      <c r="I52" s="71"/>
      <c r="J52" s="71"/>
      <c r="K52" s="74" t="s">
        <v>303</v>
      </c>
      <c r="L52" s="71"/>
      <c r="M52" s="71"/>
      <c r="N52" s="71"/>
      <c r="Q52" s="70"/>
    </row>
    <row r="53" spans="1:17" ht="15" customHeight="1" x14ac:dyDescent="0.25">
      <c r="A53" s="67">
        <v>26</v>
      </c>
      <c r="B53" s="61"/>
      <c r="C53" s="106" t="s">
        <v>304</v>
      </c>
      <c r="D53" s="106"/>
      <c r="E53" s="106"/>
      <c r="F53" s="106"/>
      <c r="G53" s="106"/>
      <c r="H53" s="106"/>
      <c r="I53" s="106"/>
      <c r="J53" s="106"/>
      <c r="K53" s="106"/>
      <c r="L53" s="106"/>
      <c r="M53" s="106"/>
      <c r="N53" s="106"/>
      <c r="O53" s="68"/>
      <c r="P53" s="69"/>
      <c r="Q53" s="70"/>
    </row>
    <row r="54" spans="1:17" ht="15" customHeight="1" x14ac:dyDescent="0.25">
      <c r="A54" s="67">
        <v>27</v>
      </c>
      <c r="B54" s="61"/>
      <c r="C54" s="106" t="s">
        <v>305</v>
      </c>
      <c r="D54" s="106"/>
      <c r="E54" s="106"/>
      <c r="F54" s="106"/>
      <c r="G54" s="106"/>
      <c r="H54" s="106"/>
      <c r="I54" s="106"/>
      <c r="J54" s="106"/>
      <c r="K54" s="106"/>
      <c r="L54" s="106"/>
      <c r="M54" s="106"/>
      <c r="N54" s="106"/>
      <c r="O54" s="68"/>
      <c r="P54" s="69"/>
      <c r="Q54" s="70"/>
    </row>
    <row r="55" spans="1:17" ht="15" customHeight="1" x14ac:dyDescent="0.25">
      <c r="A55" s="67">
        <v>28</v>
      </c>
      <c r="B55" s="61"/>
      <c r="C55" s="106" t="s">
        <v>306</v>
      </c>
      <c r="D55" s="106"/>
      <c r="E55" s="106"/>
      <c r="F55" s="106"/>
      <c r="G55" s="106"/>
      <c r="H55" s="106"/>
      <c r="I55" s="106"/>
      <c r="J55" s="106"/>
      <c r="K55" s="106"/>
      <c r="L55" s="106"/>
      <c r="M55" s="106"/>
      <c r="N55" s="106"/>
      <c r="O55" s="68"/>
      <c r="P55" s="69"/>
      <c r="Q55" s="70"/>
    </row>
    <row r="56" spans="1:17" ht="15" customHeight="1" x14ac:dyDescent="0.25">
      <c r="A56" s="72"/>
      <c r="B56" s="61"/>
      <c r="C56" s="106" t="s">
        <v>307</v>
      </c>
      <c r="D56" s="106"/>
      <c r="E56" s="106"/>
      <c r="F56" s="106"/>
      <c r="G56" s="106"/>
      <c r="H56" s="106"/>
      <c r="I56" s="106"/>
      <c r="J56" s="106"/>
      <c r="K56" s="106"/>
      <c r="L56" s="106"/>
      <c r="M56" s="106"/>
      <c r="N56" s="106"/>
      <c r="O56" s="68"/>
      <c r="P56" s="69"/>
      <c r="Q56" s="70"/>
    </row>
    <row r="57" spans="1:17" ht="15" customHeight="1" x14ac:dyDescent="0.25">
      <c r="A57" s="67">
        <v>29</v>
      </c>
      <c r="B57" s="61"/>
      <c r="C57" s="106" t="s">
        <v>308</v>
      </c>
      <c r="D57" s="106"/>
      <c r="E57" s="106"/>
      <c r="F57" s="106"/>
      <c r="G57" s="106"/>
      <c r="H57" s="106"/>
      <c r="I57" s="106"/>
      <c r="J57" s="106"/>
      <c r="K57" s="106"/>
      <c r="L57" s="106"/>
      <c r="M57" s="106"/>
      <c r="N57" s="106"/>
      <c r="O57" s="68"/>
      <c r="P57" s="69"/>
      <c r="Q57" s="70"/>
    </row>
    <row r="58" spans="1:17" ht="15" customHeight="1" x14ac:dyDescent="0.25">
      <c r="A58" s="67">
        <v>30</v>
      </c>
      <c r="B58" s="61"/>
      <c r="C58" s="490" t="s">
        <v>321</v>
      </c>
      <c r="D58" s="490"/>
      <c r="E58" s="490"/>
      <c r="F58" s="489"/>
      <c r="G58" s="489"/>
      <c r="H58" s="106"/>
      <c r="I58" s="491" t="s">
        <v>322</v>
      </c>
      <c r="J58" s="491"/>
      <c r="K58" s="491"/>
      <c r="L58" s="491"/>
      <c r="M58" s="489"/>
      <c r="N58" s="489"/>
      <c r="O58" s="68"/>
      <c r="P58" s="69"/>
      <c r="Q58" s="70"/>
    </row>
    <row r="59" spans="1:17" ht="3.95" customHeight="1" x14ac:dyDescent="0.25">
      <c r="A59" s="75"/>
      <c r="B59" s="76"/>
      <c r="C59" s="77"/>
      <c r="D59" s="78"/>
      <c r="E59" s="78"/>
      <c r="F59" s="78"/>
      <c r="G59" s="104"/>
      <c r="H59" s="129"/>
      <c r="I59" s="129"/>
      <c r="J59" s="129"/>
      <c r="K59" s="129"/>
      <c r="L59" s="129"/>
      <c r="M59" s="129"/>
      <c r="N59" s="129"/>
      <c r="O59" s="79"/>
      <c r="P59" s="80"/>
      <c r="Q59" s="81"/>
    </row>
    <row r="60" spans="1:17" ht="12" customHeight="1" x14ac:dyDescent="0.25">
      <c r="A60" s="82" t="s">
        <v>309</v>
      </c>
      <c r="B60" s="61"/>
      <c r="C60" s="83"/>
      <c r="D60" s="61"/>
      <c r="E60" s="61"/>
      <c r="F60" s="61"/>
      <c r="G60" s="61"/>
      <c r="H60" s="61"/>
      <c r="I60" s="61"/>
      <c r="J60" s="61"/>
      <c r="K60" s="61"/>
      <c r="L60" s="61"/>
      <c r="M60" s="61"/>
      <c r="N60" s="84"/>
      <c r="O60" s="61"/>
      <c r="P60" s="85"/>
      <c r="Q60" s="85"/>
    </row>
    <row r="61" spans="1:17" ht="12.95" customHeight="1" x14ac:dyDescent="0.25">
      <c r="A61" s="82"/>
      <c r="B61" s="475"/>
      <c r="C61" s="475"/>
      <c r="D61" s="475"/>
      <c r="E61" s="475"/>
      <c r="F61" s="475"/>
      <c r="G61" s="475"/>
      <c r="H61" s="475"/>
      <c r="I61" s="475"/>
      <c r="J61" s="475"/>
      <c r="K61" s="475"/>
      <c r="L61" s="475"/>
      <c r="M61" s="475"/>
      <c r="N61" s="475"/>
      <c r="O61" s="475"/>
      <c r="P61" s="85"/>
      <c r="Q61" s="85"/>
    </row>
    <row r="62" spans="1:17" ht="12.95" customHeight="1" x14ac:dyDescent="0.25">
      <c r="A62" s="82"/>
      <c r="B62" s="475"/>
      <c r="C62" s="475"/>
      <c r="D62" s="475"/>
      <c r="E62" s="475"/>
      <c r="F62" s="475"/>
      <c r="G62" s="475"/>
      <c r="H62" s="475"/>
      <c r="I62" s="475"/>
      <c r="J62" s="475"/>
      <c r="K62" s="475"/>
      <c r="L62" s="475"/>
      <c r="M62" s="475"/>
      <c r="N62" s="475"/>
      <c r="O62" s="475"/>
      <c r="P62" s="85"/>
      <c r="Q62" s="85"/>
    </row>
    <row r="63" spans="1:17" ht="12.95" customHeight="1" x14ac:dyDescent="0.25">
      <c r="A63" s="82"/>
      <c r="B63" s="475"/>
      <c r="C63" s="475"/>
      <c r="D63" s="475"/>
      <c r="E63" s="475"/>
      <c r="F63" s="475"/>
      <c r="G63" s="475"/>
      <c r="H63" s="475"/>
      <c r="I63" s="475"/>
      <c r="J63" s="475"/>
      <c r="K63" s="475"/>
      <c r="L63" s="475"/>
      <c r="M63" s="475"/>
      <c r="N63" s="475"/>
      <c r="O63" s="475"/>
      <c r="P63" s="85"/>
      <c r="Q63" s="85"/>
    </row>
    <row r="64" spans="1:17" ht="12.95" customHeight="1" x14ac:dyDescent="0.25">
      <c r="A64" s="82"/>
      <c r="B64" s="84"/>
      <c r="C64" s="84"/>
      <c r="D64" s="84"/>
      <c r="E64" s="84"/>
      <c r="F64" s="84"/>
      <c r="G64" s="84"/>
      <c r="H64" s="84"/>
      <c r="I64" s="84"/>
      <c r="J64" s="84"/>
      <c r="K64" s="84"/>
      <c r="L64" s="84"/>
      <c r="M64" s="84"/>
      <c r="N64" s="84"/>
      <c r="O64" s="84"/>
      <c r="P64" s="85"/>
      <c r="Q64" s="85"/>
    </row>
    <row r="65" spans="1:17" ht="12" customHeight="1" x14ac:dyDescent="0.25">
      <c r="A65" s="82"/>
      <c r="B65" s="61"/>
      <c r="C65" s="452" t="str">
        <f>IF('Data Entry'!N29="","",'Data Entry'!N29)&amp;IF(OR('Data Entry'!N29="",'Data Entry'!N30=""),""," / Licence No")&amp; IF('Data Entry'!N30="","",'Data Entry'!N30)</f>
        <v>MEHMET EROĞLU</v>
      </c>
      <c r="D65" s="452"/>
      <c r="E65" s="452"/>
      <c r="F65" s="130"/>
      <c r="G65" s="452" t="str">
        <f>IF('Data Entry'!N23="","",'Data Entry'!N23)</f>
        <v/>
      </c>
      <c r="H65" s="452"/>
      <c r="I65" s="452"/>
      <c r="J65" s="130"/>
      <c r="K65" s="130"/>
      <c r="L65" s="130"/>
      <c r="M65" s="452" t="str">
        <f>IF('Data Entry'!N9="","",'Data Entry'!N9)</f>
        <v/>
      </c>
      <c r="N65" s="452"/>
      <c r="O65" s="61"/>
      <c r="P65" s="85"/>
      <c r="Q65" s="85"/>
    </row>
    <row r="66" spans="1:17" ht="12" customHeight="1" x14ac:dyDescent="0.25">
      <c r="A66" s="82"/>
      <c r="B66" s="61"/>
      <c r="C66" s="452"/>
      <c r="D66" s="452"/>
      <c r="E66" s="452"/>
      <c r="F66" s="130"/>
      <c r="G66" s="452"/>
      <c r="H66" s="452"/>
      <c r="I66" s="452"/>
      <c r="J66" s="130"/>
      <c r="K66" s="130"/>
      <c r="L66" s="130"/>
      <c r="M66" s="452"/>
      <c r="N66" s="452"/>
      <c r="O66" s="61"/>
      <c r="P66" s="85"/>
      <c r="Q66" s="85"/>
    </row>
    <row r="67" spans="1:17" ht="12" customHeight="1" x14ac:dyDescent="0.25">
      <c r="A67" s="82"/>
      <c r="B67" s="61"/>
      <c r="C67" s="453"/>
      <c r="D67" s="453"/>
      <c r="E67" s="453"/>
      <c r="F67" s="130"/>
      <c r="G67" s="453"/>
      <c r="H67" s="453"/>
      <c r="I67" s="453"/>
      <c r="J67" s="130"/>
      <c r="K67" s="130"/>
      <c r="L67" s="130"/>
      <c r="M67" s="453"/>
      <c r="N67" s="453"/>
      <c r="O67" s="61"/>
      <c r="P67" s="85"/>
      <c r="Q67" s="85"/>
    </row>
    <row r="68" spans="1:17" ht="12" customHeight="1" x14ac:dyDescent="0.25">
      <c r="A68" s="82"/>
      <c r="B68" s="61"/>
      <c r="C68" s="457" t="s">
        <v>184</v>
      </c>
      <c r="D68" s="457"/>
      <c r="E68" s="457"/>
      <c r="F68" s="86"/>
      <c r="G68" s="457" t="s">
        <v>51</v>
      </c>
      <c r="H68" s="457"/>
      <c r="I68" s="457"/>
      <c r="J68" s="86"/>
      <c r="K68" s="86"/>
      <c r="L68" s="86"/>
      <c r="M68" s="457" t="s">
        <v>17</v>
      </c>
      <c r="N68" s="457"/>
      <c r="O68" s="61"/>
      <c r="P68" s="85"/>
      <c r="Q68" s="85"/>
    </row>
    <row r="69" spans="1:17" ht="12" customHeight="1" x14ac:dyDescent="0.25">
      <c r="A69" s="454" t="s">
        <v>316</v>
      </c>
      <c r="B69" s="455"/>
      <c r="C69" s="455"/>
      <c r="D69" s="455"/>
      <c r="E69" s="455"/>
      <c r="F69" s="455"/>
      <c r="G69" s="455"/>
      <c r="H69" s="455"/>
      <c r="I69" s="456" t="str">
        <f>'Data Entry'!AK9</f>
        <v>LTS-CUS-F-01 rev 2.0</v>
      </c>
      <c r="J69" s="456"/>
      <c r="K69" s="456"/>
      <c r="L69" s="456"/>
      <c r="M69" s="456"/>
      <c r="N69" s="456"/>
      <c r="O69" s="456"/>
      <c r="P69" s="456"/>
      <c r="Q69" s="456"/>
    </row>
    <row r="70" spans="1:17" x14ac:dyDescent="0.25">
      <c r="A70" s="61"/>
      <c r="B70" s="61"/>
      <c r="C70" s="61"/>
      <c r="D70" s="61"/>
      <c r="E70" s="61"/>
      <c r="F70" s="61"/>
      <c r="G70" s="61"/>
      <c r="H70" s="61"/>
      <c r="I70" s="61"/>
      <c r="J70" s="61"/>
      <c r="K70" s="61"/>
      <c r="L70" s="61"/>
      <c r="M70" s="61"/>
      <c r="N70" s="61"/>
      <c r="O70" s="61"/>
      <c r="P70" s="61"/>
      <c r="Q70" s="59"/>
    </row>
    <row r="71" spans="1:17" x14ac:dyDescent="0.25">
      <c r="A71" s="61"/>
      <c r="B71" s="61"/>
      <c r="C71" s="61"/>
      <c r="D71" s="61"/>
      <c r="E71" s="61"/>
      <c r="F71" s="61"/>
      <c r="G71" s="61"/>
      <c r="H71" s="61"/>
      <c r="I71" s="61"/>
      <c r="J71" s="61"/>
      <c r="K71" s="61"/>
      <c r="L71" s="61"/>
      <c r="M71" s="61"/>
      <c r="N71" s="61"/>
      <c r="O71" s="61"/>
      <c r="P71" s="61"/>
      <c r="Q71" s="59"/>
    </row>
    <row r="72" spans="1:17" x14ac:dyDescent="0.25">
      <c r="A72" s="61"/>
      <c r="B72" s="61"/>
      <c r="C72" s="61"/>
      <c r="D72" s="61"/>
      <c r="E72" s="61"/>
      <c r="F72" s="61"/>
      <c r="G72" s="61"/>
      <c r="H72" s="61"/>
      <c r="I72" s="61"/>
      <c r="J72" s="61"/>
      <c r="K72" s="61"/>
      <c r="L72" s="61"/>
      <c r="M72" s="61"/>
      <c r="N72" s="61"/>
      <c r="O72" s="61"/>
      <c r="P72" s="61"/>
      <c r="Q72" s="59"/>
    </row>
    <row r="73" spans="1:17" x14ac:dyDescent="0.25">
      <c r="A73" s="61"/>
      <c r="B73" s="61"/>
      <c r="C73" s="61"/>
      <c r="D73" s="61"/>
      <c r="E73" s="61"/>
      <c r="F73" s="61"/>
      <c r="G73" s="61"/>
      <c r="H73" s="61"/>
      <c r="I73" s="61"/>
      <c r="J73" s="61"/>
      <c r="K73" s="61"/>
      <c r="L73" s="61"/>
      <c r="M73" s="61"/>
      <c r="N73" s="61"/>
      <c r="O73" s="61"/>
      <c r="P73" s="61"/>
      <c r="Q73" s="59"/>
    </row>
    <row r="74" spans="1:17" x14ac:dyDescent="0.25">
      <c r="A74" s="61"/>
      <c r="B74" s="61"/>
      <c r="C74" s="61"/>
      <c r="D74" s="61"/>
      <c r="E74" s="61"/>
      <c r="F74" s="61"/>
      <c r="G74" s="61"/>
      <c r="H74" s="61"/>
      <c r="I74" s="61"/>
      <c r="J74" s="61"/>
      <c r="K74" s="61"/>
      <c r="L74" s="61"/>
      <c r="M74" s="61"/>
      <c r="N74" s="61"/>
      <c r="O74" s="61"/>
      <c r="P74" s="61"/>
      <c r="Q74" s="59"/>
    </row>
    <row r="75" spans="1:17" x14ac:dyDescent="0.25">
      <c r="A75" s="61"/>
      <c r="B75" s="61"/>
      <c r="C75" s="61"/>
      <c r="D75" s="61"/>
      <c r="E75" s="61"/>
      <c r="F75" s="61"/>
      <c r="G75" s="61"/>
      <c r="H75" s="61"/>
      <c r="I75" s="61"/>
      <c r="J75" s="61"/>
      <c r="K75" s="61"/>
      <c r="L75" s="61"/>
      <c r="M75" s="61"/>
      <c r="N75" s="61"/>
      <c r="O75" s="61"/>
      <c r="P75" s="61"/>
      <c r="Q75" s="59"/>
    </row>
    <row r="76" spans="1:17" x14ac:dyDescent="0.25">
      <c r="A76" s="61"/>
      <c r="B76" s="61"/>
      <c r="C76" s="61"/>
      <c r="D76" s="61"/>
      <c r="E76" s="61"/>
      <c r="F76" s="61"/>
      <c r="G76" s="61"/>
      <c r="H76" s="61"/>
      <c r="I76" s="61"/>
      <c r="J76" s="61"/>
      <c r="K76" s="61"/>
      <c r="L76" s="61"/>
      <c r="M76" s="61"/>
      <c r="N76" s="61"/>
      <c r="O76" s="61"/>
      <c r="P76" s="61"/>
      <c r="Q76" s="59"/>
    </row>
    <row r="77" spans="1:17" x14ac:dyDescent="0.25">
      <c r="A77" s="61"/>
      <c r="B77" s="61"/>
      <c r="C77" s="61"/>
      <c r="D77" s="61"/>
      <c r="E77" s="61"/>
      <c r="F77" s="61"/>
      <c r="G77" s="61"/>
      <c r="H77" s="61"/>
      <c r="I77" s="61"/>
      <c r="J77" s="61"/>
      <c r="K77" s="61"/>
      <c r="L77" s="61"/>
      <c r="M77" s="61"/>
      <c r="N77" s="61"/>
      <c r="O77" s="61"/>
      <c r="P77" s="61"/>
      <c r="Q77" s="59"/>
    </row>
    <row r="78" spans="1:17" x14ac:dyDescent="0.25">
      <c r="A78" s="61"/>
      <c r="B78" s="61"/>
      <c r="C78" s="61"/>
      <c r="D78" s="61"/>
      <c r="E78" s="61"/>
      <c r="F78" s="61"/>
      <c r="G78" s="61"/>
      <c r="H78" s="61"/>
      <c r="I78" s="61"/>
      <c r="J78" s="61"/>
      <c r="K78" s="61"/>
      <c r="L78" s="61"/>
      <c r="M78" s="61"/>
      <c r="N78" s="61"/>
      <c r="O78" s="61"/>
      <c r="P78" s="61"/>
      <c r="Q78" s="59"/>
    </row>
    <row r="79" spans="1:17" x14ac:dyDescent="0.25">
      <c r="A79" s="61"/>
      <c r="B79" s="61"/>
      <c r="C79" s="61"/>
      <c r="D79" s="61"/>
      <c r="E79" s="61"/>
      <c r="F79" s="61"/>
      <c r="G79" s="61"/>
      <c r="H79" s="61"/>
      <c r="I79" s="61"/>
      <c r="J79" s="61"/>
      <c r="K79" s="61"/>
      <c r="L79" s="61"/>
      <c r="M79" s="61"/>
      <c r="N79" s="61"/>
      <c r="O79" s="61"/>
      <c r="P79" s="61"/>
      <c r="Q79" s="59"/>
    </row>
    <row r="80" spans="1:17" x14ac:dyDescent="0.25">
      <c r="A80" s="61"/>
      <c r="B80" s="61"/>
      <c r="C80" s="61"/>
      <c r="D80" s="61"/>
      <c r="E80" s="61"/>
      <c r="F80" s="61"/>
      <c r="G80" s="61"/>
      <c r="H80" s="61"/>
      <c r="I80" s="61"/>
      <c r="J80" s="61"/>
      <c r="K80" s="61"/>
      <c r="L80" s="61"/>
      <c r="M80" s="61"/>
      <c r="N80" s="61"/>
      <c r="O80" s="61"/>
      <c r="P80" s="61"/>
      <c r="Q80" s="59"/>
    </row>
    <row r="81" spans="1:17" x14ac:dyDescent="0.25">
      <c r="A81" s="61"/>
      <c r="B81" s="61"/>
      <c r="C81" s="61"/>
      <c r="D81" s="61"/>
      <c r="E81" s="61"/>
      <c r="F81" s="61"/>
      <c r="G81" s="61"/>
      <c r="H81" s="61"/>
      <c r="I81" s="61"/>
      <c r="J81" s="61"/>
      <c r="K81" s="61"/>
      <c r="L81" s="61"/>
      <c r="M81" s="61"/>
      <c r="N81" s="61"/>
      <c r="O81" s="61"/>
      <c r="P81" s="61"/>
      <c r="Q81" s="59"/>
    </row>
    <row r="82" spans="1:17" x14ac:dyDescent="0.25">
      <c r="A82" s="61"/>
      <c r="B82" s="61"/>
      <c r="C82" s="61"/>
      <c r="D82" s="61"/>
      <c r="E82" s="61"/>
      <c r="F82" s="61"/>
      <c r="G82" s="61"/>
      <c r="H82" s="61"/>
      <c r="I82" s="61"/>
      <c r="J82" s="61"/>
      <c r="K82" s="61"/>
      <c r="L82" s="61"/>
      <c r="M82" s="61"/>
      <c r="N82" s="61"/>
      <c r="O82" s="61"/>
      <c r="P82" s="61"/>
      <c r="Q82" s="59"/>
    </row>
    <row r="83" spans="1:17" x14ac:dyDescent="0.25">
      <c r="A83" s="61"/>
      <c r="B83" s="61"/>
      <c r="C83" s="61"/>
      <c r="D83" s="61"/>
      <c r="E83" s="61"/>
      <c r="F83" s="61"/>
      <c r="G83" s="61"/>
      <c r="H83" s="61"/>
      <c r="I83" s="61"/>
      <c r="J83" s="61"/>
      <c r="K83" s="61"/>
      <c r="L83" s="61"/>
      <c r="M83" s="61"/>
      <c r="N83" s="61"/>
      <c r="O83" s="61"/>
      <c r="P83" s="61"/>
      <c r="Q83" s="59"/>
    </row>
    <row r="84" spans="1:17" x14ac:dyDescent="0.25">
      <c r="A84" s="61"/>
      <c r="B84" s="61"/>
      <c r="C84" s="61"/>
      <c r="D84" s="61"/>
      <c r="E84" s="61"/>
      <c r="F84" s="61"/>
      <c r="G84" s="61"/>
      <c r="H84" s="61"/>
      <c r="I84" s="61"/>
      <c r="J84" s="61"/>
      <c r="K84" s="61"/>
      <c r="L84" s="61"/>
      <c r="M84" s="61"/>
      <c r="N84" s="61"/>
      <c r="O84" s="61"/>
      <c r="P84" s="61"/>
      <c r="Q84" s="59"/>
    </row>
    <row r="85" spans="1:17" x14ac:dyDescent="0.25">
      <c r="A85" s="74"/>
      <c r="B85" s="74"/>
      <c r="C85" s="74"/>
      <c r="D85" s="74"/>
      <c r="E85" s="74"/>
      <c r="F85" s="74"/>
      <c r="G85" s="74"/>
      <c r="H85" s="74"/>
      <c r="I85" s="74"/>
      <c r="J85" s="74"/>
      <c r="K85" s="74"/>
      <c r="L85" s="74"/>
      <c r="M85" s="74"/>
      <c r="N85" s="74"/>
      <c r="O85" s="74"/>
      <c r="P85" s="74"/>
    </row>
    <row r="86" spans="1:17" x14ac:dyDescent="0.25">
      <c r="A86" s="74"/>
      <c r="B86" s="74"/>
      <c r="C86" s="74"/>
      <c r="D86" s="74"/>
      <c r="E86" s="74"/>
      <c r="F86" s="74"/>
      <c r="G86" s="74"/>
      <c r="H86" s="74"/>
      <c r="I86" s="74"/>
      <c r="J86" s="74"/>
      <c r="K86" s="74"/>
      <c r="L86" s="74"/>
      <c r="M86" s="74"/>
      <c r="N86" s="74"/>
      <c r="O86" s="74"/>
      <c r="P86" s="74"/>
    </row>
    <row r="87" spans="1:17" x14ac:dyDescent="0.25">
      <c r="A87" s="74"/>
      <c r="B87" s="74"/>
      <c r="C87" s="74"/>
      <c r="D87" s="74"/>
      <c r="E87" s="74"/>
      <c r="F87" s="74"/>
      <c r="G87" s="74"/>
      <c r="H87" s="74"/>
      <c r="I87" s="74"/>
      <c r="J87" s="74"/>
      <c r="K87" s="74"/>
      <c r="L87" s="74"/>
      <c r="M87" s="74"/>
      <c r="N87" s="74"/>
      <c r="O87" s="74"/>
      <c r="P87" s="74"/>
    </row>
    <row r="88" spans="1:17" x14ac:dyDescent="0.25">
      <c r="A88" s="74"/>
      <c r="B88" s="74"/>
      <c r="C88" s="74"/>
      <c r="D88" s="74"/>
      <c r="E88" s="74"/>
      <c r="F88" s="74"/>
      <c r="G88" s="74"/>
      <c r="H88" s="74"/>
      <c r="I88" s="74"/>
      <c r="J88" s="74"/>
      <c r="K88" s="74"/>
      <c r="L88" s="74"/>
      <c r="M88" s="74"/>
      <c r="N88" s="74"/>
      <c r="O88" s="74"/>
      <c r="P88" s="74"/>
    </row>
    <row r="89" spans="1:17" x14ac:dyDescent="0.25">
      <c r="A89" s="74"/>
      <c r="B89" s="74"/>
      <c r="C89" s="74"/>
      <c r="D89" s="74"/>
      <c r="E89" s="74"/>
      <c r="F89" s="74"/>
      <c r="G89" s="74"/>
      <c r="H89" s="74"/>
      <c r="I89" s="74"/>
      <c r="J89" s="74"/>
      <c r="K89" s="74"/>
      <c r="L89" s="74"/>
      <c r="M89" s="74"/>
      <c r="N89" s="74"/>
      <c r="O89" s="74"/>
      <c r="P89" s="74"/>
    </row>
    <row r="90" spans="1:17" x14ac:dyDescent="0.25">
      <c r="A90" s="74"/>
      <c r="B90" s="74"/>
      <c r="C90" s="74"/>
      <c r="D90" s="74"/>
      <c r="E90" s="74"/>
      <c r="F90" s="74"/>
      <c r="G90" s="74"/>
      <c r="H90" s="74"/>
      <c r="I90" s="74"/>
      <c r="J90" s="74"/>
      <c r="K90" s="74"/>
      <c r="L90" s="74"/>
      <c r="M90" s="74"/>
      <c r="N90" s="74"/>
      <c r="O90" s="74"/>
      <c r="P90" s="74"/>
    </row>
    <row r="91" spans="1:17" x14ac:dyDescent="0.25">
      <c r="A91" s="74"/>
      <c r="B91" s="74"/>
      <c r="C91" s="74"/>
      <c r="D91" s="74"/>
      <c r="E91" s="74"/>
      <c r="F91" s="74"/>
      <c r="G91" s="74"/>
      <c r="H91" s="74"/>
      <c r="I91" s="74"/>
      <c r="J91" s="74"/>
      <c r="K91" s="74"/>
      <c r="L91" s="74"/>
      <c r="M91" s="74"/>
      <c r="N91" s="74"/>
      <c r="O91" s="74"/>
      <c r="P91" s="74"/>
    </row>
    <row r="92" spans="1:17" x14ac:dyDescent="0.25">
      <c r="A92" s="74"/>
      <c r="B92" s="74"/>
      <c r="C92" s="74"/>
      <c r="D92" s="74"/>
      <c r="E92" s="74"/>
      <c r="F92" s="74"/>
      <c r="G92" s="74"/>
      <c r="H92" s="74"/>
      <c r="I92" s="74"/>
      <c r="J92" s="74"/>
      <c r="K92" s="74"/>
      <c r="L92" s="74"/>
      <c r="M92" s="74"/>
      <c r="N92" s="74"/>
      <c r="O92" s="74"/>
      <c r="P92" s="74"/>
    </row>
    <row r="93" spans="1:17" x14ac:dyDescent="0.25">
      <c r="A93" s="74"/>
      <c r="B93" s="74"/>
      <c r="C93" s="74"/>
      <c r="D93" s="74"/>
      <c r="E93" s="74"/>
      <c r="F93" s="74"/>
      <c r="G93" s="74"/>
      <c r="H93" s="74"/>
      <c r="I93" s="74"/>
      <c r="J93" s="74"/>
      <c r="K93" s="74"/>
      <c r="L93" s="74"/>
      <c r="M93" s="74"/>
      <c r="N93" s="74"/>
      <c r="O93" s="74"/>
      <c r="P93" s="74"/>
    </row>
    <row r="94" spans="1:17" x14ac:dyDescent="0.25">
      <c r="A94" s="74"/>
      <c r="B94" s="74"/>
      <c r="C94" s="74"/>
      <c r="D94" s="74"/>
      <c r="E94" s="74"/>
      <c r="F94" s="74"/>
      <c r="G94" s="74"/>
      <c r="H94" s="74"/>
      <c r="I94" s="74"/>
      <c r="J94" s="74"/>
      <c r="K94" s="74"/>
      <c r="L94" s="74"/>
      <c r="M94" s="74"/>
      <c r="N94" s="74"/>
      <c r="O94" s="74"/>
      <c r="P94" s="74"/>
    </row>
    <row r="95" spans="1:17" x14ac:dyDescent="0.25">
      <c r="A95" s="74"/>
      <c r="B95" s="74"/>
      <c r="C95" s="74"/>
      <c r="D95" s="74"/>
      <c r="E95" s="74"/>
      <c r="F95" s="74"/>
      <c r="G95" s="74"/>
      <c r="H95" s="74"/>
      <c r="I95" s="74"/>
      <c r="J95" s="74"/>
      <c r="K95" s="74"/>
      <c r="L95" s="74"/>
      <c r="M95" s="74"/>
      <c r="N95" s="74"/>
      <c r="O95" s="74"/>
      <c r="P95" s="74"/>
    </row>
    <row r="96" spans="1:17" x14ac:dyDescent="0.25">
      <c r="A96" s="74"/>
      <c r="B96" s="74"/>
      <c r="C96" s="74"/>
      <c r="D96" s="74"/>
      <c r="E96" s="74"/>
      <c r="F96" s="74"/>
      <c r="G96" s="74"/>
      <c r="H96" s="74"/>
      <c r="I96" s="74"/>
      <c r="J96" s="74"/>
      <c r="K96" s="74"/>
      <c r="L96" s="74"/>
      <c r="M96" s="74"/>
      <c r="N96" s="74"/>
      <c r="O96" s="74"/>
      <c r="P96" s="74"/>
    </row>
    <row r="97" spans="1:16" x14ac:dyDescent="0.25">
      <c r="A97" s="74"/>
      <c r="B97" s="74"/>
      <c r="C97" s="74"/>
      <c r="D97" s="74"/>
      <c r="E97" s="74"/>
      <c r="F97" s="74"/>
      <c r="G97" s="74"/>
      <c r="H97" s="74"/>
      <c r="I97" s="74"/>
      <c r="J97" s="74"/>
      <c r="K97" s="74"/>
      <c r="L97" s="74"/>
      <c r="M97" s="74"/>
      <c r="N97" s="74"/>
      <c r="O97" s="74"/>
      <c r="P97" s="74"/>
    </row>
    <row r="98" spans="1:16" x14ac:dyDescent="0.25">
      <c r="A98" s="74"/>
      <c r="B98" s="74"/>
      <c r="C98" s="74"/>
      <c r="D98" s="74"/>
      <c r="E98" s="74"/>
      <c r="F98" s="74"/>
      <c r="G98" s="74"/>
      <c r="H98" s="74"/>
      <c r="I98" s="74"/>
      <c r="J98" s="74"/>
      <c r="K98" s="74"/>
      <c r="L98" s="74"/>
      <c r="M98" s="74"/>
      <c r="N98" s="74"/>
      <c r="O98" s="74"/>
      <c r="P98" s="74"/>
    </row>
    <row r="99" spans="1:16" x14ac:dyDescent="0.25">
      <c r="A99" s="74"/>
      <c r="B99" s="74"/>
      <c r="C99" s="74"/>
      <c r="D99" s="74"/>
      <c r="E99" s="74"/>
      <c r="F99" s="74"/>
      <c r="G99" s="74"/>
      <c r="H99" s="74"/>
      <c r="I99" s="74"/>
      <c r="J99" s="74"/>
      <c r="K99" s="74"/>
      <c r="L99" s="74"/>
      <c r="M99" s="74"/>
      <c r="N99" s="74"/>
      <c r="O99" s="74"/>
      <c r="P99" s="74"/>
    </row>
    <row r="100" spans="1:16" x14ac:dyDescent="0.25">
      <c r="A100" s="74"/>
      <c r="B100" s="74"/>
      <c r="C100" s="74"/>
      <c r="D100" s="74"/>
      <c r="E100" s="74"/>
      <c r="F100" s="74"/>
      <c r="G100" s="74"/>
      <c r="H100" s="74"/>
      <c r="I100" s="74"/>
      <c r="J100" s="74"/>
      <c r="K100" s="74"/>
      <c r="L100" s="74"/>
      <c r="M100" s="74"/>
      <c r="N100" s="74"/>
      <c r="O100" s="74"/>
      <c r="P100" s="74"/>
    </row>
    <row r="101" spans="1:16" x14ac:dyDescent="0.25">
      <c r="A101" s="74"/>
      <c r="B101" s="74"/>
      <c r="C101" s="74"/>
      <c r="D101" s="74"/>
      <c r="E101" s="74"/>
      <c r="F101" s="74"/>
      <c r="G101" s="74"/>
      <c r="H101" s="74"/>
      <c r="I101" s="74"/>
      <c r="J101" s="74"/>
      <c r="K101" s="74"/>
      <c r="L101" s="74"/>
      <c r="M101" s="74"/>
      <c r="N101" s="74"/>
      <c r="O101" s="74"/>
      <c r="P101" s="74"/>
    </row>
    <row r="102" spans="1:16" x14ac:dyDescent="0.25">
      <c r="A102" s="74"/>
      <c r="B102" s="74"/>
      <c r="C102" s="74"/>
      <c r="D102" s="74"/>
      <c r="E102" s="74"/>
      <c r="F102" s="74"/>
      <c r="G102" s="74"/>
      <c r="H102" s="74"/>
      <c r="I102" s="74"/>
      <c r="J102" s="74"/>
      <c r="K102" s="74"/>
      <c r="L102" s="74"/>
      <c r="M102" s="74"/>
      <c r="N102" s="74"/>
      <c r="O102" s="74"/>
      <c r="P102" s="74"/>
    </row>
    <row r="103" spans="1:16" x14ac:dyDescent="0.25">
      <c r="A103" s="74"/>
      <c r="B103" s="74"/>
      <c r="C103" s="74"/>
      <c r="D103" s="74"/>
      <c r="E103" s="74"/>
      <c r="F103" s="74"/>
      <c r="G103" s="74"/>
      <c r="H103" s="74"/>
      <c r="I103" s="74"/>
      <c r="J103" s="74"/>
      <c r="K103" s="74"/>
      <c r="L103" s="74"/>
      <c r="M103" s="74"/>
      <c r="N103" s="74"/>
      <c r="O103" s="74"/>
      <c r="P103" s="74"/>
    </row>
    <row r="104" spans="1:16" x14ac:dyDescent="0.25">
      <c r="A104" s="74"/>
      <c r="B104" s="74"/>
      <c r="C104" s="74"/>
      <c r="D104" s="74"/>
      <c r="E104" s="74"/>
      <c r="F104" s="74"/>
      <c r="G104" s="74"/>
      <c r="H104" s="74"/>
      <c r="I104" s="74"/>
      <c r="J104" s="74"/>
      <c r="K104" s="74"/>
      <c r="L104" s="74"/>
      <c r="M104" s="74"/>
      <c r="N104" s="74"/>
      <c r="O104" s="74"/>
      <c r="P104" s="74"/>
    </row>
    <row r="105" spans="1:16" x14ac:dyDescent="0.25">
      <c r="A105" s="74"/>
      <c r="B105" s="74"/>
      <c r="C105" s="74"/>
      <c r="D105" s="74"/>
      <c r="E105" s="74"/>
      <c r="F105" s="74"/>
      <c r="G105" s="74"/>
      <c r="H105" s="74"/>
      <c r="I105" s="74"/>
      <c r="J105" s="74"/>
      <c r="K105" s="74"/>
      <c r="L105" s="74"/>
      <c r="M105" s="74"/>
      <c r="N105" s="74"/>
      <c r="O105" s="74"/>
      <c r="P105" s="74"/>
    </row>
    <row r="106" spans="1:16" x14ac:dyDescent="0.25">
      <c r="A106" s="74"/>
      <c r="B106" s="74"/>
      <c r="C106" s="74"/>
      <c r="D106" s="74"/>
      <c r="E106" s="74"/>
      <c r="F106" s="74"/>
      <c r="G106" s="74"/>
      <c r="H106" s="74"/>
      <c r="I106" s="74"/>
      <c r="J106" s="74"/>
      <c r="K106" s="74"/>
      <c r="L106" s="74"/>
      <c r="M106" s="74"/>
      <c r="N106" s="74"/>
      <c r="O106" s="74"/>
      <c r="P106" s="74"/>
    </row>
    <row r="107" spans="1:16" x14ac:dyDescent="0.25">
      <c r="A107" s="74"/>
      <c r="B107" s="74"/>
      <c r="C107" s="74"/>
      <c r="D107" s="74"/>
      <c r="E107" s="74"/>
      <c r="F107" s="74"/>
      <c r="G107" s="74"/>
      <c r="H107" s="74"/>
      <c r="I107" s="74"/>
      <c r="J107" s="74"/>
      <c r="K107" s="74"/>
      <c r="L107" s="74"/>
      <c r="M107" s="74"/>
      <c r="N107" s="74"/>
      <c r="O107" s="74"/>
      <c r="P107" s="74"/>
    </row>
    <row r="108" spans="1:16" x14ac:dyDescent="0.25">
      <c r="A108" s="74"/>
      <c r="B108" s="74"/>
      <c r="C108" s="74"/>
      <c r="D108" s="74"/>
      <c r="E108" s="74"/>
      <c r="F108" s="74"/>
      <c r="G108" s="74"/>
      <c r="H108" s="74"/>
      <c r="I108" s="74"/>
      <c r="J108" s="74"/>
      <c r="K108" s="74"/>
      <c r="L108" s="74"/>
      <c r="M108" s="74"/>
      <c r="N108" s="74"/>
      <c r="O108" s="74"/>
      <c r="P108" s="74"/>
    </row>
    <row r="109" spans="1:16" x14ac:dyDescent="0.25">
      <c r="A109" s="74"/>
      <c r="B109" s="74"/>
      <c r="C109" s="74"/>
      <c r="D109" s="74"/>
      <c r="E109" s="74"/>
      <c r="F109" s="74"/>
      <c r="G109" s="74"/>
      <c r="H109" s="74"/>
      <c r="I109" s="74"/>
      <c r="J109" s="74"/>
      <c r="K109" s="74"/>
      <c r="L109" s="74"/>
      <c r="M109" s="74"/>
      <c r="N109" s="74"/>
      <c r="O109" s="74"/>
      <c r="P109" s="74"/>
    </row>
    <row r="110" spans="1:16" x14ac:dyDescent="0.25">
      <c r="A110" s="74"/>
      <c r="B110" s="74"/>
      <c r="C110" s="74"/>
      <c r="D110" s="74"/>
      <c r="E110" s="74"/>
      <c r="F110" s="74"/>
      <c r="G110" s="74"/>
      <c r="H110" s="74"/>
      <c r="I110" s="74"/>
      <c r="J110" s="74"/>
      <c r="K110" s="74"/>
      <c r="L110" s="74"/>
      <c r="M110" s="74"/>
      <c r="N110" s="74"/>
      <c r="O110" s="74"/>
      <c r="P110" s="74"/>
    </row>
    <row r="111" spans="1:16" x14ac:dyDescent="0.25">
      <c r="A111" s="74"/>
      <c r="B111" s="74"/>
      <c r="C111" s="74"/>
      <c r="D111" s="74"/>
      <c r="E111" s="74"/>
      <c r="F111" s="74"/>
      <c r="G111" s="74"/>
      <c r="H111" s="74"/>
      <c r="I111" s="74"/>
      <c r="J111" s="74"/>
      <c r="K111" s="74"/>
      <c r="L111" s="74"/>
      <c r="M111" s="74"/>
      <c r="N111" s="74"/>
      <c r="O111" s="74"/>
      <c r="P111" s="74"/>
    </row>
    <row r="112" spans="1:16" x14ac:dyDescent="0.25">
      <c r="A112" s="74"/>
      <c r="B112" s="74"/>
      <c r="C112" s="74"/>
      <c r="D112" s="74"/>
      <c r="E112" s="74"/>
      <c r="F112" s="74"/>
      <c r="G112" s="74"/>
      <c r="H112" s="74"/>
      <c r="I112" s="74"/>
      <c r="J112" s="74"/>
      <c r="K112" s="74"/>
      <c r="L112" s="74"/>
      <c r="M112" s="74"/>
      <c r="N112" s="74"/>
      <c r="O112" s="74"/>
      <c r="P112" s="74"/>
    </row>
    <row r="113" spans="1:16" x14ac:dyDescent="0.25">
      <c r="A113" s="74"/>
      <c r="B113" s="74"/>
      <c r="C113" s="74"/>
      <c r="D113" s="74"/>
      <c r="E113" s="74"/>
      <c r="F113" s="74"/>
      <c r="G113" s="74"/>
      <c r="H113" s="74"/>
      <c r="I113" s="74"/>
      <c r="J113" s="74"/>
      <c r="K113" s="74"/>
      <c r="L113" s="74"/>
      <c r="M113" s="74"/>
      <c r="N113" s="74"/>
      <c r="O113" s="74"/>
      <c r="P113" s="74"/>
    </row>
    <row r="114" spans="1:16" x14ac:dyDescent="0.25">
      <c r="A114" s="74"/>
      <c r="B114" s="74"/>
      <c r="C114" s="74"/>
      <c r="D114" s="74"/>
      <c r="E114" s="74"/>
      <c r="F114" s="74"/>
      <c r="G114" s="74"/>
      <c r="H114" s="74"/>
      <c r="I114" s="74"/>
      <c r="J114" s="74"/>
      <c r="K114" s="74"/>
      <c r="L114" s="74"/>
      <c r="M114" s="74"/>
      <c r="N114" s="74"/>
      <c r="O114" s="74"/>
      <c r="P114" s="74"/>
    </row>
    <row r="115" spans="1:16" x14ac:dyDescent="0.25">
      <c r="A115" s="74"/>
      <c r="B115" s="74"/>
      <c r="C115" s="74"/>
      <c r="D115" s="74"/>
      <c r="E115" s="74"/>
      <c r="F115" s="74"/>
      <c r="G115" s="74"/>
      <c r="H115" s="74"/>
      <c r="I115" s="74"/>
      <c r="J115" s="74"/>
      <c r="K115" s="74"/>
      <c r="L115" s="74"/>
      <c r="M115" s="74"/>
      <c r="N115" s="74"/>
      <c r="O115" s="74"/>
      <c r="P115" s="74"/>
    </row>
    <row r="116" spans="1:16" x14ac:dyDescent="0.25">
      <c r="A116" s="74"/>
      <c r="B116" s="74"/>
      <c r="C116" s="74"/>
      <c r="D116" s="74"/>
      <c r="E116" s="74"/>
      <c r="F116" s="74"/>
      <c r="G116" s="74"/>
      <c r="H116" s="74"/>
      <c r="I116" s="74"/>
      <c r="J116" s="74"/>
      <c r="K116" s="74"/>
      <c r="L116" s="74"/>
      <c r="M116" s="74"/>
      <c r="N116" s="74"/>
      <c r="O116" s="74"/>
      <c r="P116" s="74"/>
    </row>
    <row r="117" spans="1:16" x14ac:dyDescent="0.25">
      <c r="A117" s="74"/>
      <c r="B117" s="74"/>
      <c r="C117" s="74"/>
      <c r="D117" s="74"/>
      <c r="E117" s="74"/>
      <c r="F117" s="74"/>
      <c r="G117" s="74"/>
      <c r="H117" s="74"/>
      <c r="I117" s="74"/>
      <c r="J117" s="74"/>
      <c r="K117" s="74"/>
      <c r="L117" s="74"/>
      <c r="M117" s="74"/>
      <c r="N117" s="74"/>
      <c r="O117" s="74"/>
      <c r="P117" s="74"/>
    </row>
    <row r="118" spans="1:16" x14ac:dyDescent="0.25">
      <c r="A118" s="74"/>
      <c r="B118" s="74"/>
      <c r="C118" s="74"/>
      <c r="D118" s="74"/>
      <c r="E118" s="74"/>
      <c r="F118" s="74"/>
      <c r="G118" s="74"/>
      <c r="H118" s="74"/>
      <c r="I118" s="74"/>
      <c r="J118" s="74"/>
      <c r="K118" s="74"/>
      <c r="L118" s="74"/>
      <c r="M118" s="74"/>
      <c r="N118" s="74"/>
      <c r="O118" s="74"/>
      <c r="P118" s="74"/>
    </row>
    <row r="119" spans="1:16" x14ac:dyDescent="0.25">
      <c r="A119" s="74"/>
      <c r="B119" s="74"/>
      <c r="C119" s="74"/>
      <c r="D119" s="74"/>
      <c r="E119" s="74"/>
      <c r="F119" s="74"/>
      <c r="G119" s="74"/>
      <c r="H119" s="74"/>
      <c r="I119" s="74"/>
      <c r="J119" s="74"/>
      <c r="K119" s="74"/>
      <c r="L119" s="74"/>
      <c r="M119" s="74"/>
      <c r="N119" s="74"/>
      <c r="O119" s="74"/>
      <c r="P119" s="74"/>
    </row>
    <row r="120" spans="1:16" x14ac:dyDescent="0.25">
      <c r="A120" s="74"/>
      <c r="B120" s="74"/>
      <c r="C120" s="74"/>
      <c r="D120" s="74"/>
      <c r="E120" s="74"/>
      <c r="F120" s="74"/>
      <c r="G120" s="74"/>
      <c r="H120" s="74"/>
      <c r="I120" s="74"/>
      <c r="J120" s="74"/>
      <c r="K120" s="74"/>
      <c r="L120" s="74"/>
      <c r="M120" s="74"/>
      <c r="N120" s="74"/>
      <c r="O120" s="74"/>
      <c r="P120" s="74"/>
    </row>
    <row r="121" spans="1:16" x14ac:dyDescent="0.25">
      <c r="A121" s="74"/>
      <c r="B121" s="74"/>
      <c r="C121" s="74"/>
      <c r="D121" s="74"/>
      <c r="E121" s="74"/>
      <c r="F121" s="74"/>
      <c r="G121" s="74"/>
      <c r="H121" s="74"/>
      <c r="I121" s="74"/>
      <c r="J121" s="74"/>
      <c r="K121" s="74"/>
      <c r="L121" s="74"/>
      <c r="M121" s="74"/>
      <c r="N121" s="74"/>
      <c r="O121" s="74"/>
      <c r="P121" s="74"/>
    </row>
    <row r="122" spans="1:16" x14ac:dyDescent="0.25">
      <c r="A122" s="74"/>
      <c r="B122" s="74"/>
      <c r="C122" s="74"/>
      <c r="D122" s="74"/>
      <c r="E122" s="74"/>
      <c r="F122" s="74"/>
      <c r="G122" s="74"/>
      <c r="H122" s="74"/>
      <c r="I122" s="74"/>
      <c r="J122" s="74"/>
      <c r="K122" s="74"/>
      <c r="L122" s="74"/>
      <c r="M122" s="74"/>
      <c r="N122" s="74"/>
      <c r="O122" s="74"/>
      <c r="P122" s="74"/>
    </row>
    <row r="123" spans="1:16" x14ac:dyDescent="0.25">
      <c r="A123" s="74"/>
      <c r="B123" s="74"/>
      <c r="C123" s="74"/>
      <c r="D123" s="74"/>
      <c r="E123" s="74"/>
      <c r="F123" s="74"/>
      <c r="G123" s="74"/>
      <c r="H123" s="74"/>
      <c r="I123" s="74"/>
      <c r="J123" s="74"/>
      <c r="K123" s="74"/>
      <c r="L123" s="74"/>
      <c r="M123" s="74"/>
      <c r="N123" s="74"/>
      <c r="O123" s="74"/>
      <c r="P123" s="74"/>
    </row>
    <row r="124" spans="1:16" x14ac:dyDescent="0.25">
      <c r="A124" s="74"/>
      <c r="B124" s="74"/>
      <c r="C124" s="74"/>
      <c r="D124" s="74"/>
      <c r="E124" s="74"/>
      <c r="F124" s="74"/>
      <c r="G124" s="74"/>
      <c r="H124" s="74"/>
      <c r="I124" s="74"/>
      <c r="J124" s="74"/>
      <c r="K124" s="74"/>
      <c r="L124" s="74"/>
      <c r="M124" s="74"/>
      <c r="N124" s="74"/>
      <c r="O124" s="74"/>
      <c r="P124" s="74"/>
    </row>
    <row r="125" spans="1:16" x14ac:dyDescent="0.25">
      <c r="A125" s="74"/>
      <c r="B125" s="74"/>
      <c r="C125" s="74"/>
      <c r="D125" s="74"/>
      <c r="E125" s="74"/>
      <c r="F125" s="74"/>
      <c r="G125" s="74"/>
      <c r="H125" s="74"/>
      <c r="I125" s="74"/>
      <c r="J125" s="74"/>
      <c r="K125" s="74"/>
      <c r="L125" s="74"/>
      <c r="M125" s="74"/>
      <c r="N125" s="74"/>
      <c r="O125" s="74"/>
      <c r="P125" s="74"/>
    </row>
    <row r="126" spans="1:16" x14ac:dyDescent="0.25">
      <c r="A126" s="74"/>
      <c r="B126" s="74"/>
      <c r="C126" s="74"/>
      <c r="D126" s="74"/>
      <c r="E126" s="74"/>
      <c r="F126" s="74"/>
      <c r="G126" s="74"/>
      <c r="H126" s="74"/>
      <c r="I126" s="74"/>
      <c r="J126" s="74"/>
      <c r="K126" s="74"/>
      <c r="L126" s="74"/>
      <c r="M126" s="74"/>
      <c r="N126" s="74"/>
      <c r="O126" s="74"/>
      <c r="P126" s="74"/>
    </row>
    <row r="127" spans="1:16" x14ac:dyDescent="0.25">
      <c r="A127" s="74"/>
      <c r="B127" s="74"/>
      <c r="C127" s="74"/>
      <c r="D127" s="74"/>
      <c r="E127" s="74"/>
      <c r="F127" s="74"/>
      <c r="G127" s="74"/>
      <c r="H127" s="74"/>
      <c r="I127" s="74"/>
      <c r="J127" s="74"/>
      <c r="K127" s="74"/>
      <c r="L127" s="74"/>
      <c r="M127" s="74"/>
      <c r="N127" s="74"/>
      <c r="O127" s="74"/>
      <c r="P127" s="74"/>
    </row>
    <row r="128" spans="1:16" x14ac:dyDescent="0.25">
      <c r="A128" s="74"/>
      <c r="B128" s="74"/>
      <c r="C128" s="74"/>
      <c r="D128" s="74"/>
      <c r="E128" s="74"/>
      <c r="F128" s="74"/>
      <c r="G128" s="74"/>
      <c r="H128" s="74"/>
      <c r="I128" s="74"/>
      <c r="J128" s="74"/>
      <c r="K128" s="74"/>
      <c r="L128" s="74"/>
      <c r="M128" s="74"/>
      <c r="N128" s="74"/>
      <c r="O128" s="74"/>
      <c r="P128" s="74"/>
    </row>
    <row r="129" spans="1:16" x14ac:dyDescent="0.25">
      <c r="A129" s="74"/>
      <c r="B129" s="74"/>
      <c r="C129" s="74"/>
      <c r="D129" s="74"/>
      <c r="E129" s="74"/>
      <c r="F129" s="74"/>
      <c r="G129" s="74"/>
      <c r="H129" s="74"/>
      <c r="I129" s="74"/>
      <c r="J129" s="74"/>
      <c r="K129" s="74"/>
      <c r="L129" s="74"/>
      <c r="M129" s="74"/>
      <c r="N129" s="74"/>
      <c r="O129" s="74"/>
      <c r="P129" s="74"/>
    </row>
    <row r="130" spans="1:16" x14ac:dyDescent="0.25">
      <c r="A130" s="74"/>
      <c r="B130" s="74"/>
      <c r="C130" s="74"/>
      <c r="D130" s="74"/>
      <c r="E130" s="74"/>
      <c r="F130" s="74"/>
      <c r="G130" s="74"/>
      <c r="H130" s="74"/>
      <c r="I130" s="74"/>
      <c r="J130" s="74"/>
      <c r="K130" s="74"/>
      <c r="L130" s="74"/>
      <c r="M130" s="74"/>
      <c r="N130" s="74"/>
      <c r="O130" s="74"/>
      <c r="P130" s="74"/>
    </row>
    <row r="131" spans="1:16" x14ac:dyDescent="0.25">
      <c r="A131" s="74"/>
      <c r="B131" s="74"/>
      <c r="C131" s="74"/>
      <c r="D131" s="74"/>
      <c r="E131" s="74"/>
      <c r="F131" s="74"/>
      <c r="G131" s="74"/>
      <c r="H131" s="74"/>
      <c r="I131" s="74"/>
      <c r="J131" s="74"/>
      <c r="K131" s="74"/>
      <c r="L131" s="74"/>
      <c r="M131" s="74"/>
      <c r="N131" s="74"/>
      <c r="O131" s="74"/>
      <c r="P131" s="74"/>
    </row>
    <row r="132" spans="1:16" x14ac:dyDescent="0.25">
      <c r="A132" s="74"/>
      <c r="B132" s="74"/>
      <c r="C132" s="74"/>
      <c r="D132" s="74"/>
      <c r="E132" s="74"/>
      <c r="F132" s="74"/>
      <c r="G132" s="74"/>
      <c r="H132" s="74"/>
      <c r="I132" s="74"/>
      <c r="J132" s="74"/>
      <c r="K132" s="74"/>
      <c r="L132" s="74"/>
      <c r="M132" s="74"/>
      <c r="N132" s="74"/>
      <c r="O132" s="74"/>
      <c r="P132" s="74"/>
    </row>
    <row r="133" spans="1:16" x14ac:dyDescent="0.25">
      <c r="A133" s="74"/>
      <c r="B133" s="74"/>
      <c r="C133" s="74"/>
      <c r="D133" s="74"/>
      <c r="E133" s="74"/>
      <c r="F133" s="74"/>
      <c r="G133" s="74"/>
      <c r="H133" s="74"/>
      <c r="I133" s="74"/>
      <c r="J133" s="74"/>
      <c r="K133" s="74"/>
      <c r="L133" s="74"/>
      <c r="M133" s="74"/>
      <c r="N133" s="74"/>
      <c r="O133" s="74"/>
      <c r="P133" s="74"/>
    </row>
    <row r="134" spans="1:16" x14ac:dyDescent="0.25">
      <c r="A134" s="74"/>
      <c r="B134" s="74"/>
      <c r="C134" s="74"/>
      <c r="D134" s="74"/>
      <c r="E134" s="74"/>
      <c r="F134" s="74"/>
      <c r="G134" s="74"/>
      <c r="H134" s="74"/>
      <c r="I134" s="74"/>
      <c r="J134" s="74"/>
      <c r="K134" s="74"/>
      <c r="L134" s="74"/>
      <c r="M134" s="74"/>
      <c r="N134" s="74"/>
      <c r="O134" s="74"/>
      <c r="P134" s="74"/>
    </row>
    <row r="135" spans="1:16" x14ac:dyDescent="0.25">
      <c r="A135" s="74"/>
      <c r="B135" s="74"/>
      <c r="C135" s="74"/>
      <c r="D135" s="74"/>
      <c r="E135" s="74"/>
      <c r="F135" s="74"/>
      <c r="G135" s="74"/>
      <c r="H135" s="74"/>
      <c r="I135" s="74"/>
      <c r="J135" s="74"/>
      <c r="K135" s="74"/>
      <c r="L135" s="74"/>
      <c r="M135" s="74"/>
      <c r="N135" s="74"/>
      <c r="O135" s="74"/>
      <c r="P135" s="74"/>
    </row>
    <row r="136" spans="1:16" x14ac:dyDescent="0.25">
      <c r="A136" s="74"/>
      <c r="B136" s="74"/>
      <c r="C136" s="74"/>
      <c r="D136" s="74"/>
      <c r="E136" s="74"/>
      <c r="F136" s="74"/>
      <c r="G136" s="74"/>
      <c r="H136" s="74"/>
      <c r="I136" s="74"/>
      <c r="J136" s="74"/>
      <c r="K136" s="74"/>
      <c r="L136" s="74"/>
      <c r="M136" s="74"/>
      <c r="N136" s="74"/>
      <c r="O136" s="74"/>
      <c r="P136" s="74"/>
    </row>
    <row r="137" spans="1:16" x14ac:dyDescent="0.25">
      <c r="A137" s="74"/>
      <c r="B137" s="74"/>
      <c r="C137" s="74"/>
      <c r="D137" s="74"/>
      <c r="E137" s="74"/>
      <c r="F137" s="74"/>
      <c r="G137" s="74"/>
      <c r="H137" s="74"/>
      <c r="I137" s="74"/>
      <c r="J137" s="74"/>
      <c r="K137" s="74"/>
      <c r="L137" s="74"/>
      <c r="M137" s="74"/>
      <c r="N137" s="74"/>
      <c r="O137" s="74"/>
      <c r="P137" s="74"/>
    </row>
    <row r="138" spans="1:16" x14ac:dyDescent="0.25">
      <c r="A138" s="74"/>
      <c r="B138" s="74"/>
      <c r="C138" s="74"/>
      <c r="D138" s="74"/>
      <c r="E138" s="74"/>
      <c r="F138" s="74"/>
      <c r="G138" s="74"/>
      <c r="H138" s="74"/>
      <c r="I138" s="74"/>
      <c r="J138" s="74"/>
      <c r="K138" s="74"/>
      <c r="L138" s="74"/>
      <c r="M138" s="74"/>
      <c r="N138" s="74"/>
      <c r="O138" s="74"/>
      <c r="P138" s="74"/>
    </row>
    <row r="139" spans="1:16" x14ac:dyDescent="0.25">
      <c r="A139" s="74"/>
      <c r="B139" s="74"/>
      <c r="C139" s="74"/>
      <c r="D139" s="74"/>
      <c r="E139" s="74"/>
      <c r="F139" s="74"/>
      <c r="G139" s="74"/>
      <c r="H139" s="74"/>
      <c r="I139" s="74"/>
      <c r="J139" s="74"/>
      <c r="K139" s="74"/>
      <c r="L139" s="74"/>
      <c r="M139" s="74"/>
      <c r="N139" s="74"/>
      <c r="O139" s="74"/>
      <c r="P139" s="74"/>
    </row>
    <row r="140" spans="1:16" x14ac:dyDescent="0.25">
      <c r="A140" s="74"/>
      <c r="B140" s="74"/>
      <c r="C140" s="74"/>
      <c r="D140" s="74"/>
      <c r="E140" s="74"/>
      <c r="F140" s="74"/>
      <c r="G140" s="74"/>
      <c r="H140" s="74"/>
      <c r="I140" s="74"/>
      <c r="J140" s="74"/>
      <c r="K140" s="74"/>
      <c r="L140" s="74"/>
      <c r="M140" s="74"/>
      <c r="N140" s="74"/>
      <c r="O140" s="74"/>
      <c r="P140" s="74"/>
    </row>
    <row r="141" spans="1:16" x14ac:dyDescent="0.25">
      <c r="A141" s="74"/>
      <c r="B141" s="74"/>
      <c r="C141" s="74"/>
      <c r="D141" s="74"/>
      <c r="E141" s="74"/>
      <c r="F141" s="74"/>
      <c r="G141" s="74"/>
      <c r="H141" s="74"/>
      <c r="I141" s="74"/>
      <c r="J141" s="74"/>
      <c r="K141" s="74"/>
      <c r="L141" s="74"/>
      <c r="M141" s="74"/>
      <c r="N141" s="74"/>
      <c r="O141" s="74"/>
      <c r="P141" s="74"/>
    </row>
    <row r="142" spans="1:16" x14ac:dyDescent="0.25">
      <c r="A142" s="74"/>
      <c r="B142" s="74"/>
      <c r="C142" s="74"/>
      <c r="D142" s="74"/>
      <c r="E142" s="74"/>
      <c r="F142" s="74"/>
      <c r="G142" s="74"/>
      <c r="H142" s="74"/>
      <c r="I142" s="74"/>
      <c r="J142" s="74"/>
      <c r="K142" s="74"/>
      <c r="L142" s="74"/>
      <c r="M142" s="74"/>
      <c r="N142" s="74"/>
      <c r="O142" s="74"/>
      <c r="P142" s="74"/>
    </row>
    <row r="143" spans="1:16" x14ac:dyDescent="0.25">
      <c r="A143" s="74"/>
      <c r="B143" s="74"/>
      <c r="C143" s="74"/>
      <c r="D143" s="74"/>
      <c r="E143" s="74"/>
      <c r="F143" s="74"/>
      <c r="G143" s="74"/>
      <c r="H143" s="74"/>
      <c r="I143" s="74"/>
      <c r="J143" s="74"/>
      <c r="K143" s="74"/>
      <c r="L143" s="74"/>
      <c r="M143" s="74"/>
      <c r="N143" s="74"/>
      <c r="O143" s="74"/>
      <c r="P143" s="74"/>
    </row>
    <row r="144" spans="1:16" x14ac:dyDescent="0.25">
      <c r="A144" s="74"/>
      <c r="B144" s="74"/>
      <c r="C144" s="74"/>
      <c r="D144" s="74"/>
      <c r="E144" s="74"/>
      <c r="F144" s="74"/>
      <c r="G144" s="74"/>
      <c r="H144" s="74"/>
      <c r="I144" s="74"/>
      <c r="J144" s="74"/>
      <c r="K144" s="74"/>
      <c r="L144" s="74"/>
      <c r="M144" s="74"/>
      <c r="N144" s="74"/>
      <c r="O144" s="74"/>
      <c r="P144" s="74"/>
    </row>
    <row r="145" spans="1:16" x14ac:dyDescent="0.25">
      <c r="A145" s="74"/>
      <c r="B145" s="74"/>
      <c r="C145" s="74"/>
      <c r="D145" s="74"/>
      <c r="E145" s="74"/>
      <c r="F145" s="74"/>
      <c r="G145" s="74"/>
      <c r="H145" s="74"/>
      <c r="I145" s="74"/>
      <c r="J145" s="74"/>
      <c r="K145" s="74"/>
      <c r="L145" s="74"/>
      <c r="M145" s="74"/>
      <c r="N145" s="74"/>
      <c r="O145" s="74"/>
      <c r="P145" s="74"/>
    </row>
    <row r="146" spans="1:16" x14ac:dyDescent="0.25">
      <c r="A146" s="74"/>
      <c r="B146" s="74"/>
      <c r="C146" s="74"/>
      <c r="D146" s="74"/>
      <c r="E146" s="74"/>
      <c r="F146" s="74"/>
      <c r="G146" s="74"/>
      <c r="H146" s="74"/>
      <c r="I146" s="74"/>
      <c r="J146" s="74"/>
      <c r="K146" s="74"/>
      <c r="L146" s="74"/>
      <c r="M146" s="74"/>
      <c r="N146" s="74"/>
      <c r="O146" s="74"/>
      <c r="P146" s="74"/>
    </row>
    <row r="147" spans="1:16" x14ac:dyDescent="0.25">
      <c r="A147" s="74"/>
      <c r="B147" s="74"/>
      <c r="C147" s="74"/>
      <c r="D147" s="74"/>
      <c r="E147" s="74"/>
      <c r="F147" s="74"/>
      <c r="G147" s="74"/>
      <c r="H147" s="74"/>
      <c r="I147" s="74"/>
      <c r="J147" s="74"/>
      <c r="K147" s="74"/>
      <c r="L147" s="74"/>
      <c r="M147" s="74"/>
      <c r="N147" s="74"/>
      <c r="O147" s="74"/>
      <c r="P147" s="74"/>
    </row>
    <row r="148" spans="1:16" x14ac:dyDescent="0.25">
      <c r="A148" s="74"/>
      <c r="B148" s="74"/>
      <c r="C148" s="74"/>
      <c r="D148" s="74"/>
      <c r="E148" s="74"/>
      <c r="F148" s="74"/>
      <c r="G148" s="74"/>
      <c r="H148" s="74"/>
      <c r="I148" s="74"/>
      <c r="J148" s="74"/>
      <c r="K148" s="74"/>
      <c r="L148" s="74"/>
      <c r="M148" s="74"/>
      <c r="N148" s="74"/>
      <c r="O148" s="74"/>
      <c r="P148" s="74"/>
    </row>
    <row r="149" spans="1:16" x14ac:dyDescent="0.25">
      <c r="A149" s="74"/>
      <c r="B149" s="74"/>
      <c r="C149" s="74"/>
      <c r="D149" s="74"/>
      <c r="E149" s="74"/>
      <c r="F149" s="74"/>
      <c r="G149" s="74"/>
      <c r="H149" s="74"/>
      <c r="I149" s="74"/>
      <c r="J149" s="74"/>
      <c r="K149" s="74"/>
      <c r="L149" s="74"/>
      <c r="M149" s="74"/>
      <c r="N149" s="74"/>
      <c r="O149" s="74"/>
      <c r="P149" s="74"/>
    </row>
    <row r="150" spans="1:16" x14ac:dyDescent="0.25">
      <c r="A150" s="74"/>
      <c r="B150" s="74"/>
      <c r="C150" s="74"/>
      <c r="D150" s="74"/>
      <c r="E150" s="74"/>
      <c r="F150" s="74"/>
      <c r="G150" s="74"/>
      <c r="H150" s="74"/>
      <c r="I150" s="74"/>
      <c r="J150" s="74"/>
      <c r="K150" s="74"/>
      <c r="L150" s="74"/>
      <c r="M150" s="74"/>
      <c r="N150" s="74"/>
      <c r="O150" s="74"/>
      <c r="P150" s="74"/>
    </row>
  </sheetData>
  <mergeCells count="51">
    <mergeCell ref="C58:E58"/>
    <mergeCell ref="F58:G58"/>
    <mergeCell ref="I58:L58"/>
    <mergeCell ref="M58:N58"/>
    <mergeCell ref="A69:H69"/>
    <mergeCell ref="I69:Q69"/>
    <mergeCell ref="B61:O61"/>
    <mergeCell ref="B62:O62"/>
    <mergeCell ref="B63:O63"/>
    <mergeCell ref="C65:E67"/>
    <mergeCell ref="G65:I67"/>
    <mergeCell ref="M65:N67"/>
    <mergeCell ref="C68:E68"/>
    <mergeCell ref="G68:I68"/>
    <mergeCell ref="M68:N68"/>
    <mergeCell ref="A31:Q31"/>
    <mergeCell ref="A36:Q36"/>
    <mergeCell ref="H44:N44"/>
    <mergeCell ref="G48:N48"/>
    <mergeCell ref="G49:N49"/>
    <mergeCell ref="A21:C21"/>
    <mergeCell ref="E21:F21"/>
    <mergeCell ref="G21:J21"/>
    <mergeCell ref="K21:N21"/>
    <mergeCell ref="G24:N24"/>
    <mergeCell ref="H17:N17"/>
    <mergeCell ref="E19:F19"/>
    <mergeCell ref="G19:J19"/>
    <mergeCell ref="K19:N19"/>
    <mergeCell ref="A20:C20"/>
    <mergeCell ref="E20:F20"/>
    <mergeCell ref="G20:J20"/>
    <mergeCell ref="K20:N20"/>
    <mergeCell ref="A7:C7"/>
    <mergeCell ref="E7:G7"/>
    <mergeCell ref="I7:J7"/>
    <mergeCell ref="L7:P7"/>
    <mergeCell ref="A10:Q10"/>
    <mergeCell ref="A5:C5"/>
    <mergeCell ref="E5:G5"/>
    <mergeCell ref="I5:J5"/>
    <mergeCell ref="L5:P5"/>
    <mergeCell ref="A6:C6"/>
    <mergeCell ref="E6:G6"/>
    <mergeCell ref="L6:P6"/>
    <mergeCell ref="A1:C1"/>
    <mergeCell ref="A2:P2"/>
    <mergeCell ref="A4:C4"/>
    <mergeCell ref="E4:G4"/>
    <mergeCell ref="I4:J4"/>
    <mergeCell ref="L4:P4"/>
  </mergeCells>
  <conditionalFormatting sqref="E4:E7 L5:L6 E20">
    <cfRule type="containsBlanks" dxfId="16" priority="5" stopIfTrue="1">
      <formula>LEN(TRIM(E4))=0</formula>
    </cfRule>
  </conditionalFormatting>
  <conditionalFormatting sqref="H17 K20:K21 G20:G21 E21 G24 H44 G48 F58 M58">
    <cfRule type="cellIs" dxfId="15" priority="4" stopIfTrue="1" operator="equal">
      <formula>""</formula>
    </cfRule>
  </conditionalFormatting>
  <conditionalFormatting sqref="L4 C65 G65 M65">
    <cfRule type="containsBlanks" dxfId="14" priority="2" stopIfTrue="1">
      <formula>LEN(TRIM(C4))=0</formula>
    </cfRule>
  </conditionalFormatting>
  <dataValidations count="3">
    <dataValidation operator="greaterThan" allowBlank="1" showInputMessage="1" showErrorMessage="1" sqref="L4:P4" xr:uid="{00000000-0002-0000-1600-000000000000}"/>
    <dataValidation type="date" operator="greaterThan" allowBlank="1" showInputMessage="1" showErrorMessage="1" errorTitle="Invalid date entered" error="Please enter the date in format dd/mm/yyyy" promptTitle="Vessel's date of calibration" prompt="Date stated on the vessel's calibration table, please enter the date in format dd/mm/yyyy" sqref="G20:J20" xr:uid="{00000000-0002-0000-1600-000001000000}">
      <formula1>1</formula1>
    </dataValidation>
    <dataValidation type="date" operator="greaterThan" allowBlank="1" showInputMessage="1" showErrorMessage="1" errorTitle="Invalid date entered" error="Please enter the date in format dd/mm/yyyy" promptTitle="Barge's date of calibration" prompt="Date stated on the barge's calibration table, please enter the date in format dd/mm/yyyy" sqref="G21:J21" xr:uid="{00000000-0002-0000-1600-000002000000}">
      <formula1>1</formula1>
    </dataValidation>
  </dataValidations>
  <printOptions horizontalCentered="1"/>
  <pageMargins left="0.51181102362204722" right="0.23622047244094491" top="0.51181102362204722" bottom="0.74803149606299213" header="0" footer="0.23622047244094491"/>
  <pageSetup paperSize="9" scale="73" orientation="portrait"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12</xdr:col>
                    <xdr:colOff>619125</xdr:colOff>
                    <xdr:row>10</xdr:row>
                    <xdr:rowOff>38100</xdr:rowOff>
                  </from>
                  <to>
                    <xdr:col>13</xdr:col>
                    <xdr:colOff>381000</xdr:colOff>
                    <xdr:row>12</xdr:row>
                    <xdr:rowOff>47625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13</xdr:col>
                    <xdr:colOff>400050</xdr:colOff>
                    <xdr:row>10</xdr:row>
                    <xdr:rowOff>47625</xdr:rowOff>
                  </from>
                  <to>
                    <xdr:col>15</xdr:col>
                    <xdr:colOff>19050</xdr:colOff>
                    <xdr:row>12</xdr:row>
                    <xdr:rowOff>57150</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6</xdr:col>
                    <xdr:colOff>219075</xdr:colOff>
                    <xdr:row>11</xdr:row>
                    <xdr:rowOff>104775</xdr:rowOff>
                  </from>
                  <to>
                    <xdr:col>6</xdr:col>
                    <xdr:colOff>647700</xdr:colOff>
                    <xdr:row>13</xdr:row>
                    <xdr:rowOff>19050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6</xdr:col>
                    <xdr:colOff>666750</xdr:colOff>
                    <xdr:row>11</xdr:row>
                    <xdr:rowOff>104775</xdr:rowOff>
                  </from>
                  <to>
                    <xdr:col>8</xdr:col>
                    <xdr:colOff>276225</xdr:colOff>
                    <xdr:row>13</xdr:row>
                    <xdr:rowOff>19050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9</xdr:col>
                    <xdr:colOff>9525</xdr:colOff>
                    <xdr:row>14</xdr:row>
                    <xdr:rowOff>133350</xdr:rowOff>
                  </from>
                  <to>
                    <xdr:col>10</xdr:col>
                    <xdr:colOff>85725</xdr:colOff>
                    <xdr:row>16</xdr:row>
                    <xdr:rowOff>47625</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10</xdr:col>
                    <xdr:colOff>76200</xdr:colOff>
                    <xdr:row>14</xdr:row>
                    <xdr:rowOff>133350</xdr:rowOff>
                  </from>
                  <to>
                    <xdr:col>12</xdr:col>
                    <xdr:colOff>47625</xdr:colOff>
                    <xdr:row>16</xdr:row>
                    <xdr:rowOff>47625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13</xdr:col>
                    <xdr:colOff>390525</xdr:colOff>
                    <xdr:row>20</xdr:row>
                    <xdr:rowOff>152400</xdr:rowOff>
                  </from>
                  <to>
                    <xdr:col>15</xdr:col>
                    <xdr:colOff>0</xdr:colOff>
                    <xdr:row>22</xdr:row>
                    <xdr:rowOff>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15</xdr:col>
                    <xdr:colOff>0</xdr:colOff>
                    <xdr:row>20</xdr:row>
                    <xdr:rowOff>161925</xdr:rowOff>
                  </from>
                  <to>
                    <xdr:col>16</xdr:col>
                    <xdr:colOff>19050</xdr:colOff>
                    <xdr:row>22</xdr:row>
                    <xdr:rowOff>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7</xdr:col>
                    <xdr:colOff>38100</xdr:colOff>
                    <xdr:row>21</xdr:row>
                    <xdr:rowOff>133350</xdr:rowOff>
                  </from>
                  <to>
                    <xdr:col>8</xdr:col>
                    <xdr:colOff>352425</xdr:colOff>
                    <xdr:row>23</xdr:row>
                    <xdr:rowOff>47625</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from>
                    <xdr:col>8</xdr:col>
                    <xdr:colOff>381000</xdr:colOff>
                    <xdr:row>21</xdr:row>
                    <xdr:rowOff>133350</xdr:rowOff>
                  </from>
                  <to>
                    <xdr:col>10</xdr:col>
                    <xdr:colOff>9525</xdr:colOff>
                    <xdr:row>23</xdr:row>
                    <xdr:rowOff>47625</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from>
                    <xdr:col>9</xdr:col>
                    <xdr:colOff>276225</xdr:colOff>
                    <xdr:row>24</xdr:row>
                    <xdr:rowOff>9525</xdr:rowOff>
                  </from>
                  <to>
                    <xdr:col>11</xdr:col>
                    <xdr:colOff>247650</xdr:colOff>
                    <xdr:row>26</xdr:row>
                    <xdr:rowOff>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from>
                    <xdr:col>11</xdr:col>
                    <xdr:colOff>238125</xdr:colOff>
                    <xdr:row>24</xdr:row>
                    <xdr:rowOff>9525</xdr:rowOff>
                  </from>
                  <to>
                    <xdr:col>12</xdr:col>
                    <xdr:colOff>314325</xdr:colOff>
                    <xdr:row>26</xdr:row>
                    <xdr:rowOff>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from>
                    <xdr:col>13</xdr:col>
                    <xdr:colOff>228600</xdr:colOff>
                    <xdr:row>25</xdr:row>
                    <xdr:rowOff>104775</xdr:rowOff>
                  </from>
                  <to>
                    <xdr:col>13</xdr:col>
                    <xdr:colOff>666750</xdr:colOff>
                    <xdr:row>27</xdr:row>
                    <xdr:rowOff>19050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from>
                    <xdr:col>12</xdr:col>
                    <xdr:colOff>476250</xdr:colOff>
                    <xdr:row>25</xdr:row>
                    <xdr:rowOff>104775</xdr:rowOff>
                  </from>
                  <to>
                    <xdr:col>13</xdr:col>
                    <xdr:colOff>238125</xdr:colOff>
                    <xdr:row>27</xdr:row>
                    <xdr:rowOff>19050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from>
                    <xdr:col>6</xdr:col>
                    <xdr:colOff>542925</xdr:colOff>
                    <xdr:row>31</xdr:row>
                    <xdr:rowOff>47625</xdr:rowOff>
                  </from>
                  <to>
                    <xdr:col>9</xdr:col>
                    <xdr:colOff>228600</xdr:colOff>
                    <xdr:row>33</xdr:row>
                    <xdr:rowOff>47625</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from>
                    <xdr:col>9</xdr:col>
                    <xdr:colOff>219075</xdr:colOff>
                    <xdr:row>31</xdr:row>
                    <xdr:rowOff>47625</xdr:rowOff>
                  </from>
                  <to>
                    <xdr:col>12</xdr:col>
                    <xdr:colOff>371475</xdr:colOff>
                    <xdr:row>33</xdr:row>
                    <xdr:rowOff>47625</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from>
                    <xdr:col>6</xdr:col>
                    <xdr:colOff>114300</xdr:colOff>
                    <xdr:row>32</xdr:row>
                    <xdr:rowOff>133350</xdr:rowOff>
                  </from>
                  <to>
                    <xdr:col>9</xdr:col>
                    <xdr:colOff>257175</xdr:colOff>
                    <xdr:row>34</xdr:row>
                    <xdr:rowOff>47625</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from>
                    <xdr:col>9</xdr:col>
                    <xdr:colOff>171450</xdr:colOff>
                    <xdr:row>32</xdr:row>
                    <xdr:rowOff>142875</xdr:rowOff>
                  </from>
                  <to>
                    <xdr:col>13</xdr:col>
                    <xdr:colOff>114300</xdr:colOff>
                    <xdr:row>34</xdr:row>
                    <xdr:rowOff>57150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from>
                    <xdr:col>6</xdr:col>
                    <xdr:colOff>342900</xdr:colOff>
                    <xdr:row>27</xdr:row>
                    <xdr:rowOff>123825</xdr:rowOff>
                  </from>
                  <to>
                    <xdr:col>7</xdr:col>
                    <xdr:colOff>57150</xdr:colOff>
                    <xdr:row>29</xdr:row>
                    <xdr:rowOff>38100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from>
                    <xdr:col>6</xdr:col>
                    <xdr:colOff>342900</xdr:colOff>
                    <xdr:row>26</xdr:row>
                    <xdr:rowOff>123825</xdr:rowOff>
                  </from>
                  <to>
                    <xdr:col>7</xdr:col>
                    <xdr:colOff>57150</xdr:colOff>
                    <xdr:row>28</xdr:row>
                    <xdr:rowOff>38100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from>
                    <xdr:col>7</xdr:col>
                    <xdr:colOff>57150</xdr:colOff>
                    <xdr:row>26</xdr:row>
                    <xdr:rowOff>133350</xdr:rowOff>
                  </from>
                  <to>
                    <xdr:col>8</xdr:col>
                    <xdr:colOff>381000</xdr:colOff>
                    <xdr:row>28</xdr:row>
                    <xdr:rowOff>47625</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from>
                    <xdr:col>7</xdr:col>
                    <xdr:colOff>57150</xdr:colOff>
                    <xdr:row>27</xdr:row>
                    <xdr:rowOff>142875</xdr:rowOff>
                  </from>
                  <to>
                    <xdr:col>8</xdr:col>
                    <xdr:colOff>381000</xdr:colOff>
                    <xdr:row>29</xdr:row>
                    <xdr:rowOff>57150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from>
                    <xdr:col>12</xdr:col>
                    <xdr:colOff>619125</xdr:colOff>
                    <xdr:row>36</xdr:row>
                    <xdr:rowOff>38100</xdr:rowOff>
                  </from>
                  <to>
                    <xdr:col>13</xdr:col>
                    <xdr:colOff>381000</xdr:colOff>
                    <xdr:row>38</xdr:row>
                    <xdr:rowOff>66675</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from>
                    <xdr:col>6</xdr:col>
                    <xdr:colOff>276225</xdr:colOff>
                    <xdr:row>37</xdr:row>
                    <xdr:rowOff>142875</xdr:rowOff>
                  </from>
                  <to>
                    <xdr:col>6</xdr:col>
                    <xdr:colOff>704850</xdr:colOff>
                    <xdr:row>39</xdr:row>
                    <xdr:rowOff>57150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from>
                    <xdr:col>6</xdr:col>
                    <xdr:colOff>695325</xdr:colOff>
                    <xdr:row>37</xdr:row>
                    <xdr:rowOff>142875</xdr:rowOff>
                  </from>
                  <to>
                    <xdr:col>8</xdr:col>
                    <xdr:colOff>304800</xdr:colOff>
                    <xdr:row>39</xdr:row>
                    <xdr:rowOff>57150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from>
                    <xdr:col>9</xdr:col>
                    <xdr:colOff>19050</xdr:colOff>
                    <xdr:row>41</xdr:row>
                    <xdr:rowOff>133350</xdr:rowOff>
                  </from>
                  <to>
                    <xdr:col>10</xdr:col>
                    <xdr:colOff>95250</xdr:colOff>
                    <xdr:row>43</xdr:row>
                    <xdr:rowOff>47625</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from>
                    <xdr:col>10</xdr:col>
                    <xdr:colOff>95250</xdr:colOff>
                    <xdr:row>41</xdr:row>
                    <xdr:rowOff>123825</xdr:rowOff>
                  </from>
                  <to>
                    <xdr:col>12</xdr:col>
                    <xdr:colOff>66675</xdr:colOff>
                    <xdr:row>43</xdr:row>
                    <xdr:rowOff>38100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from>
                    <xdr:col>13</xdr:col>
                    <xdr:colOff>381000</xdr:colOff>
                    <xdr:row>44</xdr:row>
                    <xdr:rowOff>38100</xdr:rowOff>
                  </from>
                  <to>
                    <xdr:col>13</xdr:col>
                    <xdr:colOff>752475</xdr:colOff>
                    <xdr:row>46</xdr:row>
                    <xdr:rowOff>28575</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from>
                    <xdr:col>14</xdr:col>
                    <xdr:colOff>38100</xdr:colOff>
                    <xdr:row>44</xdr:row>
                    <xdr:rowOff>0</xdr:rowOff>
                  </from>
                  <to>
                    <xdr:col>16</xdr:col>
                    <xdr:colOff>28575</xdr:colOff>
                    <xdr:row>46</xdr:row>
                    <xdr:rowOff>57150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from>
                    <xdr:col>9</xdr:col>
                    <xdr:colOff>276225</xdr:colOff>
                    <xdr:row>48</xdr:row>
                    <xdr:rowOff>0</xdr:rowOff>
                  </from>
                  <to>
                    <xdr:col>11</xdr:col>
                    <xdr:colOff>200025</xdr:colOff>
                    <xdr:row>49</xdr:row>
                    <xdr:rowOff>171450</xdr:rowOff>
                  </to>
                </anchor>
              </controlPr>
            </control>
          </mc:Choice>
        </mc:AlternateContent>
        <mc:AlternateContent xmlns:mc="http://schemas.openxmlformats.org/markup-compatibility/2006">
          <mc:Choice Requires="x14">
            <control shapeId="30751" r:id="rId34" name="Check Box 31">
              <controlPr defaultSize="0" autoFill="0" autoLine="0" autoPict="0">
                <anchor moveWithCells="1">
                  <from>
                    <xdr:col>11</xdr:col>
                    <xdr:colOff>247650</xdr:colOff>
                    <xdr:row>48</xdr:row>
                    <xdr:rowOff>0</xdr:rowOff>
                  </from>
                  <to>
                    <xdr:col>12</xdr:col>
                    <xdr:colOff>323850</xdr:colOff>
                    <xdr:row>49</xdr:row>
                    <xdr:rowOff>171450</xdr:rowOff>
                  </to>
                </anchor>
              </controlPr>
            </control>
          </mc:Choice>
        </mc:AlternateContent>
        <mc:AlternateContent xmlns:mc="http://schemas.openxmlformats.org/markup-compatibility/2006">
          <mc:Choice Requires="x14">
            <control shapeId="30752" r:id="rId35" name="Check Box 32">
              <controlPr defaultSize="0" autoFill="0" autoLine="0" autoPict="0">
                <anchor moveWithCells="1">
                  <from>
                    <xdr:col>13</xdr:col>
                    <xdr:colOff>228600</xdr:colOff>
                    <xdr:row>49</xdr:row>
                    <xdr:rowOff>104775</xdr:rowOff>
                  </from>
                  <to>
                    <xdr:col>13</xdr:col>
                    <xdr:colOff>666750</xdr:colOff>
                    <xdr:row>51</xdr:row>
                    <xdr:rowOff>19050</xdr:rowOff>
                  </to>
                </anchor>
              </controlPr>
            </control>
          </mc:Choice>
        </mc:AlternateContent>
        <mc:AlternateContent xmlns:mc="http://schemas.openxmlformats.org/markup-compatibility/2006">
          <mc:Choice Requires="x14">
            <control shapeId="30753" r:id="rId36" name="Check Box 33">
              <controlPr defaultSize="0" autoFill="0" autoLine="0" autoPict="0">
                <anchor moveWithCells="1">
                  <from>
                    <xdr:col>12</xdr:col>
                    <xdr:colOff>476250</xdr:colOff>
                    <xdr:row>49</xdr:row>
                    <xdr:rowOff>104775</xdr:rowOff>
                  </from>
                  <to>
                    <xdr:col>13</xdr:col>
                    <xdr:colOff>238125</xdr:colOff>
                    <xdr:row>51</xdr:row>
                    <xdr:rowOff>19050</xdr:rowOff>
                  </to>
                </anchor>
              </controlPr>
            </control>
          </mc:Choice>
        </mc:AlternateContent>
        <mc:AlternateContent xmlns:mc="http://schemas.openxmlformats.org/markup-compatibility/2006">
          <mc:Choice Requires="x14">
            <control shapeId="30754" r:id="rId37" name="Check Box 34">
              <controlPr defaultSize="0" autoFill="0" autoLine="0" autoPict="0">
                <anchor moveWithCells="1">
                  <from>
                    <xdr:col>8</xdr:col>
                    <xdr:colOff>400050</xdr:colOff>
                    <xdr:row>51</xdr:row>
                    <xdr:rowOff>133350</xdr:rowOff>
                  </from>
                  <to>
                    <xdr:col>10</xdr:col>
                    <xdr:colOff>19050</xdr:colOff>
                    <xdr:row>53</xdr:row>
                    <xdr:rowOff>47625</xdr:rowOff>
                  </to>
                </anchor>
              </controlPr>
            </control>
          </mc:Choice>
        </mc:AlternateContent>
        <mc:AlternateContent xmlns:mc="http://schemas.openxmlformats.org/markup-compatibility/2006">
          <mc:Choice Requires="x14">
            <control shapeId="30755" r:id="rId38" name="Check Box 35">
              <controlPr defaultSize="0" autoFill="0" autoLine="0" autoPict="0">
                <anchor moveWithCells="1">
                  <from>
                    <xdr:col>10</xdr:col>
                    <xdr:colOff>9525</xdr:colOff>
                    <xdr:row>51</xdr:row>
                    <xdr:rowOff>133350</xdr:rowOff>
                  </from>
                  <to>
                    <xdr:col>11</xdr:col>
                    <xdr:colOff>342900</xdr:colOff>
                    <xdr:row>53</xdr:row>
                    <xdr:rowOff>47625</xdr:rowOff>
                  </to>
                </anchor>
              </controlPr>
            </control>
          </mc:Choice>
        </mc:AlternateContent>
        <mc:AlternateContent xmlns:mc="http://schemas.openxmlformats.org/markup-compatibility/2006">
          <mc:Choice Requires="x14">
            <control shapeId="30756" r:id="rId39" name="Check Box 36">
              <controlPr defaultSize="0" autoFill="0" autoLine="0" autoPict="0">
                <anchor moveWithCells="1">
                  <from>
                    <xdr:col>6</xdr:col>
                    <xdr:colOff>76200</xdr:colOff>
                    <xdr:row>52</xdr:row>
                    <xdr:rowOff>133350</xdr:rowOff>
                  </from>
                  <to>
                    <xdr:col>6</xdr:col>
                    <xdr:colOff>504825</xdr:colOff>
                    <xdr:row>54</xdr:row>
                    <xdr:rowOff>47625</xdr:rowOff>
                  </to>
                </anchor>
              </controlPr>
            </control>
          </mc:Choice>
        </mc:AlternateContent>
        <mc:AlternateContent xmlns:mc="http://schemas.openxmlformats.org/markup-compatibility/2006">
          <mc:Choice Requires="x14">
            <control shapeId="30757" r:id="rId40" name="Check Box 37">
              <controlPr defaultSize="0" autoFill="0" autoLine="0" autoPict="0">
                <anchor moveWithCells="1">
                  <from>
                    <xdr:col>6</xdr:col>
                    <xdr:colOff>504825</xdr:colOff>
                    <xdr:row>52</xdr:row>
                    <xdr:rowOff>133350</xdr:rowOff>
                  </from>
                  <to>
                    <xdr:col>8</xdr:col>
                    <xdr:colOff>114300</xdr:colOff>
                    <xdr:row>54</xdr:row>
                    <xdr:rowOff>47625</xdr:rowOff>
                  </to>
                </anchor>
              </controlPr>
            </control>
          </mc:Choice>
        </mc:AlternateContent>
        <mc:AlternateContent xmlns:mc="http://schemas.openxmlformats.org/markup-compatibility/2006">
          <mc:Choice Requires="x14">
            <control shapeId="30758" r:id="rId41" name="Check Box 38">
              <controlPr defaultSize="0" autoFill="0" autoLine="0" autoPict="0">
                <anchor moveWithCells="1">
                  <from>
                    <xdr:col>8</xdr:col>
                    <xdr:colOff>304800</xdr:colOff>
                    <xdr:row>50</xdr:row>
                    <xdr:rowOff>152400</xdr:rowOff>
                  </from>
                  <to>
                    <xdr:col>9</xdr:col>
                    <xdr:colOff>285750</xdr:colOff>
                    <xdr:row>52</xdr:row>
                    <xdr:rowOff>66675</xdr:rowOff>
                  </to>
                </anchor>
              </controlPr>
            </control>
          </mc:Choice>
        </mc:AlternateContent>
        <mc:AlternateContent xmlns:mc="http://schemas.openxmlformats.org/markup-compatibility/2006">
          <mc:Choice Requires="x14">
            <control shapeId="30759" r:id="rId42" name="Check Box 39">
              <controlPr defaultSize="0" autoFill="0" autoLine="0" autoPict="0">
                <anchor moveWithCells="1">
                  <from>
                    <xdr:col>6</xdr:col>
                    <xdr:colOff>704850</xdr:colOff>
                    <xdr:row>50</xdr:row>
                    <xdr:rowOff>142875</xdr:rowOff>
                  </from>
                  <to>
                    <xdr:col>8</xdr:col>
                    <xdr:colOff>304800</xdr:colOff>
                    <xdr:row>52</xdr:row>
                    <xdr:rowOff>57150</xdr:rowOff>
                  </to>
                </anchor>
              </controlPr>
            </control>
          </mc:Choice>
        </mc:AlternateContent>
        <mc:AlternateContent xmlns:mc="http://schemas.openxmlformats.org/markup-compatibility/2006">
          <mc:Choice Requires="x14">
            <control shapeId="30760" r:id="rId43" name="Check Box 40">
              <controlPr defaultSize="0" autoFill="0" autoLine="0" autoPict="0">
                <anchor moveWithCells="1">
                  <from>
                    <xdr:col>13</xdr:col>
                    <xdr:colOff>381000</xdr:colOff>
                    <xdr:row>36</xdr:row>
                    <xdr:rowOff>38100</xdr:rowOff>
                  </from>
                  <to>
                    <xdr:col>15</xdr:col>
                    <xdr:colOff>0</xdr:colOff>
                    <xdr:row>38</xdr:row>
                    <xdr:rowOff>66675</xdr:rowOff>
                  </to>
                </anchor>
              </controlPr>
            </control>
          </mc:Choice>
        </mc:AlternateContent>
        <mc:AlternateContent xmlns:mc="http://schemas.openxmlformats.org/markup-compatibility/2006">
          <mc:Choice Requires="x14">
            <control shapeId="30761" r:id="rId44" name="Check Box 41">
              <controlPr defaultSize="0" autoFill="0" autoLine="0" autoPict="0">
                <anchor moveWithCells="1">
                  <from>
                    <xdr:col>8</xdr:col>
                    <xdr:colOff>371475</xdr:colOff>
                    <xdr:row>40</xdr:row>
                    <xdr:rowOff>133350</xdr:rowOff>
                  </from>
                  <to>
                    <xdr:col>9</xdr:col>
                    <xdr:colOff>342900</xdr:colOff>
                    <xdr:row>42</xdr:row>
                    <xdr:rowOff>47625</xdr:rowOff>
                  </to>
                </anchor>
              </controlPr>
            </control>
          </mc:Choice>
        </mc:AlternateContent>
        <mc:AlternateContent xmlns:mc="http://schemas.openxmlformats.org/markup-compatibility/2006">
          <mc:Choice Requires="x14">
            <control shapeId="30762" r:id="rId45" name="Check Box 42">
              <controlPr defaultSize="0" autoFill="0" autoLine="0" autoPict="0">
                <anchor moveWithCells="1">
                  <from>
                    <xdr:col>9</xdr:col>
                    <xdr:colOff>333375</xdr:colOff>
                    <xdr:row>40</xdr:row>
                    <xdr:rowOff>171450</xdr:rowOff>
                  </from>
                  <to>
                    <xdr:col>11</xdr:col>
                    <xdr:colOff>314325</xdr:colOff>
                    <xdr:row>42</xdr:row>
                    <xdr:rowOff>9525</xdr:rowOff>
                  </to>
                </anchor>
              </controlPr>
            </control>
          </mc:Choice>
        </mc:AlternateContent>
        <mc:AlternateContent xmlns:mc="http://schemas.openxmlformats.org/markup-compatibility/2006">
          <mc:Choice Requires="x14">
            <control shapeId="30763" r:id="rId46" name="Check Box 43">
              <controlPr defaultSize="0" autoFill="0" autoLine="0" autoPict="0">
                <anchor moveWithCells="1">
                  <from>
                    <xdr:col>12</xdr:col>
                    <xdr:colOff>333375</xdr:colOff>
                    <xdr:row>53</xdr:row>
                    <xdr:rowOff>133350</xdr:rowOff>
                  </from>
                  <to>
                    <xdr:col>13</xdr:col>
                    <xdr:colOff>104775</xdr:colOff>
                    <xdr:row>55</xdr:row>
                    <xdr:rowOff>47625</xdr:rowOff>
                  </to>
                </anchor>
              </controlPr>
            </control>
          </mc:Choice>
        </mc:AlternateContent>
        <mc:AlternateContent xmlns:mc="http://schemas.openxmlformats.org/markup-compatibility/2006">
          <mc:Choice Requires="x14">
            <control shapeId="30764" r:id="rId47" name="Check Box 44">
              <controlPr defaultSize="0" autoFill="0" autoLine="0" autoPict="0">
                <anchor moveWithCells="1">
                  <from>
                    <xdr:col>11</xdr:col>
                    <xdr:colOff>266700</xdr:colOff>
                    <xdr:row>53</xdr:row>
                    <xdr:rowOff>123825</xdr:rowOff>
                  </from>
                  <to>
                    <xdr:col>12</xdr:col>
                    <xdr:colOff>333375</xdr:colOff>
                    <xdr:row>55</xdr:row>
                    <xdr:rowOff>38100</xdr:rowOff>
                  </to>
                </anchor>
              </controlPr>
            </control>
          </mc:Choice>
        </mc:AlternateContent>
        <mc:AlternateContent xmlns:mc="http://schemas.openxmlformats.org/markup-compatibility/2006">
          <mc:Choice Requires="x14">
            <control shapeId="30765" r:id="rId48" name="Check Box 45">
              <controlPr defaultSize="0" autoFill="0" autoLine="0" autoPict="0">
                <anchor moveWithCells="1">
                  <from>
                    <xdr:col>13</xdr:col>
                    <xdr:colOff>123825</xdr:colOff>
                    <xdr:row>12</xdr:row>
                    <xdr:rowOff>123825</xdr:rowOff>
                  </from>
                  <to>
                    <xdr:col>13</xdr:col>
                    <xdr:colOff>504825</xdr:colOff>
                    <xdr:row>14</xdr:row>
                    <xdr:rowOff>38100</xdr:rowOff>
                  </to>
                </anchor>
              </controlPr>
            </control>
          </mc:Choice>
        </mc:AlternateContent>
        <mc:AlternateContent xmlns:mc="http://schemas.openxmlformats.org/markup-compatibility/2006">
          <mc:Choice Requires="x14">
            <control shapeId="30766" r:id="rId49" name="Check Box 46">
              <controlPr defaultSize="0" autoFill="0" autoLine="0" autoPict="0">
                <anchor moveWithCells="1">
                  <from>
                    <xdr:col>13</xdr:col>
                    <xdr:colOff>552450</xdr:colOff>
                    <xdr:row>12</xdr:row>
                    <xdr:rowOff>123825</xdr:rowOff>
                  </from>
                  <to>
                    <xdr:col>15</xdr:col>
                    <xdr:colOff>171450</xdr:colOff>
                    <xdr:row>14</xdr:row>
                    <xdr:rowOff>38100</xdr:rowOff>
                  </to>
                </anchor>
              </controlPr>
            </control>
          </mc:Choice>
        </mc:AlternateContent>
        <mc:AlternateContent xmlns:mc="http://schemas.openxmlformats.org/markup-compatibility/2006">
          <mc:Choice Requires="x14">
            <control shapeId="30767" r:id="rId50" name="Check Box 47">
              <controlPr defaultSize="0" autoFill="0" autoLine="0" autoPict="0">
                <anchor moveWithCells="1">
                  <from>
                    <xdr:col>6</xdr:col>
                    <xdr:colOff>219075</xdr:colOff>
                    <xdr:row>13</xdr:row>
                    <xdr:rowOff>104775</xdr:rowOff>
                  </from>
                  <to>
                    <xdr:col>6</xdr:col>
                    <xdr:colOff>647700</xdr:colOff>
                    <xdr:row>15</xdr:row>
                    <xdr:rowOff>19050</xdr:rowOff>
                  </to>
                </anchor>
              </controlPr>
            </control>
          </mc:Choice>
        </mc:AlternateContent>
        <mc:AlternateContent xmlns:mc="http://schemas.openxmlformats.org/markup-compatibility/2006">
          <mc:Choice Requires="x14">
            <control shapeId="30768" r:id="rId51" name="Check Box 48">
              <controlPr defaultSize="0" autoFill="0" autoLine="0" autoPict="0">
                <anchor moveWithCells="1">
                  <from>
                    <xdr:col>6</xdr:col>
                    <xdr:colOff>666750</xdr:colOff>
                    <xdr:row>13</xdr:row>
                    <xdr:rowOff>104775</xdr:rowOff>
                  </from>
                  <to>
                    <xdr:col>8</xdr:col>
                    <xdr:colOff>276225</xdr:colOff>
                    <xdr:row>15</xdr:row>
                    <xdr:rowOff>19050</xdr:rowOff>
                  </to>
                </anchor>
              </controlPr>
            </control>
          </mc:Choice>
        </mc:AlternateContent>
        <mc:AlternateContent xmlns:mc="http://schemas.openxmlformats.org/markup-compatibility/2006">
          <mc:Choice Requires="x14">
            <control shapeId="30769" r:id="rId52" name="Check Box 49">
              <controlPr defaultSize="0" autoFill="0" autoLine="0" autoPict="0">
                <anchor moveWithCells="1">
                  <from>
                    <xdr:col>13</xdr:col>
                    <xdr:colOff>123825</xdr:colOff>
                    <xdr:row>38</xdr:row>
                    <xdr:rowOff>123825</xdr:rowOff>
                  </from>
                  <to>
                    <xdr:col>13</xdr:col>
                    <xdr:colOff>552450</xdr:colOff>
                    <xdr:row>40</xdr:row>
                    <xdr:rowOff>38100</xdr:rowOff>
                  </to>
                </anchor>
              </controlPr>
            </control>
          </mc:Choice>
        </mc:AlternateContent>
        <mc:AlternateContent xmlns:mc="http://schemas.openxmlformats.org/markup-compatibility/2006">
          <mc:Choice Requires="x14">
            <control shapeId="30770" r:id="rId53" name="Check Box 50">
              <controlPr defaultSize="0" autoFill="0" autoLine="0" autoPict="0">
                <anchor moveWithCells="1">
                  <from>
                    <xdr:col>13</xdr:col>
                    <xdr:colOff>552450</xdr:colOff>
                    <xdr:row>38</xdr:row>
                    <xdr:rowOff>123825</xdr:rowOff>
                  </from>
                  <to>
                    <xdr:col>15</xdr:col>
                    <xdr:colOff>66675</xdr:colOff>
                    <xdr:row>40</xdr:row>
                    <xdr:rowOff>38100</xdr:rowOff>
                  </to>
                </anchor>
              </controlPr>
            </control>
          </mc:Choice>
        </mc:AlternateContent>
        <mc:AlternateContent xmlns:mc="http://schemas.openxmlformats.org/markup-compatibility/2006">
          <mc:Choice Requires="x14">
            <control shapeId="30771" r:id="rId54" name="Check Box 51">
              <controlPr defaultSize="0" autoFill="0" autoLine="0" autoPict="0">
                <anchor moveWithCells="1">
                  <from>
                    <xdr:col>6</xdr:col>
                    <xdr:colOff>219075</xdr:colOff>
                    <xdr:row>39</xdr:row>
                    <xdr:rowOff>104775</xdr:rowOff>
                  </from>
                  <to>
                    <xdr:col>6</xdr:col>
                    <xdr:colOff>647700</xdr:colOff>
                    <xdr:row>41</xdr:row>
                    <xdr:rowOff>19050</xdr:rowOff>
                  </to>
                </anchor>
              </controlPr>
            </control>
          </mc:Choice>
        </mc:AlternateContent>
        <mc:AlternateContent xmlns:mc="http://schemas.openxmlformats.org/markup-compatibility/2006">
          <mc:Choice Requires="x14">
            <control shapeId="30772" r:id="rId55" name="Check Box 52">
              <controlPr defaultSize="0" autoFill="0" autoLine="0" autoPict="0">
                <anchor moveWithCells="1">
                  <from>
                    <xdr:col>6</xdr:col>
                    <xdr:colOff>666750</xdr:colOff>
                    <xdr:row>39</xdr:row>
                    <xdr:rowOff>104775</xdr:rowOff>
                  </from>
                  <to>
                    <xdr:col>8</xdr:col>
                    <xdr:colOff>276225</xdr:colOff>
                    <xdr:row>41</xdr:row>
                    <xdr:rowOff>19050</xdr:rowOff>
                  </to>
                </anchor>
              </controlPr>
            </control>
          </mc:Choice>
        </mc:AlternateContent>
        <mc:AlternateContent xmlns:mc="http://schemas.openxmlformats.org/markup-compatibility/2006">
          <mc:Choice Requires="x14">
            <control shapeId="30773" r:id="rId56" name="Check Box 53">
              <controlPr defaultSize="0" autoFill="0" autoLine="0" autoPict="0">
                <anchor moveWithCells="1">
                  <from>
                    <xdr:col>15</xdr:col>
                    <xdr:colOff>85725</xdr:colOff>
                    <xdr:row>12</xdr:row>
                    <xdr:rowOff>123825</xdr:rowOff>
                  </from>
                  <to>
                    <xdr:col>16</xdr:col>
                    <xdr:colOff>133350</xdr:colOff>
                    <xdr:row>14</xdr:row>
                    <xdr:rowOff>38100</xdr:rowOff>
                  </to>
                </anchor>
              </controlPr>
            </control>
          </mc:Choice>
        </mc:AlternateContent>
        <mc:AlternateContent xmlns:mc="http://schemas.openxmlformats.org/markup-compatibility/2006">
          <mc:Choice Requires="x14">
            <control shapeId="30774" r:id="rId57" name="Check Box 54">
              <controlPr defaultSize="0" autoFill="0" autoLine="0" autoPict="0">
                <anchor moveWithCells="1">
                  <from>
                    <xdr:col>8</xdr:col>
                    <xdr:colOff>161925</xdr:colOff>
                    <xdr:row>13</xdr:row>
                    <xdr:rowOff>104775</xdr:rowOff>
                  </from>
                  <to>
                    <xdr:col>9</xdr:col>
                    <xdr:colOff>142875</xdr:colOff>
                    <xdr:row>15</xdr:row>
                    <xdr:rowOff>19050</xdr:rowOff>
                  </to>
                </anchor>
              </controlPr>
            </control>
          </mc:Choice>
        </mc:AlternateContent>
        <mc:AlternateContent xmlns:mc="http://schemas.openxmlformats.org/markup-compatibility/2006">
          <mc:Choice Requires="x14">
            <control shapeId="30775" r:id="rId58" name="Check Box 55">
              <controlPr defaultSize="0" autoFill="0" autoLine="0" autoPict="0">
                <anchor moveWithCells="1">
                  <from>
                    <xdr:col>15</xdr:col>
                    <xdr:colOff>95250</xdr:colOff>
                    <xdr:row>38</xdr:row>
                    <xdr:rowOff>123825</xdr:rowOff>
                  </from>
                  <to>
                    <xdr:col>16</xdr:col>
                    <xdr:colOff>152400</xdr:colOff>
                    <xdr:row>40</xdr:row>
                    <xdr:rowOff>38100</xdr:rowOff>
                  </to>
                </anchor>
              </controlPr>
            </control>
          </mc:Choice>
        </mc:AlternateContent>
        <mc:AlternateContent xmlns:mc="http://schemas.openxmlformats.org/markup-compatibility/2006">
          <mc:Choice Requires="x14">
            <control shapeId="30776" r:id="rId59" name="Check Box 56">
              <controlPr defaultSize="0" autoFill="0" autoLine="0" autoPict="0">
                <anchor moveWithCells="1">
                  <from>
                    <xdr:col>8</xdr:col>
                    <xdr:colOff>219075</xdr:colOff>
                    <xdr:row>39</xdr:row>
                    <xdr:rowOff>104775</xdr:rowOff>
                  </from>
                  <to>
                    <xdr:col>9</xdr:col>
                    <xdr:colOff>200025</xdr:colOff>
                    <xdr:row>41</xdr:row>
                    <xdr:rowOff>19050</xdr:rowOff>
                  </to>
                </anchor>
              </controlPr>
            </control>
          </mc:Choice>
        </mc:AlternateContent>
        <mc:AlternateContent xmlns:mc="http://schemas.openxmlformats.org/markup-compatibility/2006">
          <mc:Choice Requires="x14">
            <control shapeId="30777" r:id="rId60" name="Check Box 57">
              <controlPr defaultSize="0" autoFill="0" autoLine="0" autoPict="0">
                <anchor moveWithCells="1">
                  <from>
                    <xdr:col>7</xdr:col>
                    <xdr:colOff>85725</xdr:colOff>
                    <xdr:row>45</xdr:row>
                    <xdr:rowOff>133350</xdr:rowOff>
                  </from>
                  <to>
                    <xdr:col>8</xdr:col>
                    <xdr:colOff>400050</xdr:colOff>
                    <xdr:row>47</xdr:row>
                    <xdr:rowOff>47625</xdr:rowOff>
                  </to>
                </anchor>
              </controlPr>
            </control>
          </mc:Choice>
        </mc:AlternateContent>
        <mc:AlternateContent xmlns:mc="http://schemas.openxmlformats.org/markup-compatibility/2006">
          <mc:Choice Requires="x14">
            <control shapeId="30778" r:id="rId61" name="Check Box 58">
              <controlPr defaultSize="0" autoFill="0" autoLine="0" autoPict="0">
                <anchor moveWithCells="1">
                  <from>
                    <xdr:col>8</xdr:col>
                    <xdr:colOff>390525</xdr:colOff>
                    <xdr:row>45</xdr:row>
                    <xdr:rowOff>171450</xdr:rowOff>
                  </from>
                  <to>
                    <xdr:col>10</xdr:col>
                    <xdr:colOff>19050</xdr:colOff>
                    <xdr:row>47</xdr:row>
                    <xdr:rowOff>9525</xdr:rowOff>
                  </to>
                </anchor>
              </controlPr>
            </control>
          </mc:Choice>
        </mc:AlternateContent>
        <mc:AlternateContent xmlns:mc="http://schemas.openxmlformats.org/markup-compatibility/2006">
          <mc:Choice Requires="x14">
            <control shapeId="30779" r:id="rId62" name="Check Box 59">
              <controlPr defaultSize="0" autoFill="0" autoLine="0" autoPict="0">
                <anchor moveWithCells="1">
                  <from>
                    <xdr:col>13</xdr:col>
                    <xdr:colOff>609600</xdr:colOff>
                    <xdr:row>25</xdr:row>
                    <xdr:rowOff>104775</xdr:rowOff>
                  </from>
                  <to>
                    <xdr:col>15</xdr:col>
                    <xdr:colOff>152400</xdr:colOff>
                    <xdr:row>27</xdr:row>
                    <xdr:rowOff>19050</xdr:rowOff>
                  </to>
                </anchor>
              </controlPr>
            </control>
          </mc:Choice>
        </mc:AlternateContent>
        <mc:AlternateContent xmlns:mc="http://schemas.openxmlformats.org/markup-compatibility/2006">
          <mc:Choice Requires="x14">
            <control shapeId="30780" r:id="rId63" name="Check Box 60">
              <controlPr defaultSize="0" autoFill="0" autoLine="0" autoPict="0">
                <anchor moveWithCells="1">
                  <from>
                    <xdr:col>13</xdr:col>
                    <xdr:colOff>628650</xdr:colOff>
                    <xdr:row>49</xdr:row>
                    <xdr:rowOff>104775</xdr:rowOff>
                  </from>
                  <to>
                    <xdr:col>15</xdr:col>
                    <xdr:colOff>171450</xdr:colOff>
                    <xdr:row>51</xdr:row>
                    <xdr:rowOff>19050</xdr:rowOff>
                  </to>
                </anchor>
              </controlPr>
            </control>
          </mc:Choice>
        </mc:AlternateContent>
        <mc:AlternateContent xmlns:mc="http://schemas.openxmlformats.org/markup-compatibility/2006">
          <mc:Choice Requires="x14">
            <control shapeId="30781" r:id="rId64" name="Check Box 61">
              <controlPr defaultSize="0" autoFill="0" autoLine="0" autoPict="0">
                <anchor moveWithCells="1">
                  <from>
                    <xdr:col>13</xdr:col>
                    <xdr:colOff>57150</xdr:colOff>
                    <xdr:row>53</xdr:row>
                    <xdr:rowOff>133350</xdr:rowOff>
                  </from>
                  <to>
                    <xdr:col>13</xdr:col>
                    <xdr:colOff>419100</xdr:colOff>
                    <xdr:row>55</xdr:row>
                    <xdr:rowOff>47625</xdr:rowOff>
                  </to>
                </anchor>
              </controlPr>
            </control>
          </mc:Choice>
        </mc:AlternateContent>
        <mc:AlternateContent xmlns:mc="http://schemas.openxmlformats.org/markup-compatibility/2006">
          <mc:Choice Requires="x14">
            <control shapeId="30782" r:id="rId65" name="Check Box 62">
              <controlPr defaultSize="0" autoFill="0" autoLine="0" autoPict="0">
                <anchor moveWithCells="1">
                  <from>
                    <xdr:col>8</xdr:col>
                    <xdr:colOff>66675</xdr:colOff>
                    <xdr:row>52</xdr:row>
                    <xdr:rowOff>133350</xdr:rowOff>
                  </from>
                  <to>
                    <xdr:col>8</xdr:col>
                    <xdr:colOff>428625</xdr:colOff>
                    <xdr:row>54</xdr:row>
                    <xdr:rowOff>47625</xdr:rowOff>
                  </to>
                </anchor>
              </controlPr>
            </control>
          </mc:Choice>
        </mc:AlternateContent>
        <mc:AlternateContent xmlns:mc="http://schemas.openxmlformats.org/markup-compatibility/2006">
          <mc:Choice Requires="x14">
            <control shapeId="30783" r:id="rId66" name="Check Box 63">
              <controlPr defaultSize="0" autoFill="0" autoLine="0" autoPict="0">
                <anchor moveWithCells="1">
                  <from>
                    <xdr:col>11</xdr:col>
                    <xdr:colOff>295275</xdr:colOff>
                    <xdr:row>51</xdr:row>
                    <xdr:rowOff>133350</xdr:rowOff>
                  </from>
                  <to>
                    <xdr:col>12</xdr:col>
                    <xdr:colOff>295275</xdr:colOff>
                    <xdr:row>53</xdr:row>
                    <xdr:rowOff>47625</xdr:rowOff>
                  </to>
                </anchor>
              </controlPr>
            </control>
          </mc:Choice>
        </mc:AlternateContent>
        <mc:AlternateContent xmlns:mc="http://schemas.openxmlformats.org/markup-compatibility/2006">
          <mc:Choice Requires="x14">
            <control shapeId="30784" r:id="rId67" name="Check Box 64">
              <controlPr defaultSize="0" autoFill="0" autoLine="0" autoPict="0">
                <anchor moveWithCells="1">
                  <from>
                    <xdr:col>12</xdr:col>
                    <xdr:colOff>285750</xdr:colOff>
                    <xdr:row>47</xdr:row>
                    <xdr:rowOff>152400</xdr:rowOff>
                  </from>
                  <to>
                    <xdr:col>12</xdr:col>
                    <xdr:colOff>647700</xdr:colOff>
                    <xdr:row>50</xdr:row>
                    <xdr:rowOff>19050</xdr:rowOff>
                  </to>
                </anchor>
              </controlPr>
            </control>
          </mc:Choice>
        </mc:AlternateContent>
        <mc:AlternateContent xmlns:mc="http://schemas.openxmlformats.org/markup-compatibility/2006">
          <mc:Choice Requires="x14">
            <control shapeId="30785" r:id="rId68" name="Check Box 65">
              <controlPr defaultSize="0" autoFill="0" autoLine="0" autoPict="0">
                <anchor moveWithCells="1">
                  <from>
                    <xdr:col>9</xdr:col>
                    <xdr:colOff>333375</xdr:colOff>
                    <xdr:row>55</xdr:row>
                    <xdr:rowOff>95250</xdr:rowOff>
                  </from>
                  <to>
                    <xdr:col>11</xdr:col>
                    <xdr:colOff>304800</xdr:colOff>
                    <xdr:row>57</xdr:row>
                    <xdr:rowOff>9525</xdr:rowOff>
                  </to>
                </anchor>
              </controlPr>
            </control>
          </mc:Choice>
        </mc:AlternateContent>
        <mc:AlternateContent xmlns:mc="http://schemas.openxmlformats.org/markup-compatibility/2006">
          <mc:Choice Requires="x14">
            <control shapeId="30786" r:id="rId69" name="Check Box 66">
              <controlPr defaultSize="0" autoFill="0" autoLine="0" autoPict="0">
                <anchor moveWithCells="1">
                  <from>
                    <xdr:col>11</xdr:col>
                    <xdr:colOff>323850</xdr:colOff>
                    <xdr:row>55</xdr:row>
                    <xdr:rowOff>95250</xdr:rowOff>
                  </from>
                  <to>
                    <xdr:col>12</xdr:col>
                    <xdr:colOff>400050</xdr:colOff>
                    <xdr:row>57</xdr:row>
                    <xdr:rowOff>9525</xdr:rowOff>
                  </to>
                </anchor>
              </controlPr>
            </control>
          </mc:Choice>
        </mc:AlternateContent>
        <mc:AlternateContent xmlns:mc="http://schemas.openxmlformats.org/markup-compatibility/2006">
          <mc:Choice Requires="x14">
            <control shapeId="30787" r:id="rId70" name="Check Box 67">
              <controlPr defaultSize="0" autoFill="0" autoLine="0" autoPict="0">
                <anchor moveWithCells="1">
                  <from>
                    <xdr:col>12</xdr:col>
                    <xdr:colOff>371475</xdr:colOff>
                    <xdr:row>55</xdr:row>
                    <xdr:rowOff>114300</xdr:rowOff>
                  </from>
                  <to>
                    <xdr:col>13</xdr:col>
                    <xdr:colOff>66675</xdr:colOff>
                    <xdr:row>57</xdr:row>
                    <xdr:rowOff>28575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tabColor theme="7" tint="0.39997558519241921"/>
  </sheetPr>
  <dimension ref="A1:BJ61"/>
  <sheetViews>
    <sheetView topLeftCell="A16" zoomScaleNormal="100" workbookViewId="0">
      <selection activeCell="BG36" sqref="BG36"/>
    </sheetView>
  </sheetViews>
  <sheetFormatPr defaultColWidth="9" defaultRowHeight="12" customHeight="1" x14ac:dyDescent="0.2"/>
  <cols>
    <col min="1" max="36" width="1" style="6" customWidth="1"/>
    <col min="37" max="54" width="3.7109375" style="6" customWidth="1"/>
    <col min="55" max="16384" width="9" style="6"/>
  </cols>
  <sheetData>
    <row r="1" spans="1:62" ht="12"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5" t="s">
        <v>280</v>
      </c>
      <c r="AS1" s="155"/>
      <c r="AT1" s="90" t="s">
        <v>0</v>
      </c>
      <c r="AU1" s="155" t="str">
        <f>IF('Data Entry'!N28="","",'Data Entry'!N28)</f>
        <v/>
      </c>
      <c r="AV1" s="155"/>
      <c r="AW1" s="155"/>
      <c r="AX1" s="155"/>
      <c r="AY1" s="155"/>
      <c r="AZ1" s="155"/>
      <c r="BA1" s="155"/>
      <c r="BB1" s="155"/>
    </row>
    <row r="2" spans="1:62" ht="12"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5" t="s">
        <v>281</v>
      </c>
      <c r="AS2" s="155"/>
      <c r="AT2" s="90" t="s">
        <v>0</v>
      </c>
      <c r="AU2" s="155" t="str">
        <f>IF('Data Entry'!N39="","",'Data Entry'!N39)</f>
        <v>SC17124</v>
      </c>
      <c r="AV2" s="155"/>
      <c r="AW2" s="155"/>
      <c r="AX2" s="155"/>
      <c r="AY2" s="155"/>
      <c r="AZ2" s="155"/>
      <c r="BA2" s="155"/>
      <c r="BB2" s="155"/>
    </row>
    <row r="3" spans="1:62" ht="12"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t="str">
        <f>'Bunker Certificate 1'!Y4</f>
        <v/>
      </c>
      <c r="AS3" s="154"/>
      <c r="AT3" s="154"/>
      <c r="AU3" s="154"/>
      <c r="AV3" s="154"/>
      <c r="AW3" s="154"/>
      <c r="AX3" s="154"/>
      <c r="AY3" s="154"/>
      <c r="AZ3" s="154"/>
      <c r="BA3" s="154"/>
      <c r="BB3" s="154"/>
    </row>
    <row r="4" spans="1:62" ht="12" customHeight="1" x14ac:dyDescent="0.2">
      <c r="A4" s="164" t="s">
        <v>30</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row>
    <row r="5" spans="1:62" ht="12" customHeight="1" x14ac:dyDescent="0.2">
      <c r="A5" s="164"/>
      <c r="B5" s="164"/>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row>
    <row r="6" spans="1:62" ht="12" customHeight="1" x14ac:dyDescent="0.2">
      <c r="A6" s="155" t="s">
        <v>1</v>
      </c>
      <c r="B6" s="155"/>
      <c r="C6" s="155"/>
      <c r="D6" s="155"/>
      <c r="E6" s="155"/>
      <c r="F6" s="155"/>
      <c r="G6" s="155"/>
      <c r="H6" s="155"/>
      <c r="I6" s="155"/>
      <c r="J6" s="155"/>
      <c r="K6" s="155"/>
      <c r="L6" s="155"/>
      <c r="M6" s="155" t="s">
        <v>0</v>
      </c>
      <c r="N6" s="155"/>
      <c r="O6" s="155" t="str">
        <f>IF('Data Entry'!N6="","",'Data Entry'!N6)</f>
        <v/>
      </c>
      <c r="P6" s="155"/>
      <c r="Q6" s="155"/>
      <c r="R6" s="155"/>
      <c r="S6" s="155"/>
      <c r="T6" s="155"/>
      <c r="U6" s="155"/>
      <c r="V6" s="155"/>
      <c r="W6" s="155"/>
      <c r="X6" s="155"/>
      <c r="Y6" s="155"/>
      <c r="Z6" s="155"/>
      <c r="AA6" s="155"/>
      <c r="AB6" s="155"/>
      <c r="AC6" s="155"/>
      <c r="AD6" s="155"/>
      <c r="AE6" s="155"/>
      <c r="AF6" s="155"/>
      <c r="AG6" s="155"/>
      <c r="AH6" s="155"/>
      <c r="AI6" s="155"/>
      <c r="AJ6" s="155"/>
      <c r="AK6" s="155"/>
      <c r="AL6" s="155"/>
      <c r="AM6" s="155"/>
      <c r="AN6" s="155"/>
      <c r="AO6" s="155"/>
      <c r="AP6" s="155"/>
      <c r="AQ6" s="155"/>
      <c r="AR6" s="155" t="s">
        <v>197</v>
      </c>
      <c r="AS6" s="155"/>
      <c r="AT6" s="90" t="s">
        <v>0</v>
      </c>
      <c r="AU6" s="155" t="str">
        <f>IF('Data Entry'!N24="","",'Data Entry'!N24)</f>
        <v/>
      </c>
      <c r="AV6" s="155"/>
      <c r="AW6" s="155"/>
      <c r="AX6" s="155"/>
      <c r="AY6" s="155"/>
      <c r="AZ6" s="155"/>
      <c r="BA6" s="155"/>
      <c r="BB6" s="155"/>
    </row>
    <row r="7" spans="1:62" ht="12" customHeight="1" x14ac:dyDescent="0.2">
      <c r="A7" s="155" t="s">
        <v>124</v>
      </c>
      <c r="B7" s="155"/>
      <c r="C7" s="155"/>
      <c r="D7" s="155"/>
      <c r="E7" s="155"/>
      <c r="F7" s="155"/>
      <c r="G7" s="155"/>
      <c r="H7" s="155"/>
      <c r="I7" s="155"/>
      <c r="J7" s="155"/>
      <c r="K7" s="155"/>
      <c r="L7" s="155"/>
      <c r="M7" s="155" t="s">
        <v>0</v>
      </c>
      <c r="N7" s="155"/>
      <c r="O7" s="155" t="str">
        <f>IF('Data Entry'!N26="","",'Data Entry'!N26)&amp;IF(OR('Data Entry'!N26="",'Data Entry'!N27=""),"","/")&amp; IF('Data Entry'!N27="","",'Data Entry'!N27)</f>
        <v>ANCHORAGE AREA/İSTANBUL</v>
      </c>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t="s">
        <v>52</v>
      </c>
      <c r="AS7" s="155"/>
      <c r="AT7" s="90" t="s">
        <v>0</v>
      </c>
      <c r="AU7" s="155" t="str">
        <f>IF('Data Entry'!N21="","",'Data Entry'!N21)</f>
        <v/>
      </c>
      <c r="AV7" s="155"/>
      <c r="AW7" s="155"/>
      <c r="AX7" s="155"/>
      <c r="AY7" s="155"/>
      <c r="AZ7" s="155"/>
      <c r="BA7" s="155"/>
      <c r="BB7" s="155"/>
    </row>
    <row r="8" spans="1:62" ht="12" customHeight="1" thickBot="1" x14ac:dyDescent="0.25">
      <c r="A8" s="381"/>
      <c r="B8" s="381"/>
      <c r="C8" s="381"/>
      <c r="D8" s="381"/>
      <c r="E8" s="381"/>
      <c r="F8" s="381"/>
      <c r="G8" s="381"/>
      <c r="H8" s="381"/>
      <c r="I8" s="381"/>
      <c r="J8" s="381"/>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381"/>
      <c r="BB8" s="381"/>
    </row>
    <row r="9" spans="1:62" ht="12" customHeight="1" x14ac:dyDescent="0.2">
      <c r="A9" s="219" t="s">
        <v>480</v>
      </c>
      <c r="B9" s="219"/>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c r="AW9" s="219"/>
      <c r="AX9" s="219"/>
      <c r="AY9" s="219"/>
      <c r="AZ9" s="219"/>
      <c r="BA9" s="219"/>
      <c r="BB9" s="219"/>
    </row>
    <row r="10" spans="1:62" ht="2.1" customHeight="1" x14ac:dyDescent="0.2">
      <c r="A10" s="155"/>
      <c r="B10" s="155"/>
      <c r="C10" s="155"/>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row>
    <row r="11" spans="1:62" ht="12" customHeight="1" x14ac:dyDescent="0.2">
      <c r="A11" s="445" t="s">
        <v>2</v>
      </c>
      <c r="B11" s="445"/>
      <c r="C11" s="445"/>
      <c r="D11" s="445"/>
      <c r="E11" s="445"/>
      <c r="F11" s="445"/>
      <c r="G11" s="445"/>
      <c r="H11" s="445"/>
      <c r="I11" s="445"/>
      <c r="J11" s="445"/>
      <c r="K11" s="445"/>
      <c r="L11" s="445"/>
      <c r="M11" s="445"/>
      <c r="N11" s="445"/>
      <c r="O11" s="445"/>
      <c r="P11" s="445"/>
      <c r="Q11" s="445"/>
      <c r="R11" s="445"/>
      <c r="S11" s="445" t="s">
        <v>32</v>
      </c>
      <c r="T11" s="445"/>
      <c r="U11" s="445"/>
      <c r="V11" s="445"/>
      <c r="W11" s="445"/>
      <c r="X11" s="445"/>
      <c r="Y11" s="445"/>
      <c r="Z11" s="445"/>
      <c r="AA11" s="445"/>
      <c r="AB11" s="445"/>
      <c r="AC11" s="445"/>
      <c r="AD11" s="445"/>
      <c r="AE11" s="445"/>
      <c r="AF11" s="445"/>
      <c r="AG11" s="445"/>
      <c r="AH11" s="445"/>
      <c r="AI11" s="445"/>
      <c r="AJ11" s="445"/>
      <c r="AK11" s="445" t="s">
        <v>33</v>
      </c>
      <c r="AL11" s="445"/>
      <c r="AM11" s="445"/>
      <c r="AN11" s="445"/>
      <c r="AO11" s="445"/>
      <c r="AP11" s="445"/>
      <c r="AQ11" s="445"/>
      <c r="AR11" s="445"/>
      <c r="AS11" s="445"/>
      <c r="AT11" s="445"/>
      <c r="AU11" s="445"/>
      <c r="AV11" s="445"/>
      <c r="AW11" s="445"/>
      <c r="AX11" s="445"/>
      <c r="AY11" s="445"/>
      <c r="AZ11" s="445"/>
      <c r="BA11" s="445"/>
      <c r="BB11" s="445"/>
    </row>
    <row r="12" spans="1:62" ht="12" customHeight="1" x14ac:dyDescent="0.2">
      <c r="A12" s="447"/>
      <c r="B12" s="447"/>
      <c r="C12" s="447"/>
      <c r="D12" s="447"/>
      <c r="E12" s="447"/>
      <c r="F12" s="447"/>
      <c r="G12" s="447"/>
      <c r="H12" s="447"/>
      <c r="I12" s="447"/>
      <c r="J12" s="447"/>
      <c r="K12" s="447"/>
      <c r="L12" s="447"/>
      <c r="M12" s="447"/>
      <c r="N12" s="447"/>
      <c r="O12" s="447"/>
      <c r="P12" s="447"/>
      <c r="Q12" s="447"/>
      <c r="R12" s="447"/>
      <c r="S12" s="400"/>
      <c r="T12" s="400"/>
      <c r="U12" s="400"/>
      <c r="V12" s="400"/>
      <c r="W12" s="400"/>
      <c r="X12" s="400"/>
      <c r="Y12" s="400"/>
      <c r="Z12" s="400"/>
      <c r="AA12" s="400"/>
      <c r="AB12" s="400"/>
      <c r="AC12" s="400"/>
      <c r="AD12" s="400"/>
      <c r="AE12" s="400"/>
      <c r="AF12" s="400"/>
      <c r="AG12" s="400"/>
      <c r="AH12" s="400"/>
      <c r="AI12" s="400"/>
      <c r="AJ12" s="400"/>
      <c r="AK12" s="446" t="s">
        <v>36</v>
      </c>
      <c r="AL12" s="446"/>
      <c r="AM12" s="446"/>
      <c r="AN12" s="446"/>
      <c r="AO12" s="446"/>
      <c r="AP12" s="446"/>
      <c r="AQ12" s="446"/>
      <c r="AR12" s="446"/>
      <c r="AS12" s="446"/>
      <c r="AT12" s="446"/>
      <c r="AU12" s="446"/>
      <c r="AV12" s="446"/>
      <c r="AW12" s="446"/>
      <c r="AX12" s="446"/>
      <c r="AY12" s="446"/>
      <c r="AZ12" s="446"/>
      <c r="BA12" s="446"/>
      <c r="BB12" s="446"/>
      <c r="BJ12" s="124"/>
    </row>
    <row r="13" spans="1:62" ht="12" customHeight="1" x14ac:dyDescent="0.2">
      <c r="A13" s="447"/>
      <c r="B13" s="447"/>
      <c r="C13" s="447"/>
      <c r="D13" s="447"/>
      <c r="E13" s="447"/>
      <c r="F13" s="447"/>
      <c r="G13" s="447"/>
      <c r="H13" s="447"/>
      <c r="I13" s="447"/>
      <c r="J13" s="447"/>
      <c r="K13" s="447"/>
      <c r="L13" s="447"/>
      <c r="M13" s="447"/>
      <c r="N13" s="447"/>
      <c r="O13" s="447"/>
      <c r="P13" s="447"/>
      <c r="Q13" s="447"/>
      <c r="R13" s="447"/>
      <c r="S13" s="400"/>
      <c r="T13" s="400"/>
      <c r="U13" s="400"/>
      <c r="V13" s="400"/>
      <c r="W13" s="400"/>
      <c r="X13" s="400"/>
      <c r="Y13" s="400"/>
      <c r="Z13" s="400"/>
      <c r="AA13" s="400"/>
      <c r="AB13" s="400"/>
      <c r="AC13" s="400"/>
      <c r="AD13" s="400"/>
      <c r="AE13" s="400"/>
      <c r="AF13" s="400"/>
      <c r="AG13" s="400"/>
      <c r="AH13" s="400"/>
      <c r="AI13" s="400"/>
      <c r="AJ13" s="400"/>
      <c r="AK13" s="182" t="s">
        <v>37</v>
      </c>
      <c r="AL13" s="182"/>
      <c r="AM13" s="182"/>
      <c r="AN13" s="182"/>
      <c r="AO13" s="182"/>
      <c r="AP13" s="182"/>
      <c r="AQ13" s="182"/>
      <c r="AR13" s="182"/>
      <c r="AS13" s="182"/>
      <c r="AT13" s="182"/>
      <c r="AU13" s="182"/>
      <c r="AV13" s="182"/>
      <c r="AW13" s="182"/>
      <c r="AX13" s="182"/>
      <c r="AY13" s="182"/>
      <c r="AZ13" s="182"/>
      <c r="BA13" s="182"/>
      <c r="BB13" s="182"/>
      <c r="BJ13" s="124"/>
    </row>
    <row r="14" spans="1:62" ht="12" customHeight="1" x14ac:dyDescent="0.2">
      <c r="A14" s="447"/>
      <c r="B14" s="447"/>
      <c r="C14" s="447"/>
      <c r="D14" s="447"/>
      <c r="E14" s="447"/>
      <c r="F14" s="447"/>
      <c r="G14" s="447"/>
      <c r="H14" s="447"/>
      <c r="I14" s="447"/>
      <c r="J14" s="447"/>
      <c r="K14" s="447"/>
      <c r="L14" s="447"/>
      <c r="M14" s="447"/>
      <c r="N14" s="447"/>
      <c r="O14" s="447"/>
      <c r="P14" s="447"/>
      <c r="Q14" s="447"/>
      <c r="R14" s="447"/>
      <c r="S14" s="400"/>
      <c r="T14" s="400"/>
      <c r="U14" s="400"/>
      <c r="V14" s="400"/>
      <c r="W14" s="400"/>
      <c r="X14" s="400"/>
      <c r="Y14" s="400"/>
      <c r="Z14" s="400"/>
      <c r="AA14" s="400"/>
      <c r="AB14" s="400"/>
      <c r="AC14" s="400"/>
      <c r="AD14" s="400"/>
      <c r="AE14" s="400"/>
      <c r="AF14" s="400"/>
      <c r="AG14" s="400"/>
      <c r="AH14" s="400"/>
      <c r="AI14" s="400"/>
      <c r="AJ14" s="400"/>
      <c r="AK14" s="182" t="s">
        <v>237</v>
      </c>
      <c r="AL14" s="182"/>
      <c r="AM14" s="182"/>
      <c r="AN14" s="182"/>
      <c r="AO14" s="182"/>
      <c r="AP14" s="182"/>
      <c r="AQ14" s="182"/>
      <c r="AR14" s="182"/>
      <c r="AS14" s="182"/>
      <c r="AT14" s="182"/>
      <c r="AU14" s="182"/>
      <c r="AV14" s="182"/>
      <c r="AW14" s="182"/>
      <c r="AX14" s="182"/>
      <c r="AY14" s="182"/>
      <c r="AZ14" s="182"/>
      <c r="BA14" s="182"/>
      <c r="BB14" s="182"/>
      <c r="BJ14" s="124"/>
    </row>
    <row r="15" spans="1:62" ht="12" customHeight="1" x14ac:dyDescent="0.2">
      <c r="A15" s="447"/>
      <c r="B15" s="447"/>
      <c r="C15" s="447"/>
      <c r="D15" s="447"/>
      <c r="E15" s="447"/>
      <c r="F15" s="447"/>
      <c r="G15" s="447"/>
      <c r="H15" s="447"/>
      <c r="I15" s="447"/>
      <c r="J15" s="447"/>
      <c r="K15" s="447"/>
      <c r="L15" s="447"/>
      <c r="M15" s="447"/>
      <c r="N15" s="447"/>
      <c r="O15" s="447"/>
      <c r="P15" s="447"/>
      <c r="Q15" s="447"/>
      <c r="R15" s="447"/>
      <c r="S15" s="400"/>
      <c r="T15" s="400"/>
      <c r="U15" s="400"/>
      <c r="V15" s="400"/>
      <c r="W15" s="400"/>
      <c r="X15" s="400"/>
      <c r="Y15" s="400"/>
      <c r="Z15" s="400"/>
      <c r="AA15" s="400"/>
      <c r="AB15" s="400"/>
      <c r="AC15" s="400"/>
      <c r="AD15" s="400"/>
      <c r="AE15" s="400"/>
      <c r="AF15" s="400"/>
      <c r="AG15" s="400"/>
      <c r="AH15" s="400"/>
      <c r="AI15" s="400"/>
      <c r="AJ15" s="400"/>
      <c r="AK15" s="182" t="s">
        <v>256</v>
      </c>
      <c r="AL15" s="182"/>
      <c r="AM15" s="182"/>
      <c r="AN15" s="182"/>
      <c r="AO15" s="182"/>
      <c r="AP15" s="182"/>
      <c r="AQ15" s="182"/>
      <c r="AR15" s="182"/>
      <c r="AS15" s="182"/>
      <c r="AT15" s="182"/>
      <c r="AU15" s="182"/>
      <c r="AV15" s="182"/>
      <c r="AW15" s="182"/>
      <c r="AX15" s="182"/>
      <c r="AY15" s="182"/>
      <c r="AZ15" s="182"/>
      <c r="BA15" s="182"/>
      <c r="BB15" s="182"/>
      <c r="BJ15" s="131"/>
    </row>
    <row r="16" spans="1:62" ht="12" customHeight="1" x14ac:dyDescent="0.2">
      <c r="A16" s="447"/>
      <c r="B16" s="447"/>
      <c r="C16" s="447"/>
      <c r="D16" s="447"/>
      <c r="E16" s="447"/>
      <c r="F16" s="447"/>
      <c r="G16" s="447"/>
      <c r="H16" s="447"/>
      <c r="I16" s="447"/>
      <c r="J16" s="447"/>
      <c r="K16" s="447"/>
      <c r="L16" s="447"/>
      <c r="M16" s="447"/>
      <c r="N16" s="447"/>
      <c r="O16" s="447"/>
      <c r="P16" s="447"/>
      <c r="Q16" s="447"/>
      <c r="R16" s="447"/>
      <c r="S16" s="400"/>
      <c r="T16" s="400"/>
      <c r="U16" s="400"/>
      <c r="V16" s="400"/>
      <c r="W16" s="400"/>
      <c r="X16" s="400"/>
      <c r="Y16" s="400"/>
      <c r="Z16" s="400"/>
      <c r="AA16" s="400"/>
      <c r="AB16" s="400"/>
      <c r="AC16" s="400"/>
      <c r="AD16" s="400"/>
      <c r="AE16" s="400"/>
      <c r="AF16" s="400"/>
      <c r="AG16" s="400"/>
      <c r="AH16" s="400"/>
      <c r="AI16" s="400"/>
      <c r="AJ16" s="400"/>
      <c r="AK16" s="182" t="s">
        <v>34</v>
      </c>
      <c r="AL16" s="182"/>
      <c r="AM16" s="182"/>
      <c r="AN16" s="182"/>
      <c r="AO16" s="182"/>
      <c r="AP16" s="182"/>
      <c r="AQ16" s="182"/>
      <c r="AR16" s="182"/>
      <c r="AS16" s="182"/>
      <c r="AT16" s="182"/>
      <c r="AU16" s="182"/>
      <c r="AV16" s="182"/>
      <c r="AW16" s="182"/>
      <c r="AX16" s="182"/>
      <c r="AY16" s="182"/>
      <c r="AZ16" s="182"/>
      <c r="BA16" s="182"/>
      <c r="BB16" s="182"/>
      <c r="BJ16" s="124"/>
    </row>
    <row r="17" spans="1:62" ht="12" customHeight="1" x14ac:dyDescent="0.2">
      <c r="A17" s="447"/>
      <c r="B17" s="447"/>
      <c r="C17" s="447"/>
      <c r="D17" s="447"/>
      <c r="E17" s="447"/>
      <c r="F17" s="447"/>
      <c r="G17" s="447"/>
      <c r="H17" s="447"/>
      <c r="I17" s="447"/>
      <c r="J17" s="447"/>
      <c r="K17" s="447"/>
      <c r="L17" s="447"/>
      <c r="M17" s="447"/>
      <c r="N17" s="447"/>
      <c r="O17" s="447"/>
      <c r="P17" s="447"/>
      <c r="Q17" s="447"/>
      <c r="R17" s="447"/>
      <c r="S17" s="400"/>
      <c r="T17" s="400"/>
      <c r="U17" s="400"/>
      <c r="V17" s="400"/>
      <c r="W17" s="400"/>
      <c r="X17" s="400"/>
      <c r="Y17" s="400"/>
      <c r="Z17" s="400"/>
      <c r="AA17" s="400"/>
      <c r="AB17" s="400"/>
      <c r="AC17" s="400"/>
      <c r="AD17" s="400"/>
      <c r="AE17" s="400"/>
      <c r="AF17" s="400"/>
      <c r="AG17" s="400"/>
      <c r="AH17" s="400"/>
      <c r="AI17" s="400"/>
      <c r="AJ17" s="400"/>
      <c r="AK17" s="182" t="s">
        <v>43</v>
      </c>
      <c r="AL17" s="182"/>
      <c r="AM17" s="182"/>
      <c r="AN17" s="182"/>
      <c r="AO17" s="182"/>
      <c r="AP17" s="182"/>
      <c r="AQ17" s="182"/>
      <c r="AR17" s="182"/>
      <c r="AS17" s="182"/>
      <c r="AT17" s="182"/>
      <c r="AU17" s="182"/>
      <c r="AV17" s="182"/>
      <c r="AW17" s="182"/>
      <c r="AX17" s="182"/>
      <c r="AY17" s="182"/>
      <c r="AZ17" s="182"/>
      <c r="BA17" s="182"/>
      <c r="BB17" s="182"/>
      <c r="BJ17" s="124"/>
    </row>
    <row r="18" spans="1:62" ht="12" customHeight="1" x14ac:dyDescent="0.2">
      <c r="A18" s="447"/>
      <c r="B18" s="447"/>
      <c r="C18" s="447"/>
      <c r="D18" s="447"/>
      <c r="E18" s="447"/>
      <c r="F18" s="447"/>
      <c r="G18" s="447"/>
      <c r="H18" s="447"/>
      <c r="I18" s="447"/>
      <c r="J18" s="447"/>
      <c r="K18" s="447"/>
      <c r="L18" s="447"/>
      <c r="M18" s="447"/>
      <c r="N18" s="447"/>
      <c r="O18" s="447"/>
      <c r="P18" s="447"/>
      <c r="Q18" s="447"/>
      <c r="R18" s="447"/>
      <c r="S18" s="400"/>
      <c r="T18" s="400"/>
      <c r="U18" s="400"/>
      <c r="V18" s="400"/>
      <c r="W18" s="400"/>
      <c r="X18" s="400"/>
      <c r="Y18" s="400"/>
      <c r="Z18" s="400"/>
      <c r="AA18" s="400"/>
      <c r="AB18" s="400"/>
      <c r="AC18" s="400"/>
      <c r="AD18" s="400"/>
      <c r="AE18" s="400"/>
      <c r="AF18" s="400"/>
      <c r="AG18" s="400"/>
      <c r="AH18" s="400"/>
      <c r="AI18" s="400"/>
      <c r="AJ18" s="400"/>
      <c r="AK18" s="156" t="s">
        <v>44</v>
      </c>
      <c r="AL18" s="156"/>
      <c r="AM18" s="156"/>
      <c r="AN18" s="156"/>
      <c r="AO18" s="156"/>
      <c r="AP18" s="156"/>
      <c r="AQ18" s="156"/>
      <c r="AR18" s="156"/>
      <c r="AS18" s="156"/>
      <c r="AT18" s="156"/>
      <c r="AU18" s="156"/>
      <c r="AV18" s="156"/>
      <c r="AW18" s="156"/>
      <c r="AX18" s="156"/>
      <c r="AY18" s="156"/>
      <c r="AZ18" s="156"/>
      <c r="BA18" s="156"/>
      <c r="BB18" s="156"/>
      <c r="BJ18" s="124"/>
    </row>
    <row r="19" spans="1:62" ht="12" customHeight="1" x14ac:dyDescent="0.2">
      <c r="A19" s="447"/>
      <c r="B19" s="447"/>
      <c r="C19" s="447"/>
      <c r="D19" s="447"/>
      <c r="E19" s="447"/>
      <c r="F19" s="447"/>
      <c r="G19" s="447"/>
      <c r="H19" s="447"/>
      <c r="I19" s="447"/>
      <c r="J19" s="447"/>
      <c r="K19" s="447"/>
      <c r="L19" s="447"/>
      <c r="M19" s="447"/>
      <c r="N19" s="447"/>
      <c r="O19" s="447"/>
      <c r="P19" s="447"/>
      <c r="Q19" s="447"/>
      <c r="R19" s="447"/>
      <c r="S19" s="400"/>
      <c r="T19" s="400"/>
      <c r="U19" s="400"/>
      <c r="V19" s="400"/>
      <c r="W19" s="400"/>
      <c r="X19" s="400"/>
      <c r="Y19" s="400"/>
      <c r="Z19" s="400"/>
      <c r="AA19" s="400"/>
      <c r="AB19" s="400"/>
      <c r="AC19" s="400"/>
      <c r="AD19" s="400"/>
      <c r="AE19" s="400"/>
      <c r="AF19" s="400"/>
      <c r="AG19" s="400"/>
      <c r="AH19" s="400"/>
      <c r="AI19" s="400"/>
      <c r="AJ19" s="400"/>
      <c r="AK19" s="182" t="s">
        <v>53</v>
      </c>
      <c r="AL19" s="182"/>
      <c r="AM19" s="182"/>
      <c r="AN19" s="182"/>
      <c r="AO19" s="182"/>
      <c r="AP19" s="182"/>
      <c r="AQ19" s="182"/>
      <c r="AR19" s="182"/>
      <c r="AS19" s="182"/>
      <c r="AT19" s="182"/>
      <c r="AU19" s="182"/>
      <c r="AV19" s="182"/>
      <c r="AW19" s="182"/>
      <c r="AX19" s="182"/>
      <c r="AY19" s="182"/>
      <c r="AZ19" s="182"/>
      <c r="BA19" s="182"/>
      <c r="BB19" s="182"/>
      <c r="BJ19" s="124"/>
    </row>
    <row r="20" spans="1:62" ht="12" customHeight="1" x14ac:dyDescent="0.2">
      <c r="A20" s="447"/>
      <c r="B20" s="447"/>
      <c r="C20" s="447"/>
      <c r="D20" s="447"/>
      <c r="E20" s="447"/>
      <c r="F20" s="447"/>
      <c r="G20" s="447"/>
      <c r="H20" s="447"/>
      <c r="I20" s="447"/>
      <c r="J20" s="447"/>
      <c r="K20" s="447"/>
      <c r="L20" s="447"/>
      <c r="M20" s="447"/>
      <c r="N20" s="447"/>
      <c r="O20" s="447"/>
      <c r="P20" s="447"/>
      <c r="Q20" s="447"/>
      <c r="R20" s="447"/>
      <c r="S20" s="400"/>
      <c r="T20" s="400"/>
      <c r="U20" s="400"/>
      <c r="V20" s="400"/>
      <c r="W20" s="400"/>
      <c r="X20" s="400"/>
      <c r="Y20" s="400"/>
      <c r="Z20" s="400"/>
      <c r="AA20" s="400"/>
      <c r="AB20" s="400"/>
      <c r="AC20" s="400"/>
      <c r="AD20" s="400"/>
      <c r="AE20" s="400"/>
      <c r="AF20" s="400"/>
      <c r="AG20" s="400"/>
      <c r="AH20" s="400"/>
      <c r="AI20" s="400"/>
      <c r="AJ20" s="400"/>
      <c r="AK20" s="182" t="s">
        <v>38</v>
      </c>
      <c r="AL20" s="182"/>
      <c r="AM20" s="182"/>
      <c r="AN20" s="182"/>
      <c r="AO20" s="182"/>
      <c r="AP20" s="182"/>
      <c r="AQ20" s="182"/>
      <c r="AR20" s="182"/>
      <c r="AS20" s="182"/>
      <c r="AT20" s="182"/>
      <c r="AU20" s="182"/>
      <c r="AV20" s="182"/>
      <c r="AW20" s="182"/>
      <c r="AX20" s="182"/>
      <c r="AY20" s="182"/>
      <c r="AZ20" s="182"/>
      <c r="BA20" s="182"/>
      <c r="BB20" s="182"/>
      <c r="BJ20" s="124"/>
    </row>
    <row r="21" spans="1:62" ht="12" customHeight="1" x14ac:dyDescent="0.2">
      <c r="A21" s="447"/>
      <c r="B21" s="447"/>
      <c r="C21" s="447"/>
      <c r="D21" s="447"/>
      <c r="E21" s="447"/>
      <c r="F21" s="447"/>
      <c r="G21" s="447"/>
      <c r="H21" s="447"/>
      <c r="I21" s="447"/>
      <c r="J21" s="447"/>
      <c r="K21" s="447"/>
      <c r="L21" s="447"/>
      <c r="M21" s="447"/>
      <c r="N21" s="447"/>
      <c r="O21" s="447"/>
      <c r="P21" s="447"/>
      <c r="Q21" s="447"/>
      <c r="R21" s="447"/>
      <c r="S21" s="400"/>
      <c r="T21" s="400"/>
      <c r="U21" s="400"/>
      <c r="V21" s="400"/>
      <c r="W21" s="400"/>
      <c r="X21" s="400"/>
      <c r="Y21" s="400"/>
      <c r="Z21" s="400"/>
      <c r="AA21" s="400"/>
      <c r="AB21" s="400"/>
      <c r="AC21" s="400"/>
      <c r="AD21" s="400"/>
      <c r="AE21" s="400"/>
      <c r="AF21" s="400"/>
      <c r="AG21" s="400"/>
      <c r="AH21" s="400"/>
      <c r="AI21" s="400"/>
      <c r="AJ21" s="400"/>
      <c r="AK21" s="156" t="s">
        <v>39</v>
      </c>
      <c r="AL21" s="156"/>
      <c r="AM21" s="156"/>
      <c r="AN21" s="156"/>
      <c r="AO21" s="156"/>
      <c r="AP21" s="156"/>
      <c r="AQ21" s="156"/>
      <c r="AR21" s="156"/>
      <c r="AS21" s="156"/>
      <c r="AT21" s="156"/>
      <c r="AU21" s="156"/>
      <c r="AV21" s="156"/>
      <c r="AW21" s="156"/>
      <c r="AX21" s="156"/>
      <c r="AY21" s="156"/>
      <c r="AZ21" s="156"/>
      <c r="BA21" s="156"/>
      <c r="BB21" s="156"/>
      <c r="BJ21" s="124"/>
    </row>
    <row r="22" spans="1:62" ht="12" customHeight="1" x14ac:dyDescent="0.2">
      <c r="A22" s="447"/>
      <c r="B22" s="447"/>
      <c r="C22" s="447"/>
      <c r="D22" s="447"/>
      <c r="E22" s="447"/>
      <c r="F22" s="447"/>
      <c r="G22" s="447"/>
      <c r="H22" s="447"/>
      <c r="I22" s="447"/>
      <c r="J22" s="447"/>
      <c r="K22" s="447"/>
      <c r="L22" s="447"/>
      <c r="M22" s="447"/>
      <c r="N22" s="447"/>
      <c r="O22" s="447"/>
      <c r="P22" s="447"/>
      <c r="Q22" s="447"/>
      <c r="R22" s="447"/>
      <c r="S22" s="400"/>
      <c r="T22" s="400"/>
      <c r="U22" s="400"/>
      <c r="V22" s="400"/>
      <c r="W22" s="400"/>
      <c r="X22" s="400"/>
      <c r="Y22" s="400"/>
      <c r="Z22" s="400"/>
      <c r="AA22" s="400"/>
      <c r="AB22" s="400"/>
      <c r="AC22" s="400"/>
      <c r="AD22" s="400"/>
      <c r="AE22" s="400"/>
      <c r="AF22" s="400"/>
      <c r="AG22" s="400"/>
      <c r="AH22" s="400"/>
      <c r="AI22" s="400"/>
      <c r="AJ22" s="400"/>
      <c r="AK22" s="156" t="s">
        <v>50</v>
      </c>
      <c r="AL22" s="156"/>
      <c r="AM22" s="156"/>
      <c r="AN22" s="156"/>
      <c r="AO22" s="156"/>
      <c r="AP22" s="156"/>
      <c r="AQ22" s="156"/>
      <c r="AR22" s="156"/>
      <c r="AS22" s="156"/>
      <c r="AT22" s="156"/>
      <c r="AU22" s="156"/>
      <c r="AV22" s="156"/>
      <c r="AW22" s="156"/>
      <c r="AX22" s="156"/>
      <c r="AY22" s="156"/>
      <c r="AZ22" s="156"/>
      <c r="BA22" s="156"/>
      <c r="BB22" s="156"/>
      <c r="BJ22" s="124"/>
    </row>
    <row r="23" spans="1:62" ht="12" customHeight="1" x14ac:dyDescent="0.2">
      <c r="A23" s="447"/>
      <c r="B23" s="447"/>
      <c r="C23" s="447"/>
      <c r="D23" s="447"/>
      <c r="E23" s="447"/>
      <c r="F23" s="447"/>
      <c r="G23" s="447"/>
      <c r="H23" s="447"/>
      <c r="I23" s="447"/>
      <c r="J23" s="447"/>
      <c r="K23" s="447"/>
      <c r="L23" s="447"/>
      <c r="M23" s="447"/>
      <c r="N23" s="447"/>
      <c r="O23" s="447"/>
      <c r="P23" s="447"/>
      <c r="Q23" s="447"/>
      <c r="R23" s="447"/>
      <c r="S23" s="400"/>
      <c r="T23" s="400"/>
      <c r="U23" s="400"/>
      <c r="V23" s="400"/>
      <c r="W23" s="400"/>
      <c r="X23" s="400"/>
      <c r="Y23" s="400"/>
      <c r="Z23" s="400"/>
      <c r="AA23" s="400"/>
      <c r="AB23" s="400"/>
      <c r="AC23" s="400"/>
      <c r="AD23" s="400"/>
      <c r="AE23" s="400"/>
      <c r="AF23" s="400"/>
      <c r="AG23" s="400"/>
      <c r="AH23" s="400"/>
      <c r="AI23" s="400"/>
      <c r="AJ23" s="400"/>
      <c r="AK23" s="182" t="s">
        <v>40</v>
      </c>
      <c r="AL23" s="182"/>
      <c r="AM23" s="182"/>
      <c r="AN23" s="182"/>
      <c r="AO23" s="182"/>
      <c r="AP23" s="182"/>
      <c r="AQ23" s="182"/>
      <c r="AR23" s="182"/>
      <c r="AS23" s="182"/>
      <c r="AT23" s="182"/>
      <c r="AU23" s="182"/>
      <c r="AV23" s="182"/>
      <c r="AW23" s="182"/>
      <c r="AX23" s="182"/>
      <c r="AY23" s="182"/>
      <c r="AZ23" s="182"/>
      <c r="BA23" s="182"/>
      <c r="BB23" s="182"/>
      <c r="BJ23" s="124"/>
    </row>
    <row r="24" spans="1:62" ht="12" customHeight="1" x14ac:dyDescent="0.2">
      <c r="A24" s="447"/>
      <c r="B24" s="447"/>
      <c r="C24" s="447"/>
      <c r="D24" s="447"/>
      <c r="E24" s="447"/>
      <c r="F24" s="447"/>
      <c r="G24" s="447"/>
      <c r="H24" s="447"/>
      <c r="I24" s="447"/>
      <c r="J24" s="447"/>
      <c r="K24" s="447"/>
      <c r="L24" s="447"/>
      <c r="M24" s="447"/>
      <c r="N24" s="447"/>
      <c r="O24" s="447"/>
      <c r="P24" s="447"/>
      <c r="Q24" s="447"/>
      <c r="R24" s="447"/>
      <c r="S24" s="400"/>
      <c r="T24" s="400"/>
      <c r="U24" s="400"/>
      <c r="V24" s="400"/>
      <c r="W24" s="400"/>
      <c r="X24" s="400"/>
      <c r="Y24" s="400"/>
      <c r="Z24" s="400"/>
      <c r="AA24" s="400"/>
      <c r="AB24" s="400"/>
      <c r="AC24" s="400"/>
      <c r="AD24" s="400"/>
      <c r="AE24" s="400"/>
      <c r="AF24" s="400"/>
      <c r="AG24" s="400"/>
      <c r="AH24" s="400"/>
      <c r="AI24" s="400"/>
      <c r="AJ24" s="400"/>
      <c r="AK24" s="182" t="s">
        <v>481</v>
      </c>
      <c r="AL24" s="182"/>
      <c r="AM24" s="182"/>
      <c r="AN24" s="182"/>
      <c r="AO24" s="182"/>
      <c r="AP24" s="182"/>
      <c r="AQ24" s="182"/>
      <c r="AR24" s="182"/>
      <c r="AS24" s="182"/>
      <c r="AT24" s="182"/>
      <c r="AU24" s="182"/>
      <c r="AV24" s="182"/>
      <c r="AW24" s="182"/>
      <c r="AX24" s="182"/>
      <c r="AY24" s="182"/>
      <c r="AZ24" s="182"/>
      <c r="BA24" s="182"/>
      <c r="BB24" s="182"/>
      <c r="BJ24" s="124"/>
    </row>
    <row r="25" spans="1:62" ht="12" customHeight="1" x14ac:dyDescent="0.2">
      <c r="A25" s="447"/>
      <c r="B25" s="447"/>
      <c r="C25" s="447"/>
      <c r="D25" s="447"/>
      <c r="E25" s="447"/>
      <c r="F25" s="447"/>
      <c r="G25" s="447"/>
      <c r="H25" s="447"/>
      <c r="I25" s="447"/>
      <c r="J25" s="447"/>
      <c r="K25" s="447"/>
      <c r="L25" s="447"/>
      <c r="M25" s="447"/>
      <c r="N25" s="447"/>
      <c r="O25" s="447"/>
      <c r="P25" s="447"/>
      <c r="Q25" s="447"/>
      <c r="R25" s="447"/>
      <c r="S25" s="400"/>
      <c r="T25" s="400"/>
      <c r="U25" s="400"/>
      <c r="V25" s="400"/>
      <c r="W25" s="400"/>
      <c r="X25" s="400"/>
      <c r="Y25" s="400"/>
      <c r="Z25" s="400"/>
      <c r="AA25" s="400"/>
      <c r="AB25" s="400"/>
      <c r="AC25" s="400"/>
      <c r="AD25" s="400"/>
      <c r="AE25" s="400"/>
      <c r="AF25" s="400"/>
      <c r="AG25" s="400"/>
      <c r="AH25" s="400"/>
      <c r="AI25" s="400"/>
      <c r="AJ25" s="400"/>
      <c r="AK25" s="182" t="s">
        <v>41</v>
      </c>
      <c r="AL25" s="182"/>
      <c r="AM25" s="182"/>
      <c r="AN25" s="182"/>
      <c r="AO25" s="182"/>
      <c r="AP25" s="182"/>
      <c r="AQ25" s="182"/>
      <c r="AR25" s="182"/>
      <c r="AS25" s="182"/>
      <c r="AT25" s="182"/>
      <c r="AU25" s="182"/>
      <c r="AV25" s="182"/>
      <c r="AW25" s="182"/>
      <c r="AX25" s="182"/>
      <c r="AY25" s="182"/>
      <c r="AZ25" s="182"/>
      <c r="BA25" s="182"/>
      <c r="BB25" s="182"/>
      <c r="BJ25" s="124"/>
    </row>
    <row r="26" spans="1:62" ht="12" customHeight="1" x14ac:dyDescent="0.2">
      <c r="A26" s="447"/>
      <c r="B26" s="447"/>
      <c r="C26" s="447"/>
      <c r="D26" s="447"/>
      <c r="E26" s="447"/>
      <c r="F26" s="447"/>
      <c r="G26" s="447"/>
      <c r="H26" s="447"/>
      <c r="I26" s="447"/>
      <c r="J26" s="447"/>
      <c r="K26" s="447"/>
      <c r="L26" s="447"/>
      <c r="M26" s="447"/>
      <c r="N26" s="447"/>
      <c r="O26" s="447"/>
      <c r="P26" s="447"/>
      <c r="Q26" s="447"/>
      <c r="R26" s="447"/>
      <c r="S26" s="400"/>
      <c r="T26" s="400"/>
      <c r="U26" s="400"/>
      <c r="V26" s="400"/>
      <c r="W26" s="400"/>
      <c r="X26" s="400"/>
      <c r="Y26" s="400"/>
      <c r="Z26" s="400"/>
      <c r="AA26" s="400"/>
      <c r="AB26" s="400"/>
      <c r="AC26" s="400"/>
      <c r="AD26" s="400"/>
      <c r="AE26" s="400"/>
      <c r="AF26" s="400"/>
      <c r="AG26" s="400"/>
      <c r="AH26" s="400"/>
      <c r="AI26" s="400"/>
      <c r="AJ26" s="400"/>
      <c r="AK26" s="156" t="s">
        <v>45</v>
      </c>
      <c r="AL26" s="156"/>
      <c r="AM26" s="156"/>
      <c r="AN26" s="156"/>
      <c r="AO26" s="156"/>
      <c r="AP26" s="156"/>
      <c r="AQ26" s="156"/>
      <c r="AR26" s="156"/>
      <c r="AS26" s="156"/>
      <c r="AT26" s="156"/>
      <c r="AU26" s="156"/>
      <c r="AV26" s="156"/>
      <c r="AW26" s="156"/>
      <c r="AX26" s="156"/>
      <c r="AY26" s="156"/>
      <c r="AZ26" s="156"/>
      <c r="BA26" s="156"/>
      <c r="BB26" s="156"/>
      <c r="BJ26" s="124"/>
    </row>
    <row r="27" spans="1:62" ht="12" customHeight="1" x14ac:dyDescent="0.2">
      <c r="A27" s="447"/>
      <c r="B27" s="447"/>
      <c r="C27" s="447"/>
      <c r="D27" s="447"/>
      <c r="E27" s="447"/>
      <c r="F27" s="447"/>
      <c r="G27" s="447"/>
      <c r="H27" s="447"/>
      <c r="I27" s="447"/>
      <c r="J27" s="447"/>
      <c r="K27" s="447"/>
      <c r="L27" s="447"/>
      <c r="M27" s="447"/>
      <c r="N27" s="447"/>
      <c r="O27" s="447"/>
      <c r="P27" s="447"/>
      <c r="Q27" s="447"/>
      <c r="R27" s="447"/>
      <c r="S27" s="400"/>
      <c r="T27" s="400"/>
      <c r="U27" s="400"/>
      <c r="V27" s="400"/>
      <c r="W27" s="400"/>
      <c r="X27" s="400"/>
      <c r="Y27" s="400"/>
      <c r="Z27" s="400"/>
      <c r="AA27" s="400"/>
      <c r="AB27" s="400"/>
      <c r="AC27" s="400"/>
      <c r="AD27" s="400"/>
      <c r="AE27" s="400"/>
      <c r="AF27" s="400"/>
      <c r="AG27" s="400"/>
      <c r="AH27" s="400"/>
      <c r="AI27" s="400"/>
      <c r="AJ27" s="400"/>
      <c r="AK27" s="182" t="s">
        <v>46</v>
      </c>
      <c r="AL27" s="182"/>
      <c r="AM27" s="182"/>
      <c r="AN27" s="182"/>
      <c r="AO27" s="182"/>
      <c r="AP27" s="182"/>
      <c r="AQ27" s="182"/>
      <c r="AR27" s="182"/>
      <c r="AS27" s="182"/>
      <c r="AT27" s="182"/>
      <c r="AU27" s="182"/>
      <c r="AV27" s="182"/>
      <c r="AW27" s="182"/>
      <c r="AX27" s="182"/>
      <c r="AY27" s="182"/>
      <c r="AZ27" s="182"/>
      <c r="BA27" s="182"/>
      <c r="BB27" s="182"/>
      <c r="BJ27" s="124"/>
    </row>
    <row r="28" spans="1:62" ht="12" customHeight="1" x14ac:dyDescent="0.2">
      <c r="A28" s="447"/>
      <c r="B28" s="447"/>
      <c r="C28" s="447"/>
      <c r="D28" s="447"/>
      <c r="E28" s="447"/>
      <c r="F28" s="447"/>
      <c r="G28" s="447"/>
      <c r="H28" s="447"/>
      <c r="I28" s="447"/>
      <c r="J28" s="447"/>
      <c r="K28" s="447"/>
      <c r="L28" s="447"/>
      <c r="M28" s="447"/>
      <c r="N28" s="447"/>
      <c r="O28" s="447"/>
      <c r="P28" s="447"/>
      <c r="Q28" s="447"/>
      <c r="R28" s="447"/>
      <c r="S28" s="400"/>
      <c r="T28" s="400"/>
      <c r="U28" s="400"/>
      <c r="V28" s="400"/>
      <c r="W28" s="400"/>
      <c r="X28" s="400"/>
      <c r="Y28" s="400"/>
      <c r="Z28" s="400"/>
      <c r="AA28" s="400"/>
      <c r="AB28" s="400"/>
      <c r="AC28" s="400"/>
      <c r="AD28" s="400"/>
      <c r="AE28" s="400"/>
      <c r="AF28" s="400"/>
      <c r="AG28" s="400"/>
      <c r="AH28" s="400"/>
      <c r="AI28" s="400"/>
      <c r="AJ28" s="400"/>
      <c r="AK28" s="182" t="s">
        <v>47</v>
      </c>
      <c r="AL28" s="182"/>
      <c r="AM28" s="182"/>
      <c r="AN28" s="182"/>
      <c r="AO28" s="182"/>
      <c r="AP28" s="182"/>
      <c r="AQ28" s="182"/>
      <c r="AR28" s="182"/>
      <c r="AS28" s="182"/>
      <c r="AT28" s="182"/>
      <c r="AU28" s="182"/>
      <c r="AV28" s="182"/>
      <c r="AW28" s="182"/>
      <c r="AX28" s="182"/>
      <c r="AY28" s="182"/>
      <c r="AZ28" s="182"/>
      <c r="BA28" s="182"/>
      <c r="BB28" s="182"/>
      <c r="BJ28" s="124"/>
    </row>
    <row r="29" spans="1:62" ht="12" customHeight="1" x14ac:dyDescent="0.2">
      <c r="A29" s="447"/>
      <c r="B29" s="447"/>
      <c r="C29" s="447"/>
      <c r="D29" s="447"/>
      <c r="E29" s="447"/>
      <c r="F29" s="447"/>
      <c r="G29" s="447"/>
      <c r="H29" s="447"/>
      <c r="I29" s="447"/>
      <c r="J29" s="447"/>
      <c r="K29" s="447"/>
      <c r="L29" s="447"/>
      <c r="M29" s="447"/>
      <c r="N29" s="447"/>
      <c r="O29" s="447"/>
      <c r="P29" s="447"/>
      <c r="Q29" s="447"/>
      <c r="R29" s="447"/>
      <c r="S29" s="400"/>
      <c r="T29" s="400"/>
      <c r="U29" s="400"/>
      <c r="V29" s="400"/>
      <c r="W29" s="400"/>
      <c r="X29" s="400"/>
      <c r="Y29" s="400"/>
      <c r="Z29" s="400"/>
      <c r="AA29" s="400"/>
      <c r="AB29" s="400"/>
      <c r="AC29" s="400"/>
      <c r="AD29" s="400"/>
      <c r="AE29" s="400"/>
      <c r="AF29" s="400"/>
      <c r="AG29" s="400"/>
      <c r="AH29" s="400"/>
      <c r="AI29" s="400"/>
      <c r="AJ29" s="400"/>
      <c r="AK29" s="182" t="s">
        <v>48</v>
      </c>
      <c r="AL29" s="182"/>
      <c r="AM29" s="182"/>
      <c r="AN29" s="182"/>
      <c r="AO29" s="182"/>
      <c r="AP29" s="182"/>
      <c r="AQ29" s="182"/>
      <c r="AR29" s="182"/>
      <c r="AS29" s="182"/>
      <c r="AT29" s="182"/>
      <c r="AU29" s="182"/>
      <c r="AV29" s="182"/>
      <c r="AW29" s="182"/>
      <c r="AX29" s="182"/>
      <c r="AY29" s="182"/>
      <c r="AZ29" s="182"/>
      <c r="BA29" s="182"/>
      <c r="BB29" s="182"/>
      <c r="BJ29" s="124"/>
    </row>
    <row r="30" spans="1:62" ht="12" customHeight="1" x14ac:dyDescent="0.2">
      <c r="A30" s="447"/>
      <c r="B30" s="447"/>
      <c r="C30" s="447"/>
      <c r="D30" s="447"/>
      <c r="E30" s="447"/>
      <c r="F30" s="447"/>
      <c r="G30" s="447"/>
      <c r="H30" s="447"/>
      <c r="I30" s="447"/>
      <c r="J30" s="447"/>
      <c r="K30" s="447"/>
      <c r="L30" s="447"/>
      <c r="M30" s="447"/>
      <c r="N30" s="447"/>
      <c r="O30" s="447"/>
      <c r="P30" s="447"/>
      <c r="Q30" s="447"/>
      <c r="R30" s="447"/>
      <c r="S30" s="400"/>
      <c r="T30" s="400"/>
      <c r="U30" s="400"/>
      <c r="V30" s="400"/>
      <c r="W30" s="400"/>
      <c r="X30" s="400"/>
      <c r="Y30" s="400"/>
      <c r="Z30" s="400"/>
      <c r="AA30" s="400"/>
      <c r="AB30" s="400"/>
      <c r="AC30" s="400"/>
      <c r="AD30" s="400"/>
      <c r="AE30" s="400"/>
      <c r="AF30" s="400"/>
      <c r="AG30" s="400"/>
      <c r="AH30" s="400"/>
      <c r="AI30" s="400"/>
      <c r="AJ30" s="400"/>
      <c r="AK30" s="182" t="s">
        <v>49</v>
      </c>
      <c r="AL30" s="182"/>
      <c r="AM30" s="182"/>
      <c r="AN30" s="182"/>
      <c r="AO30" s="182"/>
      <c r="AP30" s="182"/>
      <c r="AQ30" s="182"/>
      <c r="AR30" s="182"/>
      <c r="AS30" s="182"/>
      <c r="AT30" s="182"/>
      <c r="AU30" s="182"/>
      <c r="AV30" s="182"/>
      <c r="AW30" s="182"/>
      <c r="AX30" s="182"/>
      <c r="AY30" s="182"/>
      <c r="AZ30" s="182"/>
      <c r="BA30" s="182"/>
      <c r="BB30" s="182"/>
      <c r="BJ30" s="124"/>
    </row>
    <row r="31" spans="1:62" ht="12" customHeight="1" x14ac:dyDescent="0.2">
      <c r="A31" s="447"/>
      <c r="B31" s="447"/>
      <c r="C31" s="447"/>
      <c r="D31" s="447"/>
      <c r="E31" s="447"/>
      <c r="F31" s="447"/>
      <c r="G31" s="447"/>
      <c r="H31" s="447"/>
      <c r="I31" s="447"/>
      <c r="J31" s="447"/>
      <c r="K31" s="447"/>
      <c r="L31" s="447"/>
      <c r="M31" s="447"/>
      <c r="N31" s="447"/>
      <c r="O31" s="447"/>
      <c r="P31" s="447"/>
      <c r="Q31" s="447"/>
      <c r="R31" s="447"/>
      <c r="S31" s="400"/>
      <c r="T31" s="400"/>
      <c r="U31" s="400"/>
      <c r="V31" s="400"/>
      <c r="W31" s="400"/>
      <c r="X31" s="400"/>
      <c r="Y31" s="400"/>
      <c r="Z31" s="400"/>
      <c r="AA31" s="400"/>
      <c r="AB31" s="400"/>
      <c r="AC31" s="400"/>
      <c r="AD31" s="400"/>
      <c r="AE31" s="400"/>
      <c r="AF31" s="400"/>
      <c r="AG31" s="400"/>
      <c r="AH31" s="400"/>
      <c r="AI31" s="400"/>
      <c r="AJ31" s="400"/>
      <c r="AK31" s="182" t="s">
        <v>42</v>
      </c>
      <c r="AL31" s="182"/>
      <c r="AM31" s="182"/>
      <c r="AN31" s="182"/>
      <c r="AO31" s="182"/>
      <c r="AP31" s="182"/>
      <c r="AQ31" s="182"/>
      <c r="AR31" s="182"/>
      <c r="AS31" s="182"/>
      <c r="AT31" s="182"/>
      <c r="AU31" s="182"/>
      <c r="AV31" s="182"/>
      <c r="AW31" s="182"/>
      <c r="AX31" s="182"/>
      <c r="AY31" s="182"/>
      <c r="AZ31" s="182"/>
      <c r="BA31" s="182"/>
      <c r="BB31" s="182"/>
      <c r="BJ31" s="124"/>
    </row>
    <row r="32" spans="1:62" ht="12" customHeight="1" x14ac:dyDescent="0.2">
      <c r="A32" s="447"/>
      <c r="B32" s="447"/>
      <c r="C32" s="447"/>
      <c r="D32" s="447"/>
      <c r="E32" s="447"/>
      <c r="F32" s="447"/>
      <c r="G32" s="447"/>
      <c r="H32" s="447"/>
      <c r="I32" s="447"/>
      <c r="J32" s="447"/>
      <c r="K32" s="447"/>
      <c r="L32" s="447"/>
      <c r="M32" s="447"/>
      <c r="N32" s="447"/>
      <c r="O32" s="447"/>
      <c r="P32" s="447"/>
      <c r="Q32" s="447"/>
      <c r="R32" s="447"/>
      <c r="S32" s="400"/>
      <c r="T32" s="400"/>
      <c r="U32" s="400"/>
      <c r="V32" s="400"/>
      <c r="W32" s="400"/>
      <c r="X32" s="400"/>
      <c r="Y32" s="400"/>
      <c r="Z32" s="400"/>
      <c r="AA32" s="400"/>
      <c r="AB32" s="400"/>
      <c r="AC32" s="400"/>
      <c r="AD32" s="400"/>
      <c r="AE32" s="400"/>
      <c r="AF32" s="400"/>
      <c r="AG32" s="400"/>
      <c r="AH32" s="400"/>
      <c r="AI32" s="400"/>
      <c r="AJ32" s="400"/>
      <c r="AK32" s="182" t="s">
        <v>54</v>
      </c>
      <c r="AL32" s="182"/>
      <c r="AM32" s="182"/>
      <c r="AN32" s="182"/>
      <c r="AO32" s="182"/>
      <c r="AP32" s="182"/>
      <c r="AQ32" s="182"/>
      <c r="AR32" s="182"/>
      <c r="AS32" s="182"/>
      <c r="AT32" s="182"/>
      <c r="AU32" s="182"/>
      <c r="AV32" s="182"/>
      <c r="AW32" s="182"/>
      <c r="AX32" s="182"/>
      <c r="AY32" s="182"/>
      <c r="AZ32" s="182"/>
      <c r="BA32" s="182"/>
      <c r="BB32" s="182"/>
      <c r="BJ32" s="131"/>
    </row>
    <row r="33" spans="1:62" ht="12" customHeight="1" x14ac:dyDescent="0.2">
      <c r="A33" s="447"/>
      <c r="B33" s="447"/>
      <c r="C33" s="447"/>
      <c r="D33" s="447"/>
      <c r="E33" s="447"/>
      <c r="F33" s="447"/>
      <c r="G33" s="447"/>
      <c r="H33" s="447"/>
      <c r="I33" s="447"/>
      <c r="J33" s="447"/>
      <c r="K33" s="447"/>
      <c r="L33" s="447"/>
      <c r="M33" s="447"/>
      <c r="N33" s="447"/>
      <c r="O33" s="447"/>
      <c r="P33" s="447"/>
      <c r="Q33" s="447"/>
      <c r="R33" s="447"/>
      <c r="S33" s="400"/>
      <c r="T33" s="400"/>
      <c r="U33" s="400"/>
      <c r="V33" s="400"/>
      <c r="W33" s="400"/>
      <c r="X33" s="400"/>
      <c r="Y33" s="400"/>
      <c r="Z33" s="400"/>
      <c r="AA33" s="400"/>
      <c r="AB33" s="400"/>
      <c r="AC33" s="400"/>
      <c r="AD33" s="400"/>
      <c r="AE33" s="400"/>
      <c r="AF33" s="400"/>
      <c r="AG33" s="400"/>
      <c r="AH33" s="400"/>
      <c r="AI33" s="400"/>
      <c r="AJ33" s="400"/>
      <c r="AK33" s="182" t="s">
        <v>257</v>
      </c>
      <c r="AL33" s="182"/>
      <c r="AM33" s="182"/>
      <c r="AN33" s="182"/>
      <c r="AO33" s="182"/>
      <c r="AP33" s="182"/>
      <c r="AQ33" s="182"/>
      <c r="AR33" s="182"/>
      <c r="AS33" s="182"/>
      <c r="AT33" s="182"/>
      <c r="AU33" s="182"/>
      <c r="AV33" s="182"/>
      <c r="AW33" s="182"/>
      <c r="AX33" s="182"/>
      <c r="AY33" s="182"/>
      <c r="AZ33" s="182"/>
      <c r="BA33" s="182"/>
      <c r="BB33" s="182"/>
      <c r="BJ33" s="131"/>
    </row>
    <row r="34" spans="1:62" ht="12" customHeight="1" x14ac:dyDescent="0.2">
      <c r="A34" s="447"/>
      <c r="B34" s="447"/>
      <c r="C34" s="447"/>
      <c r="D34" s="447"/>
      <c r="E34" s="447"/>
      <c r="F34" s="447"/>
      <c r="G34" s="447"/>
      <c r="H34" s="447"/>
      <c r="I34" s="447"/>
      <c r="J34" s="447"/>
      <c r="K34" s="447"/>
      <c r="L34" s="447"/>
      <c r="M34" s="447"/>
      <c r="N34" s="447"/>
      <c r="O34" s="447"/>
      <c r="P34" s="447"/>
      <c r="Q34" s="447"/>
      <c r="R34" s="447"/>
      <c r="S34" s="400"/>
      <c r="T34" s="400"/>
      <c r="U34" s="400"/>
      <c r="V34" s="400"/>
      <c r="W34" s="400"/>
      <c r="X34" s="400"/>
      <c r="Y34" s="400"/>
      <c r="Z34" s="400"/>
      <c r="AA34" s="400"/>
      <c r="AB34" s="400"/>
      <c r="AC34" s="400"/>
      <c r="AD34" s="400"/>
      <c r="AE34" s="400"/>
      <c r="AF34" s="400"/>
      <c r="AG34" s="400"/>
      <c r="AH34" s="400"/>
      <c r="AI34" s="400"/>
      <c r="AJ34" s="400"/>
      <c r="AK34" s="182" t="s">
        <v>238</v>
      </c>
      <c r="AL34" s="182"/>
      <c r="AM34" s="182"/>
      <c r="AN34" s="182"/>
      <c r="AO34" s="182"/>
      <c r="AP34" s="182"/>
      <c r="AQ34" s="182"/>
      <c r="AR34" s="182"/>
      <c r="AS34" s="182"/>
      <c r="AT34" s="182"/>
      <c r="AU34" s="182"/>
      <c r="AV34" s="182"/>
      <c r="AW34" s="182"/>
      <c r="AX34" s="182"/>
      <c r="AY34" s="182"/>
      <c r="AZ34" s="182"/>
      <c r="BA34" s="182"/>
      <c r="BB34" s="182"/>
      <c r="BJ34" s="131"/>
    </row>
    <row r="35" spans="1:62" ht="12" customHeight="1" x14ac:dyDescent="0.2">
      <c r="A35" s="447"/>
      <c r="B35" s="447"/>
      <c r="C35" s="447"/>
      <c r="D35" s="447"/>
      <c r="E35" s="447"/>
      <c r="F35" s="447"/>
      <c r="G35" s="447"/>
      <c r="H35" s="447"/>
      <c r="I35" s="447"/>
      <c r="J35" s="447"/>
      <c r="K35" s="447"/>
      <c r="L35" s="447"/>
      <c r="M35" s="447"/>
      <c r="N35" s="447"/>
      <c r="O35" s="447"/>
      <c r="P35" s="447"/>
      <c r="Q35" s="447"/>
      <c r="R35" s="447"/>
      <c r="S35" s="400"/>
      <c r="T35" s="400"/>
      <c r="U35" s="400"/>
      <c r="V35" s="400"/>
      <c r="W35" s="400"/>
      <c r="X35" s="400"/>
      <c r="Y35" s="400"/>
      <c r="Z35" s="400"/>
      <c r="AA35" s="400"/>
      <c r="AB35" s="400"/>
      <c r="AC35" s="400"/>
      <c r="AD35" s="400"/>
      <c r="AE35" s="400"/>
      <c r="AF35" s="400"/>
      <c r="AG35" s="400"/>
      <c r="AH35" s="400"/>
      <c r="AI35" s="400"/>
      <c r="AJ35" s="400"/>
      <c r="AK35" s="156"/>
      <c r="AL35" s="156"/>
      <c r="AM35" s="156"/>
      <c r="AN35" s="156"/>
      <c r="AO35" s="156"/>
      <c r="AP35" s="156"/>
      <c r="AQ35" s="156"/>
      <c r="AR35" s="156"/>
      <c r="AS35" s="156"/>
      <c r="AT35" s="156"/>
      <c r="AU35" s="156"/>
      <c r="AV35" s="156"/>
      <c r="AW35" s="156"/>
      <c r="AX35" s="156"/>
      <c r="AY35" s="156"/>
      <c r="AZ35" s="156"/>
      <c r="BA35" s="156"/>
      <c r="BB35" s="156"/>
    </row>
    <row r="36" spans="1:62" ht="12" customHeight="1" x14ac:dyDescent="0.2">
      <c r="A36" s="447"/>
      <c r="B36" s="447"/>
      <c r="C36" s="447"/>
      <c r="D36" s="447"/>
      <c r="E36" s="447"/>
      <c r="F36" s="447"/>
      <c r="G36" s="447"/>
      <c r="H36" s="447"/>
      <c r="I36" s="447"/>
      <c r="J36" s="447"/>
      <c r="K36" s="447"/>
      <c r="L36" s="447"/>
      <c r="M36" s="447"/>
      <c r="N36" s="447"/>
      <c r="O36" s="447"/>
      <c r="P36" s="447"/>
      <c r="Q36" s="447"/>
      <c r="R36" s="447"/>
      <c r="S36" s="400"/>
      <c r="T36" s="400"/>
      <c r="U36" s="400"/>
      <c r="V36" s="400"/>
      <c r="W36" s="400"/>
      <c r="X36" s="400"/>
      <c r="Y36" s="400"/>
      <c r="Z36" s="400"/>
      <c r="AA36" s="400"/>
      <c r="AB36" s="400"/>
      <c r="AC36" s="400"/>
      <c r="AD36" s="400"/>
      <c r="AE36" s="400"/>
      <c r="AF36" s="400"/>
      <c r="AG36" s="400"/>
      <c r="AH36" s="400"/>
      <c r="AI36" s="400"/>
      <c r="AJ36" s="400"/>
      <c r="AK36" s="156"/>
      <c r="AL36" s="156"/>
      <c r="AM36" s="156"/>
      <c r="AN36" s="156"/>
      <c r="AO36" s="156"/>
      <c r="AP36" s="156"/>
      <c r="AQ36" s="156"/>
      <c r="AR36" s="156"/>
      <c r="AS36" s="156"/>
      <c r="AT36" s="156"/>
      <c r="AU36" s="156"/>
      <c r="AV36" s="156"/>
      <c r="AW36" s="156"/>
      <c r="AX36" s="156"/>
      <c r="AY36" s="156"/>
      <c r="AZ36" s="156"/>
      <c r="BA36" s="156"/>
      <c r="BB36" s="156"/>
    </row>
    <row r="37" spans="1:62" ht="12" customHeight="1" x14ac:dyDescent="0.2">
      <c r="A37" s="447"/>
      <c r="B37" s="447"/>
      <c r="C37" s="447"/>
      <c r="D37" s="447"/>
      <c r="E37" s="447"/>
      <c r="F37" s="447"/>
      <c r="G37" s="447"/>
      <c r="H37" s="447"/>
      <c r="I37" s="447"/>
      <c r="J37" s="447"/>
      <c r="K37" s="447"/>
      <c r="L37" s="447"/>
      <c r="M37" s="447"/>
      <c r="N37" s="447"/>
      <c r="O37" s="447"/>
      <c r="P37" s="447"/>
      <c r="Q37" s="447"/>
      <c r="R37" s="447"/>
      <c r="S37" s="400"/>
      <c r="T37" s="400"/>
      <c r="U37" s="400"/>
      <c r="V37" s="400"/>
      <c r="W37" s="400"/>
      <c r="X37" s="400"/>
      <c r="Y37" s="400"/>
      <c r="Z37" s="400"/>
      <c r="AA37" s="400"/>
      <c r="AB37" s="400"/>
      <c r="AC37" s="400"/>
      <c r="AD37" s="400"/>
      <c r="AE37" s="400"/>
      <c r="AF37" s="400"/>
      <c r="AG37" s="400"/>
      <c r="AH37" s="400"/>
      <c r="AI37" s="400"/>
      <c r="AJ37" s="400"/>
      <c r="AK37" s="156"/>
      <c r="AL37" s="156"/>
      <c r="AM37" s="156"/>
      <c r="AN37" s="156"/>
      <c r="AO37" s="156"/>
      <c r="AP37" s="156"/>
      <c r="AQ37" s="156"/>
      <c r="AR37" s="156"/>
      <c r="AS37" s="156"/>
      <c r="AT37" s="156"/>
      <c r="AU37" s="156"/>
      <c r="AV37" s="156"/>
      <c r="AW37" s="156"/>
      <c r="AX37" s="156"/>
      <c r="AY37" s="156"/>
      <c r="AZ37" s="156"/>
      <c r="BA37" s="156"/>
      <c r="BB37" s="156"/>
    </row>
    <row r="38" spans="1:62" ht="12" customHeight="1" x14ac:dyDescent="0.2">
      <c r="A38" s="447"/>
      <c r="B38" s="447"/>
      <c r="C38" s="447"/>
      <c r="D38" s="447"/>
      <c r="E38" s="447"/>
      <c r="F38" s="447"/>
      <c r="G38" s="447"/>
      <c r="H38" s="447"/>
      <c r="I38" s="447"/>
      <c r="J38" s="447"/>
      <c r="K38" s="447"/>
      <c r="L38" s="447"/>
      <c r="M38" s="447"/>
      <c r="N38" s="447"/>
      <c r="O38" s="447"/>
      <c r="P38" s="447"/>
      <c r="Q38" s="447"/>
      <c r="R38" s="447"/>
      <c r="S38" s="400"/>
      <c r="T38" s="400"/>
      <c r="U38" s="400"/>
      <c r="V38" s="400"/>
      <c r="W38" s="400"/>
      <c r="X38" s="400"/>
      <c r="Y38" s="400"/>
      <c r="Z38" s="400"/>
      <c r="AA38" s="400"/>
      <c r="AB38" s="400"/>
      <c r="AC38" s="400"/>
      <c r="AD38" s="400"/>
      <c r="AE38" s="400"/>
      <c r="AF38" s="400"/>
      <c r="AG38" s="400"/>
      <c r="AH38" s="400"/>
      <c r="AI38" s="400"/>
      <c r="AJ38" s="400"/>
      <c r="AK38" s="156"/>
      <c r="AL38" s="156"/>
      <c r="AM38" s="156"/>
      <c r="AN38" s="156"/>
      <c r="AO38" s="156"/>
      <c r="AP38" s="156"/>
      <c r="AQ38" s="156"/>
      <c r="AR38" s="156"/>
      <c r="AS38" s="156"/>
      <c r="AT38" s="156"/>
      <c r="AU38" s="156"/>
      <c r="AV38" s="156"/>
      <c r="AW38" s="156"/>
      <c r="AX38" s="156"/>
      <c r="AY38" s="156"/>
      <c r="AZ38" s="156"/>
      <c r="BA38" s="156"/>
      <c r="BB38" s="156"/>
    </row>
    <row r="39" spans="1:62" ht="12" customHeight="1" x14ac:dyDescent="0.2">
      <c r="A39" s="447"/>
      <c r="B39" s="447"/>
      <c r="C39" s="447"/>
      <c r="D39" s="447"/>
      <c r="E39" s="447"/>
      <c r="F39" s="447"/>
      <c r="G39" s="447"/>
      <c r="H39" s="447"/>
      <c r="I39" s="447"/>
      <c r="J39" s="447"/>
      <c r="K39" s="447"/>
      <c r="L39" s="447"/>
      <c r="M39" s="447"/>
      <c r="N39" s="447"/>
      <c r="O39" s="447"/>
      <c r="P39" s="447"/>
      <c r="Q39" s="447"/>
      <c r="R39" s="447"/>
      <c r="S39" s="400"/>
      <c r="T39" s="400"/>
      <c r="U39" s="400"/>
      <c r="V39" s="400"/>
      <c r="W39" s="400"/>
      <c r="X39" s="400"/>
      <c r="Y39" s="400"/>
      <c r="Z39" s="400"/>
      <c r="AA39" s="400"/>
      <c r="AB39" s="400"/>
      <c r="AC39" s="400"/>
      <c r="AD39" s="400"/>
      <c r="AE39" s="400"/>
      <c r="AF39" s="400"/>
      <c r="AG39" s="400"/>
      <c r="AH39" s="400"/>
      <c r="AI39" s="400"/>
      <c r="AJ39" s="400"/>
      <c r="AK39" s="156"/>
      <c r="AL39" s="156"/>
      <c r="AM39" s="156"/>
      <c r="AN39" s="156"/>
      <c r="AO39" s="156"/>
      <c r="AP39" s="156"/>
      <c r="AQ39" s="156"/>
      <c r="AR39" s="156"/>
      <c r="AS39" s="156"/>
      <c r="AT39" s="156"/>
      <c r="AU39" s="156"/>
      <c r="AV39" s="156"/>
      <c r="AW39" s="156"/>
      <c r="AX39" s="156"/>
      <c r="AY39" s="156"/>
      <c r="AZ39" s="156"/>
      <c r="BA39" s="156"/>
      <c r="BB39" s="156"/>
    </row>
    <row r="40" spans="1:62" ht="12" customHeight="1" x14ac:dyDescent="0.2">
      <c r="A40" s="447"/>
      <c r="B40" s="447"/>
      <c r="C40" s="447"/>
      <c r="D40" s="447"/>
      <c r="E40" s="447"/>
      <c r="F40" s="447"/>
      <c r="G40" s="447"/>
      <c r="H40" s="447"/>
      <c r="I40" s="447"/>
      <c r="J40" s="447"/>
      <c r="K40" s="447"/>
      <c r="L40" s="447"/>
      <c r="M40" s="447"/>
      <c r="N40" s="447"/>
      <c r="O40" s="447"/>
      <c r="P40" s="447"/>
      <c r="Q40" s="447"/>
      <c r="R40" s="447"/>
      <c r="S40" s="400"/>
      <c r="T40" s="400"/>
      <c r="U40" s="400"/>
      <c r="V40" s="400"/>
      <c r="W40" s="400"/>
      <c r="X40" s="400"/>
      <c r="Y40" s="400"/>
      <c r="Z40" s="400"/>
      <c r="AA40" s="400"/>
      <c r="AB40" s="400"/>
      <c r="AC40" s="400"/>
      <c r="AD40" s="400"/>
      <c r="AE40" s="400"/>
      <c r="AF40" s="400"/>
      <c r="AG40" s="400"/>
      <c r="AH40" s="400"/>
      <c r="AI40" s="400"/>
      <c r="AJ40" s="400"/>
      <c r="AK40" s="156"/>
      <c r="AL40" s="156"/>
      <c r="AM40" s="156"/>
      <c r="AN40" s="156"/>
      <c r="AO40" s="156"/>
      <c r="AP40" s="156"/>
      <c r="AQ40" s="156"/>
      <c r="AR40" s="156"/>
      <c r="AS40" s="156"/>
      <c r="AT40" s="156"/>
      <c r="AU40" s="156"/>
      <c r="AV40" s="156"/>
      <c r="AW40" s="156"/>
      <c r="AX40" s="156"/>
      <c r="AY40" s="156"/>
      <c r="AZ40" s="156"/>
      <c r="BA40" s="156"/>
      <c r="BB40" s="156"/>
    </row>
    <row r="41" spans="1:62" ht="12" customHeight="1" x14ac:dyDescent="0.2">
      <c r="A41" s="447"/>
      <c r="B41" s="447"/>
      <c r="C41" s="447"/>
      <c r="D41" s="447"/>
      <c r="E41" s="447"/>
      <c r="F41" s="447"/>
      <c r="G41" s="447"/>
      <c r="H41" s="447"/>
      <c r="I41" s="447"/>
      <c r="J41" s="447"/>
      <c r="K41" s="447"/>
      <c r="L41" s="447"/>
      <c r="M41" s="447"/>
      <c r="N41" s="447"/>
      <c r="O41" s="447"/>
      <c r="P41" s="447"/>
      <c r="Q41" s="447"/>
      <c r="R41" s="447"/>
      <c r="S41" s="400"/>
      <c r="T41" s="400"/>
      <c r="U41" s="400"/>
      <c r="V41" s="400"/>
      <c r="W41" s="400"/>
      <c r="X41" s="400"/>
      <c r="Y41" s="400"/>
      <c r="Z41" s="400"/>
      <c r="AA41" s="400"/>
      <c r="AB41" s="400"/>
      <c r="AC41" s="400"/>
      <c r="AD41" s="400"/>
      <c r="AE41" s="400"/>
      <c r="AF41" s="400"/>
      <c r="AG41" s="400"/>
      <c r="AH41" s="400"/>
      <c r="AI41" s="400"/>
      <c r="AJ41" s="400"/>
      <c r="AK41" s="156"/>
      <c r="AL41" s="156"/>
      <c r="AM41" s="156"/>
      <c r="AN41" s="156"/>
      <c r="AO41" s="156"/>
      <c r="AP41" s="156"/>
      <c r="AQ41" s="156"/>
      <c r="AR41" s="156"/>
      <c r="AS41" s="156"/>
      <c r="AT41" s="156"/>
      <c r="AU41" s="156"/>
      <c r="AV41" s="156"/>
      <c r="AW41" s="156"/>
      <c r="AX41" s="156"/>
      <c r="AY41" s="156"/>
      <c r="AZ41" s="156"/>
      <c r="BA41" s="156"/>
      <c r="BB41" s="156"/>
    </row>
    <row r="42" spans="1:62" ht="12" customHeight="1" x14ac:dyDescent="0.2">
      <c r="A42" s="447"/>
      <c r="B42" s="447"/>
      <c r="C42" s="447"/>
      <c r="D42" s="447"/>
      <c r="E42" s="447"/>
      <c r="F42" s="447"/>
      <c r="G42" s="447"/>
      <c r="H42" s="447"/>
      <c r="I42" s="447"/>
      <c r="J42" s="447"/>
      <c r="K42" s="447"/>
      <c r="L42" s="447"/>
      <c r="M42" s="447"/>
      <c r="N42" s="447"/>
      <c r="O42" s="447"/>
      <c r="P42" s="447"/>
      <c r="Q42" s="447"/>
      <c r="R42" s="447"/>
      <c r="S42" s="400"/>
      <c r="T42" s="400"/>
      <c r="U42" s="400"/>
      <c r="V42" s="400"/>
      <c r="W42" s="400"/>
      <c r="X42" s="400"/>
      <c r="Y42" s="400"/>
      <c r="Z42" s="400"/>
      <c r="AA42" s="400"/>
      <c r="AB42" s="400"/>
      <c r="AC42" s="400"/>
      <c r="AD42" s="400"/>
      <c r="AE42" s="400"/>
      <c r="AF42" s="400"/>
      <c r="AG42" s="400"/>
      <c r="AH42" s="400"/>
      <c r="AI42" s="400"/>
      <c r="AJ42" s="400"/>
      <c r="AK42" s="156"/>
      <c r="AL42" s="156"/>
      <c r="AM42" s="156"/>
      <c r="AN42" s="156"/>
      <c r="AO42" s="156"/>
      <c r="AP42" s="156"/>
      <c r="AQ42" s="156"/>
      <c r="AR42" s="156"/>
      <c r="AS42" s="156"/>
      <c r="AT42" s="156"/>
      <c r="AU42" s="156"/>
      <c r="AV42" s="156"/>
      <c r="AW42" s="156"/>
      <c r="AX42" s="156"/>
      <c r="AY42" s="156"/>
      <c r="AZ42" s="156"/>
      <c r="BA42" s="156"/>
      <c r="BB42" s="156"/>
    </row>
    <row r="43" spans="1:62" ht="12" customHeight="1" x14ac:dyDescent="0.2">
      <c r="A43" s="447"/>
      <c r="B43" s="447"/>
      <c r="C43" s="447"/>
      <c r="D43" s="447"/>
      <c r="E43" s="447"/>
      <c r="F43" s="447"/>
      <c r="G43" s="447"/>
      <c r="H43" s="447"/>
      <c r="I43" s="447"/>
      <c r="J43" s="447"/>
      <c r="K43" s="447"/>
      <c r="L43" s="447"/>
      <c r="M43" s="447"/>
      <c r="N43" s="447"/>
      <c r="O43" s="447"/>
      <c r="P43" s="447"/>
      <c r="Q43" s="447"/>
      <c r="R43" s="447"/>
      <c r="S43" s="400"/>
      <c r="T43" s="400"/>
      <c r="U43" s="400"/>
      <c r="V43" s="400"/>
      <c r="W43" s="400"/>
      <c r="X43" s="400"/>
      <c r="Y43" s="400"/>
      <c r="Z43" s="400"/>
      <c r="AA43" s="400"/>
      <c r="AB43" s="400"/>
      <c r="AC43" s="400"/>
      <c r="AD43" s="400"/>
      <c r="AE43" s="400"/>
      <c r="AF43" s="400"/>
      <c r="AG43" s="400"/>
      <c r="AH43" s="400"/>
      <c r="AI43" s="400"/>
      <c r="AJ43" s="400"/>
      <c r="AK43" s="156"/>
      <c r="AL43" s="156"/>
      <c r="AM43" s="156"/>
      <c r="AN43" s="156"/>
      <c r="AO43" s="156"/>
      <c r="AP43" s="156"/>
      <c r="AQ43" s="156"/>
      <c r="AR43" s="156"/>
      <c r="AS43" s="156"/>
      <c r="AT43" s="156"/>
      <c r="AU43" s="156"/>
      <c r="AV43" s="156"/>
      <c r="AW43" s="156"/>
      <c r="AX43" s="156"/>
      <c r="AY43" s="156"/>
      <c r="AZ43" s="156"/>
      <c r="BA43" s="156"/>
      <c r="BB43" s="156"/>
    </row>
    <row r="44" spans="1:62" ht="12" customHeight="1" x14ac:dyDescent="0.2">
      <c r="A44" s="447"/>
      <c r="B44" s="447"/>
      <c r="C44" s="447"/>
      <c r="D44" s="447"/>
      <c r="E44" s="447"/>
      <c r="F44" s="447"/>
      <c r="G44" s="447"/>
      <c r="H44" s="447"/>
      <c r="I44" s="447"/>
      <c r="J44" s="447"/>
      <c r="K44" s="447"/>
      <c r="L44" s="447"/>
      <c r="M44" s="447"/>
      <c r="N44" s="447"/>
      <c r="O44" s="447"/>
      <c r="P44" s="447"/>
      <c r="Q44" s="447"/>
      <c r="R44" s="447"/>
      <c r="S44" s="400"/>
      <c r="T44" s="400"/>
      <c r="U44" s="400"/>
      <c r="V44" s="400"/>
      <c r="W44" s="400"/>
      <c r="X44" s="400"/>
      <c r="Y44" s="400"/>
      <c r="Z44" s="400"/>
      <c r="AA44" s="400"/>
      <c r="AB44" s="400"/>
      <c r="AC44" s="400"/>
      <c r="AD44" s="400"/>
      <c r="AE44" s="400"/>
      <c r="AF44" s="400"/>
      <c r="AG44" s="400"/>
      <c r="AH44" s="400"/>
      <c r="AI44" s="400"/>
      <c r="AJ44" s="400"/>
      <c r="AK44" s="156"/>
      <c r="AL44" s="156"/>
      <c r="AM44" s="156"/>
      <c r="AN44" s="156"/>
      <c r="AO44" s="156"/>
      <c r="AP44" s="156"/>
      <c r="AQ44" s="156"/>
      <c r="AR44" s="156"/>
      <c r="AS44" s="156"/>
      <c r="AT44" s="156"/>
      <c r="AU44" s="156"/>
      <c r="AV44" s="156"/>
      <c r="AW44" s="156"/>
      <c r="AX44" s="156"/>
      <c r="AY44" s="156"/>
      <c r="AZ44" s="156"/>
      <c r="BA44" s="156"/>
      <c r="BB44" s="156"/>
    </row>
    <row r="45" spans="1:62" ht="12" customHeight="1" x14ac:dyDescent="0.2">
      <c r="A45" s="447"/>
      <c r="B45" s="447"/>
      <c r="C45" s="447"/>
      <c r="D45" s="447"/>
      <c r="E45" s="447"/>
      <c r="F45" s="447"/>
      <c r="G45" s="447"/>
      <c r="H45" s="447"/>
      <c r="I45" s="447"/>
      <c r="J45" s="447"/>
      <c r="K45" s="447"/>
      <c r="L45" s="447"/>
      <c r="M45" s="447"/>
      <c r="N45" s="447"/>
      <c r="O45" s="447"/>
      <c r="P45" s="447"/>
      <c r="Q45" s="447"/>
      <c r="R45" s="447"/>
      <c r="S45" s="400"/>
      <c r="T45" s="400"/>
      <c r="U45" s="400"/>
      <c r="V45" s="400"/>
      <c r="W45" s="400"/>
      <c r="X45" s="400"/>
      <c r="Y45" s="400"/>
      <c r="Z45" s="400"/>
      <c r="AA45" s="400"/>
      <c r="AB45" s="400"/>
      <c r="AC45" s="400"/>
      <c r="AD45" s="400"/>
      <c r="AE45" s="400"/>
      <c r="AF45" s="400"/>
      <c r="AG45" s="400"/>
      <c r="AH45" s="400"/>
      <c r="AI45" s="400"/>
      <c r="AJ45" s="400"/>
      <c r="AK45" s="156"/>
      <c r="AL45" s="156"/>
      <c r="AM45" s="156"/>
      <c r="AN45" s="156"/>
      <c r="AO45" s="156"/>
      <c r="AP45" s="156"/>
      <c r="AQ45" s="156"/>
      <c r="AR45" s="156"/>
      <c r="AS45" s="156"/>
      <c r="AT45" s="156"/>
      <c r="AU45" s="156"/>
      <c r="AV45" s="156"/>
      <c r="AW45" s="156"/>
      <c r="AX45" s="156"/>
      <c r="AY45" s="156"/>
      <c r="AZ45" s="156"/>
      <c r="BA45" s="156"/>
      <c r="BB45" s="156"/>
    </row>
    <row r="46" spans="1:62" ht="12" customHeight="1" x14ac:dyDescent="0.2">
      <c r="A46" s="447"/>
      <c r="B46" s="447"/>
      <c r="C46" s="447"/>
      <c r="D46" s="447"/>
      <c r="E46" s="447"/>
      <c r="F46" s="447"/>
      <c r="G46" s="447"/>
      <c r="H46" s="447"/>
      <c r="I46" s="447"/>
      <c r="J46" s="447"/>
      <c r="K46" s="447"/>
      <c r="L46" s="447"/>
      <c r="M46" s="447"/>
      <c r="N46" s="447"/>
      <c r="O46" s="447"/>
      <c r="P46" s="447"/>
      <c r="Q46" s="447"/>
      <c r="R46" s="447"/>
      <c r="S46" s="400"/>
      <c r="T46" s="400"/>
      <c r="U46" s="400"/>
      <c r="V46" s="400"/>
      <c r="W46" s="400"/>
      <c r="X46" s="400"/>
      <c r="Y46" s="400"/>
      <c r="Z46" s="400"/>
      <c r="AA46" s="400"/>
      <c r="AB46" s="400"/>
      <c r="AC46" s="400"/>
      <c r="AD46" s="400"/>
      <c r="AE46" s="400"/>
      <c r="AF46" s="400"/>
      <c r="AG46" s="400"/>
      <c r="AH46" s="400"/>
      <c r="AI46" s="400"/>
      <c r="AJ46" s="400"/>
      <c r="AK46" s="156"/>
      <c r="AL46" s="156"/>
      <c r="AM46" s="156"/>
      <c r="AN46" s="156"/>
      <c r="AO46" s="156"/>
      <c r="AP46" s="156"/>
      <c r="AQ46" s="156"/>
      <c r="AR46" s="156"/>
      <c r="AS46" s="156"/>
      <c r="AT46" s="156"/>
      <c r="AU46" s="156"/>
      <c r="AV46" s="156"/>
      <c r="AW46" s="156"/>
      <c r="AX46" s="156"/>
      <c r="AY46" s="156"/>
      <c r="AZ46" s="156"/>
      <c r="BA46" s="156"/>
      <c r="BB46" s="156"/>
    </row>
    <row r="47" spans="1:62" ht="12" customHeight="1" x14ac:dyDescent="0.2">
      <c r="A47" s="447"/>
      <c r="B47" s="447"/>
      <c r="C47" s="447"/>
      <c r="D47" s="447"/>
      <c r="E47" s="447"/>
      <c r="F47" s="447"/>
      <c r="G47" s="447"/>
      <c r="H47" s="447"/>
      <c r="I47" s="447"/>
      <c r="J47" s="447"/>
      <c r="K47" s="447"/>
      <c r="L47" s="447"/>
      <c r="M47" s="447"/>
      <c r="N47" s="447"/>
      <c r="O47" s="447"/>
      <c r="P47" s="447"/>
      <c r="Q47" s="447"/>
      <c r="R47" s="447"/>
      <c r="S47" s="400"/>
      <c r="T47" s="400"/>
      <c r="U47" s="400"/>
      <c r="V47" s="400"/>
      <c r="W47" s="400"/>
      <c r="X47" s="400"/>
      <c r="Y47" s="400"/>
      <c r="Z47" s="400"/>
      <c r="AA47" s="400"/>
      <c r="AB47" s="400"/>
      <c r="AC47" s="400"/>
      <c r="AD47" s="400"/>
      <c r="AE47" s="400"/>
      <c r="AF47" s="400"/>
      <c r="AG47" s="400"/>
      <c r="AH47" s="400"/>
      <c r="AI47" s="400"/>
      <c r="AJ47" s="400"/>
      <c r="AK47" s="156"/>
      <c r="AL47" s="156"/>
      <c r="AM47" s="156"/>
      <c r="AN47" s="156"/>
      <c r="AO47" s="156"/>
      <c r="AP47" s="156"/>
      <c r="AQ47" s="156"/>
      <c r="AR47" s="156"/>
      <c r="AS47" s="156"/>
      <c r="AT47" s="156"/>
      <c r="AU47" s="156"/>
      <c r="AV47" s="156"/>
      <c r="AW47" s="156"/>
      <c r="AX47" s="156"/>
      <c r="AY47" s="156"/>
      <c r="AZ47" s="156"/>
      <c r="BA47" s="156"/>
      <c r="BB47" s="156"/>
    </row>
    <row r="48" spans="1:62" ht="12" customHeight="1" x14ac:dyDescent="0.2">
      <c r="A48" s="447"/>
      <c r="B48" s="447"/>
      <c r="C48" s="447"/>
      <c r="D48" s="447"/>
      <c r="E48" s="447"/>
      <c r="F48" s="447"/>
      <c r="G48" s="447"/>
      <c r="H48" s="447"/>
      <c r="I48" s="447"/>
      <c r="J48" s="447"/>
      <c r="K48" s="447"/>
      <c r="L48" s="447"/>
      <c r="M48" s="447"/>
      <c r="N48" s="447"/>
      <c r="O48" s="447"/>
      <c r="P48" s="447"/>
      <c r="Q48" s="447"/>
      <c r="R48" s="447"/>
      <c r="S48" s="400"/>
      <c r="T48" s="400"/>
      <c r="U48" s="400"/>
      <c r="V48" s="400"/>
      <c r="W48" s="400"/>
      <c r="X48" s="400"/>
      <c r="Y48" s="400"/>
      <c r="Z48" s="400"/>
      <c r="AA48" s="400"/>
      <c r="AB48" s="400"/>
      <c r="AC48" s="400"/>
      <c r="AD48" s="400"/>
      <c r="AE48" s="400"/>
      <c r="AF48" s="400"/>
      <c r="AG48" s="400"/>
      <c r="AH48" s="400"/>
      <c r="AI48" s="400"/>
      <c r="AJ48" s="400"/>
      <c r="AK48" s="156"/>
      <c r="AL48" s="156"/>
      <c r="AM48" s="156"/>
      <c r="AN48" s="156"/>
      <c r="AO48" s="156"/>
      <c r="AP48" s="156"/>
      <c r="AQ48" s="156"/>
      <c r="AR48" s="156"/>
      <c r="AS48" s="156"/>
      <c r="AT48" s="156"/>
      <c r="AU48" s="156"/>
      <c r="AV48" s="156"/>
      <c r="AW48" s="156"/>
      <c r="AX48" s="156"/>
      <c r="AY48" s="156"/>
      <c r="AZ48" s="156"/>
      <c r="BA48" s="156"/>
      <c r="BB48" s="156"/>
    </row>
    <row r="49" spans="1:54" ht="12" customHeight="1" x14ac:dyDescent="0.2">
      <c r="A49" s="447"/>
      <c r="B49" s="447"/>
      <c r="C49" s="447"/>
      <c r="D49" s="447"/>
      <c r="E49" s="447"/>
      <c r="F49" s="447"/>
      <c r="G49" s="447"/>
      <c r="H49" s="447"/>
      <c r="I49" s="447"/>
      <c r="J49" s="447"/>
      <c r="K49" s="447"/>
      <c r="L49" s="447"/>
      <c r="M49" s="447"/>
      <c r="N49" s="447"/>
      <c r="O49" s="447"/>
      <c r="P49" s="447"/>
      <c r="Q49" s="447"/>
      <c r="R49" s="447"/>
      <c r="S49" s="400"/>
      <c r="T49" s="400"/>
      <c r="U49" s="400"/>
      <c r="V49" s="400"/>
      <c r="W49" s="400"/>
      <c r="X49" s="400"/>
      <c r="Y49" s="400"/>
      <c r="Z49" s="400"/>
      <c r="AA49" s="400"/>
      <c r="AB49" s="400"/>
      <c r="AC49" s="400"/>
      <c r="AD49" s="400"/>
      <c r="AE49" s="400"/>
      <c r="AF49" s="400"/>
      <c r="AG49" s="400"/>
      <c r="AH49" s="400"/>
      <c r="AI49" s="400"/>
      <c r="AJ49" s="400"/>
      <c r="AK49" s="156"/>
      <c r="AL49" s="156"/>
      <c r="AM49" s="156"/>
      <c r="AN49" s="156"/>
      <c r="AO49" s="156"/>
      <c r="AP49" s="156"/>
      <c r="AQ49" s="156"/>
      <c r="AR49" s="156"/>
      <c r="AS49" s="156"/>
      <c r="AT49" s="156"/>
      <c r="AU49" s="156"/>
      <c r="AV49" s="156"/>
      <c r="AW49" s="156"/>
      <c r="AX49" s="156"/>
      <c r="AY49" s="156"/>
      <c r="AZ49" s="156"/>
      <c r="BA49" s="156"/>
      <c r="BB49" s="156"/>
    </row>
    <row r="50" spans="1:54" ht="12" customHeight="1" thickBot="1" x14ac:dyDescent="0.25">
      <c r="A50" s="450"/>
      <c r="B50" s="450"/>
      <c r="C50" s="450"/>
      <c r="D50" s="450"/>
      <c r="E50" s="450"/>
      <c r="F50" s="450"/>
      <c r="G50" s="450"/>
      <c r="H50" s="450"/>
      <c r="I50" s="450"/>
      <c r="J50" s="450"/>
      <c r="K50" s="450"/>
      <c r="L50" s="450"/>
      <c r="M50" s="450"/>
      <c r="N50" s="450"/>
      <c r="O50" s="450"/>
      <c r="P50" s="450"/>
      <c r="Q50" s="450"/>
      <c r="R50" s="450"/>
      <c r="S50" s="451"/>
      <c r="T50" s="451"/>
      <c r="U50" s="451"/>
      <c r="V50" s="451"/>
      <c r="W50" s="451"/>
      <c r="X50" s="451"/>
      <c r="Y50" s="451"/>
      <c r="Z50" s="451"/>
      <c r="AA50" s="451"/>
      <c r="AB50" s="451"/>
      <c r="AC50" s="451"/>
      <c r="AD50" s="451"/>
      <c r="AE50" s="451"/>
      <c r="AF50" s="451"/>
      <c r="AG50" s="451"/>
      <c r="AH50" s="451"/>
      <c r="AI50" s="451"/>
      <c r="AJ50" s="451"/>
      <c r="AK50" s="448"/>
      <c r="AL50" s="448"/>
      <c r="AM50" s="448"/>
      <c r="AN50" s="448"/>
      <c r="AO50" s="448"/>
      <c r="AP50" s="448"/>
      <c r="AQ50" s="448"/>
      <c r="AR50" s="448"/>
      <c r="AS50" s="448"/>
      <c r="AT50" s="448"/>
      <c r="AU50" s="448"/>
      <c r="AV50" s="448"/>
      <c r="AW50" s="448"/>
      <c r="AX50" s="448"/>
      <c r="AY50" s="448"/>
      <c r="AZ50" s="448"/>
      <c r="BA50" s="448"/>
      <c r="BB50" s="448"/>
    </row>
    <row r="51" spans="1:54" ht="12" customHeight="1" x14ac:dyDescent="0.2">
      <c r="A51" s="336" t="s">
        <v>35</v>
      </c>
      <c r="B51" s="336"/>
      <c r="C51" s="336"/>
      <c r="D51" s="336"/>
      <c r="E51" s="336"/>
      <c r="F51" s="336"/>
      <c r="G51" s="336"/>
      <c r="H51" s="336"/>
      <c r="I51" s="336"/>
      <c r="J51" s="336"/>
      <c r="K51" s="336"/>
      <c r="L51" s="336"/>
      <c r="M51" s="336"/>
      <c r="N51" s="336"/>
      <c r="O51" s="336"/>
      <c r="P51" s="336"/>
      <c r="Q51" s="336"/>
      <c r="R51" s="336"/>
      <c r="S51" s="336"/>
      <c r="T51" s="336"/>
      <c r="U51" s="336"/>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336"/>
      <c r="BB51" s="336"/>
    </row>
    <row r="52" spans="1:54" ht="12" customHeight="1" x14ac:dyDescent="0.2">
      <c r="A52" s="219"/>
      <c r="B52" s="219"/>
      <c r="C52" s="219"/>
      <c r="D52" s="219"/>
      <c r="E52" s="219"/>
      <c r="F52" s="219"/>
      <c r="G52" s="219"/>
      <c r="H52" s="219"/>
      <c r="I52" s="219"/>
      <c r="J52" s="219"/>
      <c r="K52" s="219"/>
      <c r="L52" s="219"/>
      <c r="M52" s="219"/>
      <c r="N52" s="219"/>
      <c r="O52" s="219"/>
      <c r="P52" s="219"/>
      <c r="Q52" s="219"/>
      <c r="R52" s="219"/>
      <c r="S52" s="219"/>
      <c r="T52" s="219"/>
      <c r="U52" s="219"/>
      <c r="V52" s="219"/>
      <c r="W52" s="219"/>
      <c r="X52" s="219"/>
      <c r="Y52" s="219"/>
      <c r="Z52" s="219"/>
      <c r="AA52" s="219"/>
      <c r="AB52" s="219"/>
      <c r="AC52" s="219"/>
      <c r="AD52" s="219"/>
      <c r="AE52" s="219"/>
      <c r="AF52" s="219"/>
      <c r="AG52" s="219"/>
      <c r="AH52" s="219"/>
      <c r="AI52" s="219"/>
      <c r="AJ52" s="219"/>
      <c r="AK52" s="219"/>
      <c r="AL52" s="219"/>
      <c r="AM52" s="219"/>
      <c r="AN52" s="219"/>
      <c r="AO52" s="219"/>
      <c r="AP52" s="219"/>
      <c r="AQ52" s="219"/>
      <c r="AR52" s="219"/>
      <c r="AS52" s="219"/>
      <c r="AT52" s="219"/>
      <c r="AU52" s="219"/>
      <c r="AV52" s="219"/>
      <c r="AW52" s="219"/>
      <c r="AX52" s="219"/>
      <c r="AY52" s="219"/>
      <c r="AZ52" s="219"/>
      <c r="BA52" s="219"/>
      <c r="BB52" s="219"/>
    </row>
    <row r="53" spans="1:54" ht="12" customHeight="1" x14ac:dyDescent="0.2">
      <c r="A53" s="219"/>
      <c r="B53" s="219"/>
      <c r="C53" s="219"/>
      <c r="D53" s="219"/>
      <c r="E53" s="219"/>
      <c r="F53" s="219"/>
      <c r="G53" s="219"/>
      <c r="H53" s="219"/>
      <c r="I53" s="219"/>
      <c r="J53" s="219"/>
      <c r="K53" s="219"/>
      <c r="L53" s="219"/>
      <c r="M53" s="219"/>
      <c r="N53" s="219"/>
      <c r="O53" s="219"/>
      <c r="P53" s="219"/>
      <c r="Q53" s="219"/>
      <c r="R53" s="219"/>
      <c r="S53" s="219"/>
      <c r="T53" s="219"/>
      <c r="U53" s="219"/>
      <c r="V53" s="219"/>
      <c r="W53" s="219"/>
      <c r="X53" s="219"/>
      <c r="Y53" s="219"/>
      <c r="Z53" s="219"/>
      <c r="AA53" s="219"/>
      <c r="AB53" s="219"/>
      <c r="AC53" s="219"/>
      <c r="AD53" s="219"/>
      <c r="AE53" s="219"/>
      <c r="AF53" s="219"/>
      <c r="AG53" s="219"/>
      <c r="AH53" s="219"/>
      <c r="AI53" s="219"/>
      <c r="AJ53" s="219"/>
      <c r="AK53" s="219"/>
      <c r="AL53" s="219"/>
      <c r="AM53" s="219"/>
      <c r="AN53" s="219"/>
      <c r="AO53" s="219"/>
      <c r="AP53" s="219"/>
      <c r="AQ53" s="219"/>
      <c r="AR53" s="219"/>
      <c r="AS53" s="219"/>
      <c r="AT53" s="219"/>
      <c r="AU53" s="219"/>
      <c r="AV53" s="219"/>
      <c r="AW53" s="219"/>
      <c r="AX53" s="219"/>
      <c r="AY53" s="219"/>
      <c r="AZ53" s="219"/>
      <c r="BA53" s="219"/>
      <c r="BB53" s="219"/>
    </row>
    <row r="54" spans="1:54" ht="12" customHeight="1" x14ac:dyDescent="0.2">
      <c r="A54" s="219"/>
      <c r="B54" s="219"/>
      <c r="C54" s="219"/>
      <c r="D54" s="219"/>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19"/>
      <c r="AI54" s="219"/>
      <c r="AJ54" s="219"/>
      <c r="AK54" s="219"/>
      <c r="AL54" s="219"/>
      <c r="AM54" s="219"/>
      <c r="AN54" s="219"/>
      <c r="AO54" s="219"/>
      <c r="AP54" s="219"/>
      <c r="AQ54" s="219"/>
      <c r="AR54" s="219"/>
      <c r="AS54" s="219"/>
      <c r="AT54" s="219"/>
      <c r="AU54" s="219"/>
      <c r="AV54" s="219"/>
      <c r="AW54" s="219"/>
      <c r="AX54" s="219"/>
      <c r="AY54" s="219"/>
      <c r="AZ54" s="219"/>
      <c r="BA54" s="219"/>
      <c r="BB54" s="219"/>
    </row>
    <row r="55" spans="1:54" ht="12" customHeight="1" x14ac:dyDescent="0.2">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row>
    <row r="56" spans="1:54" ht="12" customHeight="1" x14ac:dyDescent="0.2">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19"/>
      <c r="AI56" s="219"/>
      <c r="AJ56" s="219"/>
      <c r="AK56" s="219"/>
      <c r="AL56" s="219"/>
      <c r="AM56" s="219"/>
      <c r="AN56" s="219"/>
      <c r="AO56" s="219"/>
      <c r="AP56" s="219"/>
      <c r="AQ56" s="219"/>
      <c r="AR56" s="219"/>
      <c r="AS56" s="219"/>
      <c r="AT56" s="219"/>
      <c r="AU56" s="219"/>
      <c r="AV56" s="219"/>
      <c r="AW56" s="219"/>
      <c r="AX56" s="219"/>
      <c r="AY56" s="219"/>
      <c r="AZ56" s="219"/>
      <c r="BA56" s="219"/>
      <c r="BB56" s="219"/>
    </row>
    <row r="57" spans="1:54" ht="12" customHeight="1" x14ac:dyDescent="0.2">
      <c r="A57" s="196"/>
      <c r="B57" s="196"/>
      <c r="C57" s="196"/>
      <c r="D57" s="196"/>
      <c r="E57" s="215" t="str">
        <f>IF('Data Entry'!N29="","",'Data Entry'!N29)&amp;IF(OR('Data Entry'!N29="",'Data Entry'!N30=""),""," / Licence No")&amp; IF('Data Entry'!N30="","",'Data Entry'!N30)</f>
        <v>MEHMET EROĞLU</v>
      </c>
      <c r="F57" s="215"/>
      <c r="G57" s="215"/>
      <c r="H57" s="215"/>
      <c r="I57" s="215"/>
      <c r="J57" s="215"/>
      <c r="K57" s="215"/>
      <c r="L57" s="215"/>
      <c r="M57" s="215"/>
      <c r="N57" s="215"/>
      <c r="O57" s="215"/>
      <c r="P57" s="215"/>
      <c r="Q57" s="215"/>
      <c r="R57" s="215"/>
      <c r="S57" s="215"/>
      <c r="T57" s="215"/>
      <c r="U57" s="215"/>
      <c r="V57" s="215"/>
      <c r="W57" s="215"/>
      <c r="X57" s="215"/>
      <c r="Y57" s="215"/>
      <c r="Z57" s="215"/>
      <c r="AA57" s="215"/>
      <c r="AB57" s="215"/>
      <c r="AC57" s="215"/>
      <c r="AD57" s="215"/>
      <c r="AE57" s="215"/>
      <c r="AF57" s="215"/>
      <c r="AG57" s="449"/>
      <c r="AH57" s="449"/>
      <c r="AI57" s="449"/>
      <c r="AJ57" s="449"/>
      <c r="AK57" s="215" t="str">
        <f>IF('Data Entry'!N23="","",'Data Entry'!N23)</f>
        <v/>
      </c>
      <c r="AL57" s="215"/>
      <c r="AM57" s="215"/>
      <c r="AN57" s="215"/>
      <c r="AO57" s="215"/>
      <c r="AP57" s="215"/>
      <c r="AQ57" s="215"/>
      <c r="AR57" s="215"/>
      <c r="AS57" s="449"/>
      <c r="AT57" s="215" t="str">
        <f>IF('Data Entry'!N9="","",'Data Entry'!N9)</f>
        <v/>
      </c>
      <c r="AU57" s="215"/>
      <c r="AV57" s="215"/>
      <c r="AW57" s="215"/>
      <c r="AX57" s="215"/>
      <c r="AY57" s="215"/>
      <c r="AZ57" s="215"/>
      <c r="BA57" s="215"/>
      <c r="BB57" s="196"/>
    </row>
    <row r="58" spans="1:54" ht="12" customHeight="1" x14ac:dyDescent="0.2">
      <c r="A58" s="196"/>
      <c r="B58" s="196"/>
      <c r="C58" s="196"/>
      <c r="D58" s="196"/>
      <c r="E58" s="215"/>
      <c r="F58" s="215"/>
      <c r="G58" s="215"/>
      <c r="H58" s="215"/>
      <c r="I58" s="215"/>
      <c r="J58" s="215"/>
      <c r="K58" s="215"/>
      <c r="L58" s="215"/>
      <c r="M58" s="215"/>
      <c r="N58" s="215"/>
      <c r="O58" s="215"/>
      <c r="P58" s="215"/>
      <c r="Q58" s="215"/>
      <c r="R58" s="215"/>
      <c r="S58" s="215"/>
      <c r="T58" s="215"/>
      <c r="U58" s="215"/>
      <c r="V58" s="215"/>
      <c r="W58" s="215"/>
      <c r="X58" s="215"/>
      <c r="Y58" s="215"/>
      <c r="Z58" s="215"/>
      <c r="AA58" s="215"/>
      <c r="AB58" s="215"/>
      <c r="AC58" s="215"/>
      <c r="AD58" s="215"/>
      <c r="AE58" s="215"/>
      <c r="AF58" s="215"/>
      <c r="AG58" s="449"/>
      <c r="AH58" s="449"/>
      <c r="AI58" s="449"/>
      <c r="AJ58" s="449"/>
      <c r="AK58" s="215"/>
      <c r="AL58" s="215"/>
      <c r="AM58" s="215"/>
      <c r="AN58" s="215"/>
      <c r="AO58" s="215"/>
      <c r="AP58" s="215"/>
      <c r="AQ58" s="215"/>
      <c r="AR58" s="215"/>
      <c r="AS58" s="449"/>
      <c r="AT58" s="215"/>
      <c r="AU58" s="215"/>
      <c r="AV58" s="215"/>
      <c r="AW58" s="215"/>
      <c r="AX58" s="215"/>
      <c r="AY58" s="215"/>
      <c r="AZ58" s="215"/>
      <c r="BA58" s="215"/>
      <c r="BB58" s="196"/>
    </row>
    <row r="59" spans="1:54" ht="12" customHeight="1" x14ac:dyDescent="0.2">
      <c r="A59" s="196"/>
      <c r="B59" s="196"/>
      <c r="C59" s="196"/>
      <c r="D59" s="196"/>
      <c r="E59" s="215"/>
      <c r="F59" s="215"/>
      <c r="G59" s="215"/>
      <c r="H59" s="215"/>
      <c r="I59" s="215"/>
      <c r="J59" s="215"/>
      <c r="K59" s="215"/>
      <c r="L59" s="215"/>
      <c r="M59" s="215"/>
      <c r="N59" s="215"/>
      <c r="O59" s="215"/>
      <c r="P59" s="215"/>
      <c r="Q59" s="215"/>
      <c r="R59" s="215"/>
      <c r="S59" s="215"/>
      <c r="T59" s="215"/>
      <c r="U59" s="215"/>
      <c r="V59" s="215"/>
      <c r="W59" s="215"/>
      <c r="X59" s="215"/>
      <c r="Y59" s="215"/>
      <c r="Z59" s="215"/>
      <c r="AA59" s="215"/>
      <c r="AB59" s="215"/>
      <c r="AC59" s="215"/>
      <c r="AD59" s="215"/>
      <c r="AE59" s="215"/>
      <c r="AF59" s="215"/>
      <c r="AG59" s="449"/>
      <c r="AH59" s="449"/>
      <c r="AI59" s="449"/>
      <c r="AJ59" s="449"/>
      <c r="AK59" s="215"/>
      <c r="AL59" s="215"/>
      <c r="AM59" s="215"/>
      <c r="AN59" s="215"/>
      <c r="AO59" s="215"/>
      <c r="AP59" s="215"/>
      <c r="AQ59" s="215"/>
      <c r="AR59" s="215"/>
      <c r="AS59" s="449"/>
      <c r="AT59" s="215"/>
      <c r="AU59" s="215"/>
      <c r="AV59" s="215"/>
      <c r="AW59" s="215"/>
      <c r="AX59" s="215"/>
      <c r="AY59" s="215"/>
      <c r="AZ59" s="215"/>
      <c r="BA59" s="215"/>
      <c r="BB59" s="196"/>
    </row>
    <row r="60" spans="1:54" ht="12" customHeight="1" x14ac:dyDescent="0.2">
      <c r="A60" s="196"/>
      <c r="B60" s="196"/>
      <c r="C60" s="196"/>
      <c r="D60" s="196"/>
      <c r="E60" s="211" t="s">
        <v>184</v>
      </c>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449"/>
      <c r="AH60" s="449"/>
      <c r="AI60" s="449"/>
      <c r="AJ60" s="449"/>
      <c r="AK60" s="211" t="s">
        <v>51</v>
      </c>
      <c r="AL60" s="211"/>
      <c r="AM60" s="211"/>
      <c r="AN60" s="211"/>
      <c r="AO60" s="211"/>
      <c r="AP60" s="211"/>
      <c r="AQ60" s="211"/>
      <c r="AR60" s="211"/>
      <c r="AS60" s="449"/>
      <c r="AT60" s="211" t="s">
        <v>17</v>
      </c>
      <c r="AU60" s="211"/>
      <c r="AV60" s="211"/>
      <c r="AW60" s="211"/>
      <c r="AX60" s="211"/>
      <c r="AY60" s="211"/>
      <c r="AZ60" s="211"/>
      <c r="BA60" s="211"/>
      <c r="BB60" s="196"/>
    </row>
    <row r="61" spans="1:54" ht="12" customHeight="1" x14ac:dyDescent="0.2">
      <c r="A61" s="148" t="s">
        <v>482</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9" t="str">
        <f>'Data Entry'!AK9</f>
        <v>LTS-CUS-F-01 rev 2.0</v>
      </c>
      <c r="AP61" s="149"/>
      <c r="AQ61" s="149"/>
      <c r="AR61" s="149"/>
      <c r="AS61" s="149"/>
      <c r="AT61" s="149"/>
      <c r="AU61" s="149"/>
      <c r="AV61" s="149"/>
      <c r="AW61" s="149"/>
      <c r="AX61" s="149"/>
      <c r="AY61" s="149"/>
      <c r="AZ61" s="149"/>
      <c r="BA61" s="149"/>
      <c r="BB61" s="149"/>
    </row>
  </sheetData>
  <sheetProtection selectLockedCells="1" sort="0"/>
  <sortState xmlns:xlrd2="http://schemas.microsoft.com/office/spreadsheetml/2017/richdata2" ref="A12:BB34">
    <sortCondition ref="A11"/>
    <sortCondition ref="S11"/>
  </sortState>
  <mergeCells count="159">
    <mergeCell ref="A61:AN61"/>
    <mergeCell ref="AO61:BB61"/>
    <mergeCell ref="A51:BB51"/>
    <mergeCell ref="A52:BB52"/>
    <mergeCell ref="A53:BB53"/>
    <mergeCell ref="A54:BB54"/>
    <mergeCell ref="A55:BB55"/>
    <mergeCell ref="A56:BB56"/>
    <mergeCell ref="A57:D60"/>
    <mergeCell ref="E57:AF59"/>
    <mergeCell ref="AG57:AJ60"/>
    <mergeCell ref="AK57:AR59"/>
    <mergeCell ref="AS57:AS60"/>
    <mergeCell ref="AT57:BA59"/>
    <mergeCell ref="BB57:BB60"/>
    <mergeCell ref="E60:AF60"/>
    <mergeCell ref="AK60:AR60"/>
    <mergeCell ref="AT60:BA60"/>
    <mergeCell ref="A48:R48"/>
    <mergeCell ref="S48:AJ48"/>
    <mergeCell ref="AK48:BB48"/>
    <mergeCell ref="A49:R49"/>
    <mergeCell ref="S49:AJ49"/>
    <mergeCell ref="AK49:BB49"/>
    <mergeCell ref="A50:R50"/>
    <mergeCell ref="S50:AJ50"/>
    <mergeCell ref="AK50:BB50"/>
    <mergeCell ref="A45:R45"/>
    <mergeCell ref="S45:AJ45"/>
    <mergeCell ref="AK45:BB45"/>
    <mergeCell ref="A46:R46"/>
    <mergeCell ref="S46:AJ46"/>
    <mergeCell ref="AK46:BB46"/>
    <mergeCell ref="A47:R47"/>
    <mergeCell ref="S47:AJ47"/>
    <mergeCell ref="AK47:BB47"/>
    <mergeCell ref="A42:R42"/>
    <mergeCell ref="S42:AJ42"/>
    <mergeCell ref="AK42:BB42"/>
    <mergeCell ref="A43:R43"/>
    <mergeCell ref="S43:AJ43"/>
    <mergeCell ref="AK43:BB43"/>
    <mergeCell ref="A44:R44"/>
    <mergeCell ref="S44:AJ44"/>
    <mergeCell ref="AK44:BB44"/>
    <mergeCell ref="A39:R39"/>
    <mergeCell ref="S39:AJ39"/>
    <mergeCell ref="AK39:BB39"/>
    <mergeCell ref="A40:R40"/>
    <mergeCell ref="S40:AJ40"/>
    <mergeCell ref="AK40:BB40"/>
    <mergeCell ref="A41:R41"/>
    <mergeCell ref="S41:AJ41"/>
    <mergeCell ref="AK41:BB41"/>
    <mergeCell ref="A36:R36"/>
    <mergeCell ref="S36:AJ36"/>
    <mergeCell ref="AK36:BB36"/>
    <mergeCell ref="A37:R37"/>
    <mergeCell ref="S37:AJ37"/>
    <mergeCell ref="AK37:BB37"/>
    <mergeCell ref="A38:R38"/>
    <mergeCell ref="S38:AJ38"/>
    <mergeCell ref="AK38:BB38"/>
    <mergeCell ref="A30:R30"/>
    <mergeCell ref="S30:AJ30"/>
    <mergeCell ref="AK30:BB30"/>
    <mergeCell ref="A31:R31"/>
    <mergeCell ref="S31:AJ31"/>
    <mergeCell ref="AK31:BB31"/>
    <mergeCell ref="A32:R32"/>
    <mergeCell ref="S32:AJ32"/>
    <mergeCell ref="AK32:BB32"/>
    <mergeCell ref="A27:R27"/>
    <mergeCell ref="S27:AJ27"/>
    <mergeCell ref="AK27:BB27"/>
    <mergeCell ref="A28:R28"/>
    <mergeCell ref="S28:AJ28"/>
    <mergeCell ref="AK28:BB28"/>
    <mergeCell ref="A29:R29"/>
    <mergeCell ref="S29:AJ29"/>
    <mergeCell ref="AK29:BB29"/>
    <mergeCell ref="A24:R24"/>
    <mergeCell ref="S24:AJ24"/>
    <mergeCell ref="AK24:BB24"/>
    <mergeCell ref="A25:R25"/>
    <mergeCell ref="S25:AJ25"/>
    <mergeCell ref="AK25:BB25"/>
    <mergeCell ref="A26:R26"/>
    <mergeCell ref="S26:AJ26"/>
    <mergeCell ref="AK26:BB26"/>
    <mergeCell ref="A21:R21"/>
    <mergeCell ref="S21:AJ21"/>
    <mergeCell ref="AK21:BB21"/>
    <mergeCell ref="A22:R22"/>
    <mergeCell ref="S22:AJ22"/>
    <mergeCell ref="AK22:BB22"/>
    <mergeCell ref="A23:R23"/>
    <mergeCell ref="S23:AJ23"/>
    <mergeCell ref="AK23:BB23"/>
    <mergeCell ref="A18:R18"/>
    <mergeCell ref="S18:AJ18"/>
    <mergeCell ref="AK18:BB18"/>
    <mergeCell ref="A19:R19"/>
    <mergeCell ref="S19:AJ19"/>
    <mergeCell ref="AK19:BB19"/>
    <mergeCell ref="A20:R20"/>
    <mergeCell ref="S20:AJ20"/>
    <mergeCell ref="AK20:BB20"/>
    <mergeCell ref="A15:R15"/>
    <mergeCell ref="S15:AJ15"/>
    <mergeCell ref="AK15:BB15"/>
    <mergeCell ref="A16:R16"/>
    <mergeCell ref="S16:AJ16"/>
    <mergeCell ref="AK16:BB16"/>
    <mergeCell ref="A17:R17"/>
    <mergeCell ref="S17:AJ17"/>
    <mergeCell ref="AK17:BB17"/>
    <mergeCell ref="A12:R12"/>
    <mergeCell ref="S12:AJ12"/>
    <mergeCell ref="AK12:BB12"/>
    <mergeCell ref="A13:R13"/>
    <mergeCell ref="S13:AJ13"/>
    <mergeCell ref="AK13:BB13"/>
    <mergeCell ref="A14:R14"/>
    <mergeCell ref="S14:AJ14"/>
    <mergeCell ref="AK14:BB14"/>
    <mergeCell ref="A7:L7"/>
    <mergeCell ref="M7:N7"/>
    <mergeCell ref="O7:AQ7"/>
    <mergeCell ref="AR7:AS7"/>
    <mergeCell ref="AU7:BB7"/>
    <mergeCell ref="A8:BB8"/>
    <mergeCell ref="A9:BB9"/>
    <mergeCell ref="A10:BB10"/>
    <mergeCell ref="A11:R11"/>
    <mergeCell ref="S11:AJ11"/>
    <mergeCell ref="AK11:BB11"/>
    <mergeCell ref="A1:AQ3"/>
    <mergeCell ref="AR1:AS1"/>
    <mergeCell ref="AU1:BB1"/>
    <mergeCell ref="AR2:AS2"/>
    <mergeCell ref="AU2:BB2"/>
    <mergeCell ref="AR3:BB3"/>
    <mergeCell ref="A4:BB4"/>
    <mergeCell ref="A5:BB5"/>
    <mergeCell ref="A6:L6"/>
    <mergeCell ref="M6:N6"/>
    <mergeCell ref="O6:AQ6"/>
    <mergeCell ref="AR6:AS6"/>
    <mergeCell ref="AU6:BB6"/>
    <mergeCell ref="A33:R33"/>
    <mergeCell ref="S33:AJ33"/>
    <mergeCell ref="AK33:BB33"/>
    <mergeCell ref="A34:R34"/>
    <mergeCell ref="S34:AJ34"/>
    <mergeCell ref="AK34:BB34"/>
    <mergeCell ref="A35:R35"/>
    <mergeCell ref="S35:AJ35"/>
    <mergeCell ref="AK35:BB35"/>
  </mergeCells>
  <phoneticPr fontId="2" type="noConversion"/>
  <conditionalFormatting sqref="A52:BB52 A12:AJ34">
    <cfRule type="containsBlanks" dxfId="13" priority="2">
      <formula>LEN(TRIM(A12))=0</formula>
    </cfRule>
  </conditionalFormatting>
  <conditionalFormatting sqref="AU1:BB2 O6:AQ7 AU6:BB7 E57:AF59 AK57:AR59 AT57:BA59">
    <cfRule type="containsBlanks" dxfId="12" priority="1">
      <formula>LEN(TRIM(E1))=0</formula>
    </cfRule>
  </conditionalFormatting>
  <dataValidations count="3">
    <dataValidation type="date" operator="greaterThan" allowBlank="1" showInputMessage="1" showErrorMessage="1" prompt="Enter the date that the event occured (format dd/mm/yyyy)_x000a_" sqref="A12:R34" xr:uid="{A33DFA16-2548-4F5E-892B-967194A4D0CD}">
      <formula1>40179</formula1>
    </dataValidation>
    <dataValidation allowBlank="1" showInputMessage="1" showErrorMessage="1" prompt="Please enter any relevant information here e.g. reason for delays" sqref="A52:BB52" xr:uid="{43F65F7C-DDFA-4D91-8891-A5DC3D34B2E3}"/>
    <dataValidation allowBlank="1" showInputMessage="1" showErrorMessage="1" prompt="Enter time the event occured (format HH:MM)" sqref="S12:AJ34" xr:uid="{7E3F8226-AD64-4909-8BFF-FDDB5538FA50}"/>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30" r:id="rId4" name="Button 2">
              <controlPr defaultSize="0" print="0" autoFill="0" autoPict="0" macro="[0]!Button333_Click">
                <anchor moveWithCells="1" sizeWithCells="1">
                  <from>
                    <xdr:col>54</xdr:col>
                    <xdr:colOff>457200</xdr:colOff>
                    <xdr:row>2</xdr:row>
                    <xdr:rowOff>57150</xdr:rowOff>
                  </from>
                  <to>
                    <xdr:col>59</xdr:col>
                    <xdr:colOff>361950</xdr:colOff>
                    <xdr:row>6</xdr:row>
                    <xdr:rowOff>28575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F8383-1DCD-4780-B9BB-4A7BDB5721AD}">
  <sheetPr codeName="Sheet6">
    <tabColor theme="7" tint="0.39997558519241921"/>
    <pageSetUpPr fitToPage="1"/>
  </sheetPr>
  <dimension ref="A1:CH42"/>
  <sheetViews>
    <sheetView workbookViewId="0">
      <selection activeCell="BG36" sqref="BG36"/>
    </sheetView>
  </sheetViews>
  <sheetFormatPr defaultColWidth="9.140625" defaultRowHeight="11.45" customHeight="1" x14ac:dyDescent="0.2"/>
  <cols>
    <col min="1" max="85" width="1.7109375" style="134" customWidth="1"/>
    <col min="86" max="86" width="9.140625" style="134" customWidth="1"/>
    <col min="87" max="16384" width="9.140625" style="134"/>
  </cols>
  <sheetData>
    <row r="1" spans="1:86" s="133" customFormat="1" ht="11.45" customHeight="1" x14ac:dyDescent="0.2">
      <c r="A1" s="504"/>
      <c r="B1" s="504"/>
      <c r="C1" s="504"/>
      <c r="D1" s="504"/>
      <c r="E1" s="504"/>
      <c r="F1" s="504"/>
      <c r="G1" s="504"/>
      <c r="H1" s="504"/>
      <c r="I1" s="504"/>
      <c r="J1" s="504"/>
      <c r="K1" s="504"/>
      <c r="L1" s="504"/>
      <c r="M1" s="504"/>
      <c r="N1" s="504"/>
      <c r="O1" s="504"/>
      <c r="P1" s="504"/>
      <c r="Q1" s="504"/>
      <c r="R1" s="504"/>
      <c r="S1" s="504"/>
      <c r="T1" s="504"/>
      <c r="U1" s="504"/>
      <c r="V1" s="504"/>
      <c r="W1" s="504"/>
      <c r="X1" s="504"/>
      <c r="Y1" s="504"/>
      <c r="Z1" s="504"/>
      <c r="AA1" s="504"/>
      <c r="AB1" s="504"/>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38" t="s">
        <v>280</v>
      </c>
      <c r="BM1" s="538"/>
      <c r="BN1" s="538"/>
      <c r="BO1" s="538"/>
      <c r="BP1" s="538"/>
      <c r="BQ1" s="132" t="s">
        <v>0</v>
      </c>
      <c r="BR1" s="538" t="str">
        <f>IF('Data Entry'!N28="","",'Data Entry'!N28)</f>
        <v/>
      </c>
      <c r="BS1" s="538"/>
      <c r="BT1" s="538"/>
      <c r="BU1" s="538"/>
      <c r="BV1" s="538"/>
      <c r="BW1" s="538"/>
      <c r="BX1" s="538"/>
      <c r="BY1" s="538"/>
      <c r="BZ1" s="538"/>
      <c r="CA1" s="538"/>
      <c r="CB1" s="538"/>
      <c r="CC1" s="538"/>
      <c r="CD1" s="538"/>
      <c r="CE1" s="538"/>
      <c r="CF1" s="538"/>
      <c r="CG1" s="538"/>
    </row>
    <row r="2" spans="1:86" s="133" customFormat="1" ht="11.45" customHeight="1" x14ac:dyDescent="0.2">
      <c r="A2" s="540" t="s">
        <v>486</v>
      </c>
      <c r="B2" s="540"/>
      <c r="C2" s="540"/>
      <c r="D2" s="540"/>
      <c r="E2" s="540"/>
      <c r="F2" s="540"/>
      <c r="G2" s="540"/>
      <c r="H2" s="540"/>
      <c r="I2" s="540"/>
      <c r="J2" s="540"/>
      <c r="K2" s="540"/>
      <c r="L2" s="540"/>
      <c r="M2" s="540"/>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0"/>
      <c r="AM2" s="540"/>
      <c r="AN2" s="540"/>
      <c r="AO2" s="540"/>
      <c r="AP2" s="540"/>
      <c r="AQ2" s="540"/>
      <c r="AR2" s="540"/>
      <c r="AS2" s="540"/>
      <c r="AT2" s="540"/>
      <c r="AU2" s="540"/>
      <c r="AV2" s="540"/>
      <c r="AW2" s="540"/>
      <c r="AX2" s="540"/>
      <c r="AY2" s="540"/>
      <c r="AZ2" s="540"/>
      <c r="BA2" s="540"/>
      <c r="BB2" s="540"/>
      <c r="BC2" s="540"/>
      <c r="BD2" s="540"/>
      <c r="BE2" s="540"/>
      <c r="BF2" s="540"/>
      <c r="BG2" s="540"/>
      <c r="BH2" s="540"/>
      <c r="BI2" s="540"/>
      <c r="BJ2" s="540"/>
      <c r="BK2" s="540"/>
      <c r="BL2" s="538" t="s">
        <v>281</v>
      </c>
      <c r="BM2" s="538"/>
      <c r="BN2" s="538"/>
      <c r="BO2" s="538"/>
      <c r="BP2" s="538"/>
      <c r="BQ2" s="132" t="s">
        <v>0</v>
      </c>
      <c r="BR2" s="538" t="str">
        <f>IF('Data Entry'!N39="","",'Data Entry'!N39)</f>
        <v>SC17124</v>
      </c>
      <c r="BS2" s="538"/>
      <c r="BT2" s="538"/>
      <c r="BU2" s="538"/>
      <c r="BV2" s="538"/>
      <c r="BW2" s="538"/>
      <c r="BX2" s="538"/>
      <c r="BY2" s="538"/>
      <c r="BZ2" s="538"/>
      <c r="CA2" s="538"/>
      <c r="CB2" s="538"/>
      <c r="CC2" s="538"/>
      <c r="CD2" s="538"/>
      <c r="CE2" s="538"/>
      <c r="CF2" s="538"/>
      <c r="CG2" s="538"/>
    </row>
    <row r="3" spans="1:86" s="133" customFormat="1" ht="11.45" customHeight="1" x14ac:dyDescent="0.2">
      <c r="A3" s="504"/>
      <c r="B3" s="504"/>
      <c r="C3" s="504"/>
      <c r="D3" s="504"/>
      <c r="E3" s="504"/>
      <c r="F3" s="504"/>
      <c r="G3" s="504"/>
      <c r="H3" s="504"/>
      <c r="I3" s="504"/>
      <c r="J3" s="504"/>
      <c r="K3" s="504"/>
      <c r="L3" s="504"/>
      <c r="M3" s="504"/>
      <c r="N3" s="504"/>
      <c r="O3" s="504"/>
      <c r="P3" s="504"/>
      <c r="Q3" s="504"/>
      <c r="R3" s="504"/>
      <c r="S3" s="504"/>
      <c r="T3" s="504"/>
      <c r="U3" s="504"/>
      <c r="V3" s="504"/>
      <c r="W3" s="504"/>
      <c r="X3" s="504"/>
      <c r="Y3" s="504"/>
      <c r="Z3" s="504"/>
      <c r="AA3" s="504"/>
      <c r="AB3" s="504"/>
      <c r="AC3" s="504"/>
      <c r="AD3" s="504"/>
      <c r="AE3" s="504"/>
      <c r="AF3" s="504"/>
      <c r="AG3" s="504"/>
      <c r="AH3" s="504"/>
      <c r="AI3" s="504"/>
      <c r="AJ3" s="504"/>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t="str">
        <f>'Bunker Certificate 1'!Y4</f>
        <v/>
      </c>
      <c r="BS3" s="504"/>
      <c r="BT3" s="504"/>
      <c r="BU3" s="504"/>
      <c r="BV3" s="504"/>
      <c r="BW3" s="504"/>
      <c r="BX3" s="504"/>
      <c r="BY3" s="504"/>
      <c r="BZ3" s="504"/>
      <c r="CA3" s="504"/>
      <c r="CB3" s="504"/>
      <c r="CC3" s="504"/>
      <c r="CD3" s="504"/>
      <c r="CE3" s="504"/>
      <c r="CF3" s="504"/>
      <c r="CG3" s="504"/>
    </row>
    <row r="4" spans="1:86" s="133" customFormat="1" ht="11.45" customHeight="1" x14ac:dyDescent="0.2">
      <c r="A4" s="538" t="s">
        <v>419</v>
      </c>
      <c r="B4" s="538"/>
      <c r="C4" s="538"/>
      <c r="D4" s="538"/>
      <c r="E4" s="538"/>
      <c r="F4" s="538"/>
      <c r="G4" s="538"/>
      <c r="H4" s="132" t="s">
        <v>0</v>
      </c>
      <c r="I4" s="538" t="str">
        <f>IF('Data Entry'!N6="","",'Data Entry'!N6)</f>
        <v/>
      </c>
      <c r="J4" s="538"/>
      <c r="K4" s="538"/>
      <c r="L4" s="538"/>
      <c r="M4" s="538"/>
      <c r="N4" s="538"/>
      <c r="O4" s="538"/>
      <c r="P4" s="538"/>
      <c r="Q4" s="538"/>
      <c r="R4" s="538"/>
      <c r="S4" s="538"/>
      <c r="T4" s="538"/>
      <c r="U4" s="538"/>
      <c r="V4" s="538"/>
      <c r="W4" s="538"/>
      <c r="X4" s="538"/>
      <c r="Y4" s="538"/>
      <c r="Z4" s="538"/>
      <c r="AA4" s="538"/>
      <c r="AB4" s="538"/>
      <c r="AC4" s="538"/>
      <c r="AD4" s="538"/>
      <c r="AE4" s="538"/>
      <c r="AF4" s="538"/>
      <c r="AG4" s="538"/>
      <c r="AH4" s="538"/>
      <c r="AI4" s="504"/>
      <c r="AJ4" s="504"/>
      <c r="AK4" s="504"/>
      <c r="AL4" s="504"/>
      <c r="AM4" s="538" t="s">
        <v>2</v>
      </c>
      <c r="AN4" s="538"/>
      <c r="AO4" s="538"/>
      <c r="AP4" s="132" t="s">
        <v>0</v>
      </c>
      <c r="AQ4" s="539" t="str">
        <f>IF('Data Entry'!N20="","",'Data Entry'!N20)</f>
        <v/>
      </c>
      <c r="AR4" s="539"/>
      <c r="AS4" s="539"/>
      <c r="AT4" s="539"/>
      <c r="AU4" s="539"/>
      <c r="AV4" s="539"/>
      <c r="AW4" s="539"/>
      <c r="AX4" s="539"/>
      <c r="AY4" s="539"/>
      <c r="AZ4" s="539"/>
      <c r="BA4" s="539"/>
      <c r="BB4" s="539"/>
      <c r="BC4" s="539"/>
      <c r="BD4" s="539"/>
      <c r="BE4" s="539"/>
      <c r="BF4" s="539"/>
      <c r="BG4" s="539"/>
      <c r="BH4" s="539"/>
      <c r="BI4" s="504"/>
      <c r="BJ4" s="504"/>
      <c r="BK4" s="538" t="s">
        <v>25</v>
      </c>
      <c r="BL4" s="538"/>
      <c r="BM4" s="538"/>
      <c r="BN4" s="132" t="s">
        <v>0</v>
      </c>
      <c r="BO4" s="538" t="str">
        <f>IF('Data Entry'!N24="","",'Data Entry'!N24)</f>
        <v/>
      </c>
      <c r="BP4" s="538"/>
      <c r="BQ4" s="538"/>
      <c r="BR4" s="538"/>
      <c r="BS4" s="538"/>
      <c r="BT4" s="538"/>
      <c r="BU4" s="538"/>
      <c r="BV4" s="538"/>
      <c r="BW4" s="538"/>
      <c r="BX4" s="538"/>
      <c r="BY4" s="538"/>
      <c r="BZ4" s="538"/>
      <c r="CA4" s="538"/>
      <c r="CB4" s="538"/>
      <c r="CC4" s="538"/>
      <c r="CD4" s="538"/>
      <c r="CE4" s="538"/>
      <c r="CF4" s="504"/>
      <c r="CG4" s="504"/>
    </row>
    <row r="5" spans="1:86" s="133" customFormat="1" ht="11.45" customHeight="1" x14ac:dyDescent="0.2">
      <c r="A5" s="538" t="s">
        <v>420</v>
      </c>
      <c r="B5" s="538"/>
      <c r="C5" s="538"/>
      <c r="D5" s="538"/>
      <c r="E5" s="538"/>
      <c r="F5" s="538"/>
      <c r="G5" s="538"/>
      <c r="H5" s="132" t="s">
        <v>0</v>
      </c>
      <c r="I5" s="538" t="str">
        <f>IF('Data Entry'!N22="","",'Data Entry'!N22)</f>
        <v/>
      </c>
      <c r="J5" s="538"/>
      <c r="K5" s="538"/>
      <c r="L5" s="538"/>
      <c r="M5" s="538"/>
      <c r="N5" s="538"/>
      <c r="O5" s="538"/>
      <c r="P5" s="538"/>
      <c r="Q5" s="538"/>
      <c r="R5" s="538"/>
      <c r="S5" s="538"/>
      <c r="T5" s="538"/>
      <c r="U5" s="538"/>
      <c r="V5" s="538"/>
      <c r="W5" s="538"/>
      <c r="X5" s="538"/>
      <c r="Y5" s="538"/>
      <c r="Z5" s="538"/>
      <c r="AA5" s="538"/>
      <c r="AB5" s="538"/>
      <c r="AC5" s="538"/>
      <c r="AD5" s="538"/>
      <c r="AE5" s="538"/>
      <c r="AF5" s="538"/>
      <c r="AG5" s="538"/>
      <c r="AH5" s="538"/>
      <c r="AI5" s="504"/>
      <c r="AJ5" s="504"/>
      <c r="AK5" s="504"/>
      <c r="AL5" s="504"/>
      <c r="AM5" s="538" t="s">
        <v>124</v>
      </c>
      <c r="AN5" s="538"/>
      <c r="AO5" s="538"/>
      <c r="AP5" s="538"/>
      <c r="AQ5" s="538"/>
      <c r="AR5" s="538"/>
      <c r="AS5" s="538"/>
      <c r="AT5" s="132" t="s">
        <v>0</v>
      </c>
      <c r="AU5" s="538" t="str">
        <f>IF('Data Entry'!N26="","",'Data Entry'!N26)&amp;IF(OR('Data Entry'!N26="",'Data Entry'!N27=""),"","/")&amp; IF('Data Entry'!N27="","",'Data Entry'!N27)</f>
        <v>ANCHORAGE AREA/İSTANBUL</v>
      </c>
      <c r="AV5" s="538"/>
      <c r="AW5" s="538"/>
      <c r="AX5" s="538"/>
      <c r="AY5" s="538"/>
      <c r="AZ5" s="538"/>
      <c r="BA5" s="538"/>
      <c r="BB5" s="538"/>
      <c r="BC5" s="538"/>
      <c r="BD5" s="538"/>
      <c r="BE5" s="538"/>
      <c r="BF5" s="538"/>
      <c r="BG5" s="538"/>
      <c r="BH5" s="538"/>
      <c r="BI5" s="538"/>
      <c r="BJ5" s="538"/>
      <c r="BK5" s="538"/>
      <c r="BL5" s="538"/>
      <c r="BM5" s="538"/>
      <c r="BN5" s="538"/>
      <c r="BO5" s="538"/>
      <c r="BP5" s="538"/>
      <c r="BQ5" s="538"/>
      <c r="BR5" s="538"/>
      <c r="BS5" s="538"/>
      <c r="BT5" s="538"/>
      <c r="BU5" s="538"/>
      <c r="BV5" s="538"/>
      <c r="BW5" s="538"/>
      <c r="BX5" s="538"/>
      <c r="BY5" s="538"/>
      <c r="BZ5" s="538"/>
      <c r="CA5" s="538"/>
      <c r="CB5" s="538"/>
      <c r="CC5" s="538"/>
      <c r="CD5" s="538"/>
      <c r="CE5" s="538"/>
      <c r="CF5" s="504"/>
      <c r="CG5" s="504"/>
    </row>
    <row r="6" spans="1:86" ht="11.45" customHeight="1" x14ac:dyDescent="0.2">
      <c r="A6" s="528"/>
      <c r="B6" s="528"/>
      <c r="C6" s="528"/>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c r="AF6" s="528"/>
      <c r="AG6" s="528"/>
      <c r="AH6" s="528"/>
      <c r="AI6" s="528"/>
      <c r="AJ6" s="528"/>
      <c r="AK6" s="528"/>
      <c r="AL6" s="528"/>
      <c r="AM6" s="528"/>
      <c r="AN6" s="528"/>
      <c r="AO6" s="528"/>
      <c r="AP6" s="528"/>
      <c r="AQ6" s="528"/>
      <c r="AR6" s="528"/>
      <c r="AS6" s="528"/>
      <c r="AT6" s="528"/>
      <c r="AU6" s="528"/>
      <c r="AV6" s="528"/>
      <c r="AW6" s="528"/>
      <c r="AX6" s="528"/>
      <c r="AY6" s="528"/>
      <c r="AZ6" s="528"/>
      <c r="BA6" s="528"/>
      <c r="BB6" s="528"/>
      <c r="BC6" s="528"/>
      <c r="BD6" s="528"/>
      <c r="BE6" s="528"/>
      <c r="BF6" s="528"/>
      <c r="BG6" s="528"/>
      <c r="BH6" s="528"/>
      <c r="BI6" s="528"/>
      <c r="BJ6" s="528"/>
      <c r="BK6" s="528"/>
      <c r="BL6" s="528"/>
      <c r="BM6" s="528"/>
      <c r="BN6" s="528"/>
      <c r="BO6" s="528"/>
      <c r="BP6" s="528"/>
      <c r="BQ6" s="528"/>
      <c r="BR6" s="528"/>
      <c r="BS6" s="528"/>
      <c r="BT6" s="528"/>
      <c r="BU6" s="528"/>
      <c r="BV6" s="528"/>
      <c r="BW6" s="528"/>
      <c r="BX6" s="528"/>
      <c r="BY6" s="528"/>
      <c r="BZ6" s="528"/>
      <c r="CA6" s="528"/>
      <c r="CB6" s="528"/>
      <c r="CC6" s="528"/>
      <c r="CD6" s="528"/>
      <c r="CE6" s="528"/>
      <c r="CF6" s="528"/>
      <c r="CG6" s="528"/>
    </row>
    <row r="7" spans="1:86" ht="11.45" customHeight="1" thickBot="1" x14ac:dyDescent="0.25">
      <c r="A7" s="511"/>
      <c r="B7" s="511"/>
      <c r="C7" s="511"/>
      <c r="D7" s="511"/>
      <c r="E7" s="511"/>
      <c r="F7" s="511"/>
      <c r="G7" s="511"/>
      <c r="H7" s="511"/>
      <c r="I7" s="511"/>
      <c r="J7" s="511"/>
      <c r="K7" s="511"/>
      <c r="L7" s="511"/>
      <c r="M7" s="511"/>
      <c r="N7" s="511"/>
      <c r="O7" s="511"/>
      <c r="P7" s="511"/>
      <c r="Q7" s="511"/>
      <c r="R7" s="511"/>
      <c r="S7" s="511"/>
      <c r="T7" s="511"/>
      <c r="U7" s="511"/>
      <c r="V7" s="511"/>
      <c r="W7" s="511"/>
      <c r="X7" s="511"/>
      <c r="Y7" s="511"/>
      <c r="Z7" s="511"/>
      <c r="AA7" s="511"/>
      <c r="AB7" s="511"/>
      <c r="AC7" s="511"/>
      <c r="AD7" s="511"/>
      <c r="AE7" s="511"/>
      <c r="AF7" s="511"/>
      <c r="AG7" s="511"/>
      <c r="AH7" s="511"/>
      <c r="AI7" s="511"/>
      <c r="AJ7" s="511"/>
      <c r="AK7" s="511"/>
      <c r="AL7" s="511"/>
      <c r="AM7" s="511"/>
      <c r="AN7" s="511"/>
      <c r="AO7" s="511"/>
      <c r="AP7" s="511"/>
      <c r="AQ7" s="511"/>
      <c r="AR7" s="511"/>
      <c r="AS7" s="511"/>
      <c r="AT7" s="511"/>
      <c r="AU7" s="511"/>
      <c r="AV7" s="511"/>
      <c r="AW7" s="511"/>
      <c r="AX7" s="511"/>
      <c r="AY7" s="511"/>
      <c r="AZ7" s="511"/>
      <c r="BA7" s="511"/>
      <c r="BB7" s="511"/>
      <c r="BC7" s="511"/>
      <c r="BD7" s="511"/>
      <c r="BE7" s="511"/>
      <c r="BF7" s="511"/>
      <c r="BG7" s="511"/>
      <c r="BH7" s="511"/>
      <c r="BI7" s="511"/>
      <c r="BJ7" s="511"/>
      <c r="BK7" s="511"/>
      <c r="BL7" s="511"/>
      <c r="BM7" s="511"/>
      <c r="BN7" s="511"/>
      <c r="BO7" s="511"/>
      <c r="BP7" s="511"/>
      <c r="BQ7" s="511"/>
      <c r="BR7" s="511"/>
      <c r="BS7" s="511"/>
      <c r="BT7" s="511"/>
      <c r="BU7" s="511"/>
      <c r="BV7" s="511"/>
      <c r="BW7" s="511"/>
      <c r="BX7" s="511"/>
      <c r="BY7" s="511"/>
      <c r="BZ7" s="511"/>
      <c r="CA7" s="511"/>
      <c r="CB7" s="511"/>
      <c r="CC7" s="511"/>
      <c r="CD7" s="511"/>
      <c r="CE7" s="511"/>
      <c r="CF7" s="511"/>
      <c r="CG7" s="511"/>
    </row>
    <row r="8" spans="1:86" ht="11.45" customHeight="1" x14ac:dyDescent="0.2">
      <c r="A8" s="537" t="s">
        <v>487</v>
      </c>
      <c r="B8" s="537"/>
      <c r="C8" s="537"/>
      <c r="D8" s="537"/>
      <c r="E8" s="537"/>
      <c r="F8" s="537"/>
      <c r="G8" s="537"/>
      <c r="H8" s="537"/>
      <c r="I8" s="537"/>
      <c r="J8" s="537"/>
      <c r="K8" s="537"/>
      <c r="L8" s="537"/>
      <c r="M8" s="537"/>
      <c r="N8" s="537"/>
      <c r="O8" s="537"/>
      <c r="P8" s="537"/>
      <c r="Q8" s="537"/>
      <c r="R8" s="537"/>
      <c r="S8" s="537"/>
      <c r="T8" s="537"/>
      <c r="U8" s="537"/>
      <c r="V8" s="537"/>
      <c r="W8" s="537"/>
      <c r="X8" s="537"/>
      <c r="Y8" s="537"/>
      <c r="Z8" s="537"/>
      <c r="AA8" s="537"/>
      <c r="AB8" s="537"/>
      <c r="AC8" s="537"/>
      <c r="AD8" s="537"/>
      <c r="AE8" s="537"/>
      <c r="AF8" s="537"/>
      <c r="AG8" s="537"/>
      <c r="AH8" s="537"/>
      <c r="AI8" s="537"/>
      <c r="AJ8" s="537"/>
      <c r="AK8" s="537"/>
      <c r="AL8" s="537"/>
      <c r="AM8" s="537"/>
      <c r="AN8" s="537"/>
      <c r="AO8" s="537"/>
      <c r="AP8" s="537"/>
      <c r="AQ8" s="537"/>
      <c r="AR8" s="537"/>
      <c r="AS8" s="537"/>
      <c r="AT8" s="537"/>
      <c r="AU8" s="537"/>
      <c r="AV8" s="537"/>
      <c r="AW8" s="537"/>
      <c r="AX8" s="537"/>
      <c r="AY8" s="537"/>
      <c r="AZ8" s="537"/>
      <c r="BA8" s="537"/>
      <c r="BB8" s="537"/>
      <c r="BC8" s="537"/>
      <c r="BD8" s="537"/>
      <c r="BE8" s="537"/>
      <c r="BF8" s="537"/>
      <c r="BG8" s="537"/>
      <c r="BH8" s="537"/>
      <c r="BI8" s="537"/>
      <c r="BJ8" s="537"/>
      <c r="BK8" s="537"/>
      <c r="BL8" s="537"/>
      <c r="BM8" s="537"/>
      <c r="BN8" s="537"/>
      <c r="BO8" s="537"/>
      <c r="BP8" s="537"/>
      <c r="BQ8" s="537"/>
      <c r="BR8" s="537"/>
      <c r="BS8" s="537"/>
      <c r="BT8" s="537"/>
      <c r="BU8" s="537"/>
      <c r="BV8" s="537"/>
      <c r="BW8" s="537"/>
      <c r="BX8" s="537"/>
      <c r="BY8" s="537"/>
      <c r="BZ8" s="537"/>
      <c r="CA8" s="537"/>
      <c r="CB8" s="537"/>
      <c r="CC8" s="537"/>
      <c r="CD8" s="537"/>
      <c r="CE8" s="537"/>
      <c r="CF8" s="537"/>
      <c r="CG8" s="537"/>
    </row>
    <row r="9" spans="1:86" ht="11.45" customHeight="1" x14ac:dyDescent="0.2">
      <c r="A9" s="528"/>
      <c r="B9" s="528"/>
      <c r="C9" s="528"/>
      <c r="D9" s="528"/>
      <c r="E9" s="528"/>
      <c r="F9" s="528"/>
      <c r="G9" s="528"/>
      <c r="H9" s="528"/>
      <c r="I9" s="528"/>
      <c r="J9" s="528"/>
      <c r="K9" s="528"/>
      <c r="L9" s="528"/>
      <c r="M9" s="528"/>
      <c r="N9" s="528"/>
      <c r="O9" s="528"/>
      <c r="P9" s="528"/>
      <c r="Q9" s="528"/>
      <c r="R9" s="528"/>
      <c r="S9" s="528"/>
      <c r="T9" s="528"/>
      <c r="U9" s="528"/>
      <c r="V9" s="528"/>
      <c r="W9" s="528"/>
      <c r="X9" s="528"/>
      <c r="Y9" s="528"/>
      <c r="Z9" s="528"/>
      <c r="AA9" s="528"/>
      <c r="AB9" s="528"/>
      <c r="AC9" s="528"/>
      <c r="AD9" s="528"/>
      <c r="AE9" s="528"/>
      <c r="AF9" s="528"/>
      <c r="AG9" s="528"/>
      <c r="AH9" s="528"/>
      <c r="AI9" s="528"/>
      <c r="AJ9" s="528"/>
      <c r="AK9" s="528"/>
      <c r="AL9" s="528"/>
      <c r="AM9" s="528"/>
      <c r="AN9" s="528"/>
      <c r="AO9" s="528"/>
      <c r="AP9" s="528"/>
      <c r="AQ9" s="528"/>
      <c r="AR9" s="528"/>
      <c r="AS9" s="528"/>
      <c r="AT9" s="528"/>
      <c r="AU9" s="528"/>
      <c r="AV9" s="528"/>
      <c r="AW9" s="528"/>
      <c r="AX9" s="528"/>
      <c r="AY9" s="528"/>
      <c r="AZ9" s="528"/>
      <c r="BA9" s="528"/>
      <c r="BB9" s="528"/>
      <c r="BC9" s="528"/>
      <c r="BD9" s="528"/>
      <c r="BE9" s="528"/>
      <c r="BF9" s="528"/>
      <c r="BG9" s="528"/>
      <c r="BH9" s="528"/>
      <c r="BI9" s="528"/>
      <c r="BJ9" s="528"/>
      <c r="BK9" s="528"/>
      <c r="BL9" s="528"/>
      <c r="BM9" s="528"/>
      <c r="BN9" s="528"/>
      <c r="BO9" s="528"/>
      <c r="BP9" s="528"/>
      <c r="BQ9" s="528"/>
      <c r="BR9" s="528"/>
      <c r="BS9" s="528"/>
      <c r="BT9" s="528"/>
      <c r="BU9" s="528"/>
      <c r="BV9" s="528"/>
      <c r="BW9" s="528"/>
      <c r="BX9" s="528"/>
      <c r="BY9" s="528"/>
      <c r="BZ9" s="528"/>
      <c r="CA9" s="528"/>
      <c r="CB9" s="528"/>
      <c r="CC9" s="528"/>
      <c r="CD9" s="528"/>
      <c r="CE9" s="528"/>
      <c r="CF9" s="528"/>
      <c r="CG9" s="528"/>
    </row>
    <row r="10" spans="1:86" ht="11.45" customHeight="1" x14ac:dyDescent="0.2">
      <c r="A10" s="528"/>
      <c r="B10" s="528"/>
      <c r="C10" s="528"/>
      <c r="D10" s="528"/>
      <c r="E10" s="528"/>
      <c r="F10" s="528"/>
      <c r="G10" s="528"/>
      <c r="H10" s="528"/>
      <c r="I10" s="528"/>
      <c r="J10" s="528"/>
      <c r="K10" s="528"/>
      <c r="L10" s="528"/>
      <c r="M10" s="528"/>
      <c r="N10" s="528"/>
      <c r="O10" s="528"/>
      <c r="P10" s="528"/>
      <c r="Q10" s="528"/>
      <c r="R10" s="528"/>
      <c r="S10" s="528"/>
      <c r="T10" s="528"/>
      <c r="U10" s="528"/>
      <c r="V10" s="528"/>
      <c r="W10" s="528"/>
      <c r="X10" s="528"/>
      <c r="Y10" s="528"/>
      <c r="Z10" s="528"/>
      <c r="AA10" s="528"/>
      <c r="AB10" s="528"/>
      <c r="AC10" s="528"/>
      <c r="AD10" s="528"/>
      <c r="AE10" s="528"/>
      <c r="AF10" s="528"/>
      <c r="AG10" s="528"/>
      <c r="AH10" s="528"/>
      <c r="AI10" s="528"/>
      <c r="AJ10" s="528"/>
      <c r="AK10" s="528"/>
      <c r="AL10" s="528"/>
      <c r="AM10" s="528"/>
      <c r="AN10" s="528"/>
      <c r="AO10" s="528"/>
      <c r="AP10" s="528"/>
      <c r="AQ10" s="528"/>
      <c r="AR10" s="528"/>
      <c r="AS10" s="528"/>
      <c r="AT10" s="528"/>
      <c r="AU10" s="528"/>
      <c r="AV10" s="528"/>
      <c r="AW10" s="528"/>
      <c r="AX10" s="528"/>
      <c r="AY10" s="528"/>
      <c r="AZ10" s="528"/>
      <c r="BA10" s="528"/>
      <c r="BB10" s="528"/>
      <c r="BC10" s="528"/>
      <c r="BD10" s="528"/>
      <c r="BE10" s="528"/>
      <c r="BF10" s="528"/>
      <c r="BG10" s="528"/>
      <c r="BH10" s="528"/>
      <c r="BI10" s="528"/>
      <c r="BJ10" s="528"/>
      <c r="BK10" s="528"/>
      <c r="BL10" s="528"/>
      <c r="BM10" s="528"/>
      <c r="BN10" s="528"/>
      <c r="BO10" s="528"/>
      <c r="BP10" s="528"/>
      <c r="BQ10" s="528"/>
      <c r="BR10" s="528"/>
      <c r="BS10" s="528"/>
      <c r="BT10" s="528"/>
      <c r="BU10" s="528"/>
      <c r="BV10" s="528"/>
      <c r="BW10" s="528"/>
      <c r="BX10" s="528"/>
      <c r="BY10" s="528"/>
      <c r="BZ10" s="528"/>
      <c r="CA10" s="528"/>
      <c r="CB10" s="528"/>
      <c r="CC10" s="528"/>
      <c r="CD10" s="528"/>
      <c r="CE10" s="528"/>
      <c r="CF10" s="528"/>
      <c r="CG10" s="528"/>
    </row>
    <row r="11" spans="1:86" s="136" customFormat="1" ht="11.45" customHeight="1" x14ac:dyDescent="0.2">
      <c r="A11" s="529"/>
      <c r="B11" s="529"/>
      <c r="C11" s="529"/>
      <c r="D11" s="529"/>
      <c r="E11" s="529"/>
      <c r="F11" s="529"/>
      <c r="G11" s="529"/>
      <c r="H11" s="529"/>
      <c r="I11" s="529"/>
      <c r="J11" s="514" t="s">
        <v>181</v>
      </c>
      <c r="K11" s="514"/>
      <c r="L11" s="514"/>
      <c r="M11" s="514"/>
      <c r="N11" s="514"/>
      <c r="O11" s="514"/>
      <c r="P11" s="514"/>
      <c r="Q11" s="514"/>
      <c r="R11" s="514"/>
      <c r="S11" s="514"/>
      <c r="T11" s="514" t="s">
        <v>266</v>
      </c>
      <c r="U11" s="514"/>
      <c r="V11" s="514"/>
      <c r="W11" s="514"/>
      <c r="X11" s="514"/>
      <c r="Y11" s="514"/>
      <c r="Z11" s="514"/>
      <c r="AA11" s="514"/>
      <c r="AB11" s="514"/>
      <c r="AC11" s="514"/>
      <c r="AD11" s="514" t="s">
        <v>183</v>
      </c>
      <c r="AE11" s="514"/>
      <c r="AF11" s="514"/>
      <c r="AG11" s="514"/>
      <c r="AH11" s="514"/>
      <c r="AI11" s="514"/>
      <c r="AJ11" s="514"/>
      <c r="AK11" s="514"/>
      <c r="AL11" s="514"/>
      <c r="AM11" s="514"/>
      <c r="AN11" s="514" t="s">
        <v>182</v>
      </c>
      <c r="AO11" s="514"/>
      <c r="AP11" s="514"/>
      <c r="AQ11" s="514"/>
      <c r="AR11" s="514"/>
      <c r="AS11" s="514"/>
      <c r="AT11" s="514"/>
      <c r="AU11" s="514"/>
      <c r="AV11" s="514"/>
      <c r="AW11" s="514"/>
      <c r="AX11" s="514" t="s">
        <v>488</v>
      </c>
      <c r="AY11" s="514"/>
      <c r="AZ11" s="514"/>
      <c r="BA11" s="514"/>
      <c r="BB11" s="514"/>
      <c r="BC11" s="514"/>
      <c r="BD11" s="514"/>
      <c r="BE11" s="514"/>
      <c r="BF11" s="514"/>
      <c r="BG11" s="514"/>
      <c r="BH11" s="514"/>
      <c r="BI11" s="514"/>
      <c r="BJ11" s="514"/>
      <c r="BK11" s="514"/>
      <c r="BL11" s="514"/>
      <c r="BM11" s="514"/>
      <c r="BN11" s="514"/>
      <c r="BO11" s="514"/>
      <c r="BP11" s="514"/>
      <c r="BQ11" s="514"/>
      <c r="BR11" s="514"/>
      <c r="BS11" s="514"/>
      <c r="BT11" s="514"/>
      <c r="BU11" s="514"/>
      <c r="BV11" s="514"/>
      <c r="BW11" s="514"/>
      <c r="BX11" s="514"/>
      <c r="BY11" s="514" t="s">
        <v>489</v>
      </c>
      <c r="BZ11" s="514"/>
      <c r="CA11" s="514"/>
      <c r="CB11" s="514"/>
      <c r="CC11" s="514"/>
      <c r="CD11" s="514"/>
      <c r="CE11" s="514"/>
      <c r="CF11" s="514"/>
      <c r="CG11" s="514"/>
      <c r="CH11" s="135"/>
    </row>
    <row r="12" spans="1:86" s="136" customFormat="1" ht="11.45" customHeight="1" x14ac:dyDescent="0.2">
      <c r="A12" s="529"/>
      <c r="B12" s="529"/>
      <c r="C12" s="529"/>
      <c r="D12" s="529"/>
      <c r="E12" s="529"/>
      <c r="F12" s="529"/>
      <c r="G12" s="529"/>
      <c r="H12" s="529"/>
      <c r="I12" s="529"/>
      <c r="J12" s="514"/>
      <c r="K12" s="514"/>
      <c r="L12" s="514"/>
      <c r="M12" s="514"/>
      <c r="N12" s="514"/>
      <c r="O12" s="514"/>
      <c r="P12" s="514"/>
      <c r="Q12" s="514"/>
      <c r="R12" s="514"/>
      <c r="S12" s="514"/>
      <c r="T12" s="514"/>
      <c r="U12" s="514"/>
      <c r="V12" s="514"/>
      <c r="W12" s="514"/>
      <c r="X12" s="514"/>
      <c r="Y12" s="514"/>
      <c r="Z12" s="514"/>
      <c r="AA12" s="514"/>
      <c r="AB12" s="514"/>
      <c r="AC12" s="514"/>
      <c r="AD12" s="514"/>
      <c r="AE12" s="514"/>
      <c r="AF12" s="514"/>
      <c r="AG12" s="514"/>
      <c r="AH12" s="514"/>
      <c r="AI12" s="514"/>
      <c r="AJ12" s="514"/>
      <c r="AK12" s="514"/>
      <c r="AL12" s="514"/>
      <c r="AM12" s="514"/>
      <c r="AN12" s="514"/>
      <c r="AO12" s="514"/>
      <c r="AP12" s="514"/>
      <c r="AQ12" s="514"/>
      <c r="AR12" s="514"/>
      <c r="AS12" s="514"/>
      <c r="AT12" s="514"/>
      <c r="AU12" s="514"/>
      <c r="AV12" s="514"/>
      <c r="AW12" s="514"/>
      <c r="AX12" s="514" t="s">
        <v>490</v>
      </c>
      <c r="AY12" s="514"/>
      <c r="AZ12" s="514"/>
      <c r="BA12" s="514"/>
      <c r="BB12" s="514"/>
      <c r="BC12" s="514"/>
      <c r="BD12" s="514"/>
      <c r="BE12" s="514"/>
      <c r="BF12" s="514"/>
      <c r="BG12" s="514" t="s">
        <v>491</v>
      </c>
      <c r="BH12" s="514"/>
      <c r="BI12" s="514"/>
      <c r="BJ12" s="514"/>
      <c r="BK12" s="514"/>
      <c r="BL12" s="514"/>
      <c r="BM12" s="514"/>
      <c r="BN12" s="514"/>
      <c r="BO12" s="514"/>
      <c r="BP12" s="514" t="s">
        <v>492</v>
      </c>
      <c r="BQ12" s="514"/>
      <c r="BR12" s="514"/>
      <c r="BS12" s="514"/>
      <c r="BT12" s="514"/>
      <c r="BU12" s="514"/>
      <c r="BV12" s="514"/>
      <c r="BW12" s="514"/>
      <c r="BX12" s="514"/>
      <c r="BY12" s="514"/>
      <c r="BZ12" s="514"/>
      <c r="CA12" s="514"/>
      <c r="CB12" s="514"/>
      <c r="CC12" s="514"/>
      <c r="CD12" s="514"/>
      <c r="CE12" s="514"/>
      <c r="CF12" s="514"/>
      <c r="CG12" s="514"/>
      <c r="CH12" s="135"/>
    </row>
    <row r="13" spans="1:86" s="136" customFormat="1" ht="11.45" customHeight="1" x14ac:dyDescent="0.2">
      <c r="A13" s="514" t="s">
        <v>1</v>
      </c>
      <c r="B13" s="514"/>
      <c r="C13" s="514"/>
      <c r="D13" s="514"/>
      <c r="E13" s="514"/>
      <c r="F13" s="514"/>
      <c r="G13" s="514"/>
      <c r="H13" s="514"/>
      <c r="I13" s="514"/>
      <c r="J13" s="514"/>
      <c r="K13" s="514"/>
      <c r="L13" s="514"/>
      <c r="M13" s="514"/>
      <c r="N13" s="514"/>
      <c r="O13" s="514"/>
      <c r="P13" s="514"/>
      <c r="Q13" s="514"/>
      <c r="R13" s="514"/>
      <c r="S13" s="514"/>
      <c r="T13" s="514"/>
      <c r="U13" s="514"/>
      <c r="V13" s="514"/>
      <c r="W13" s="514"/>
      <c r="X13" s="514"/>
      <c r="Y13" s="514"/>
      <c r="Z13" s="514"/>
      <c r="AA13" s="514"/>
      <c r="AB13" s="514"/>
      <c r="AC13" s="514"/>
      <c r="AD13" s="514"/>
      <c r="AE13" s="514"/>
      <c r="AF13" s="514"/>
      <c r="AG13" s="514"/>
      <c r="AH13" s="514"/>
      <c r="AI13" s="514"/>
      <c r="AJ13" s="514"/>
      <c r="AK13" s="514"/>
      <c r="AL13" s="514"/>
      <c r="AM13" s="514"/>
      <c r="AN13" s="514"/>
      <c r="AO13" s="514"/>
      <c r="AP13" s="514"/>
      <c r="AQ13" s="514"/>
      <c r="AR13" s="514"/>
      <c r="AS13" s="514"/>
      <c r="AT13" s="514"/>
      <c r="AU13" s="514"/>
      <c r="AV13" s="514"/>
      <c r="AW13" s="514"/>
      <c r="AX13" s="514"/>
      <c r="AY13" s="514"/>
      <c r="AZ13" s="514"/>
      <c r="BA13" s="514"/>
      <c r="BB13" s="514"/>
      <c r="BC13" s="514"/>
      <c r="BD13" s="514"/>
      <c r="BE13" s="514"/>
      <c r="BF13" s="514"/>
      <c r="BG13" s="514"/>
      <c r="BH13" s="514"/>
      <c r="BI13" s="514"/>
      <c r="BJ13" s="514"/>
      <c r="BK13" s="514"/>
      <c r="BL13" s="514"/>
      <c r="BM13" s="514"/>
      <c r="BN13" s="514"/>
      <c r="BO13" s="514"/>
      <c r="BP13" s="514"/>
      <c r="BQ13" s="514"/>
      <c r="BR13" s="514"/>
      <c r="BS13" s="514"/>
      <c r="BT13" s="514"/>
      <c r="BU13" s="514"/>
      <c r="BV13" s="514"/>
      <c r="BW13" s="514"/>
      <c r="BX13" s="514"/>
      <c r="BY13" s="514"/>
      <c r="BZ13" s="514"/>
      <c r="CA13" s="514"/>
      <c r="CB13" s="514"/>
      <c r="CC13" s="514"/>
      <c r="CD13" s="514"/>
      <c r="CE13" s="514"/>
      <c r="CF13" s="514"/>
      <c r="CG13" s="514"/>
    </row>
    <row r="14" spans="1:86" s="136" customFormat="1" ht="11.45" customHeight="1" x14ac:dyDescent="0.2">
      <c r="A14" s="514"/>
      <c r="B14" s="514"/>
      <c r="C14" s="514"/>
      <c r="D14" s="514"/>
      <c r="E14" s="514"/>
      <c r="F14" s="514"/>
      <c r="G14" s="514"/>
      <c r="H14" s="514"/>
      <c r="I14" s="514"/>
      <c r="J14" s="514"/>
      <c r="K14" s="514"/>
      <c r="L14" s="514"/>
      <c r="M14" s="514"/>
      <c r="N14" s="514"/>
      <c r="O14" s="514"/>
      <c r="P14" s="514"/>
      <c r="Q14" s="514"/>
      <c r="R14" s="514"/>
      <c r="S14" s="514"/>
      <c r="T14" s="514"/>
      <c r="U14" s="514"/>
      <c r="V14" s="514"/>
      <c r="W14" s="514"/>
      <c r="X14" s="514"/>
      <c r="Y14" s="514"/>
      <c r="Z14" s="514"/>
      <c r="AA14" s="514"/>
      <c r="AB14" s="514"/>
      <c r="AC14" s="514"/>
      <c r="AD14" s="514"/>
      <c r="AE14" s="514"/>
      <c r="AF14" s="514"/>
      <c r="AG14" s="514"/>
      <c r="AH14" s="514"/>
      <c r="AI14" s="514"/>
      <c r="AJ14" s="514"/>
      <c r="AK14" s="514"/>
      <c r="AL14" s="514"/>
      <c r="AM14" s="514"/>
      <c r="AN14" s="514"/>
      <c r="AO14" s="514"/>
      <c r="AP14" s="514"/>
      <c r="AQ14" s="514"/>
      <c r="AR14" s="514"/>
      <c r="AS14" s="514"/>
      <c r="AT14" s="514"/>
      <c r="AU14" s="514"/>
      <c r="AV14" s="514"/>
      <c r="AW14" s="514"/>
      <c r="AX14" s="514"/>
      <c r="AY14" s="514"/>
      <c r="AZ14" s="514"/>
      <c r="BA14" s="514"/>
      <c r="BB14" s="514"/>
      <c r="BC14" s="514"/>
      <c r="BD14" s="514"/>
      <c r="BE14" s="514"/>
      <c r="BF14" s="514"/>
      <c r="BG14" s="514"/>
      <c r="BH14" s="514"/>
      <c r="BI14" s="514"/>
      <c r="BJ14" s="514"/>
      <c r="BK14" s="514"/>
      <c r="BL14" s="514"/>
      <c r="BM14" s="514"/>
      <c r="BN14" s="514"/>
      <c r="BO14" s="514"/>
      <c r="BP14" s="514"/>
      <c r="BQ14" s="514"/>
      <c r="BR14" s="514"/>
      <c r="BS14" s="514"/>
      <c r="BT14" s="514"/>
      <c r="BU14" s="514"/>
      <c r="BV14" s="514"/>
      <c r="BW14" s="514"/>
      <c r="BX14" s="514"/>
      <c r="BY14" s="514"/>
      <c r="BZ14" s="514"/>
      <c r="CA14" s="514"/>
      <c r="CB14" s="514"/>
      <c r="CC14" s="514"/>
      <c r="CD14" s="514"/>
      <c r="CE14" s="514"/>
      <c r="CF14" s="514"/>
      <c r="CG14" s="514"/>
    </row>
    <row r="15" spans="1:86" s="136" customFormat="1" ht="11.45" customHeight="1" x14ac:dyDescent="0.2">
      <c r="A15" s="514" t="s">
        <v>493</v>
      </c>
      <c r="B15" s="514"/>
      <c r="C15" s="514"/>
      <c r="D15" s="514"/>
      <c r="E15" s="514"/>
      <c r="F15" s="514"/>
      <c r="G15" s="514"/>
      <c r="H15" s="514"/>
      <c r="I15" s="514"/>
      <c r="J15" s="514"/>
      <c r="K15" s="514"/>
      <c r="L15" s="514"/>
      <c r="M15" s="514"/>
      <c r="N15" s="514"/>
      <c r="O15" s="514"/>
      <c r="P15" s="514"/>
      <c r="Q15" s="514"/>
      <c r="R15" s="514"/>
      <c r="S15" s="514"/>
      <c r="T15" s="514"/>
      <c r="U15" s="514"/>
      <c r="V15" s="514"/>
      <c r="W15" s="514"/>
      <c r="X15" s="514"/>
      <c r="Y15" s="514"/>
      <c r="Z15" s="514"/>
      <c r="AA15" s="514"/>
      <c r="AB15" s="514"/>
      <c r="AC15" s="514"/>
      <c r="AD15" s="531"/>
      <c r="AE15" s="532"/>
      <c r="AF15" s="532"/>
      <c r="AG15" s="532"/>
      <c r="AH15" s="532"/>
      <c r="AI15" s="532"/>
      <c r="AJ15" s="532"/>
      <c r="AK15" s="532"/>
      <c r="AL15" s="532"/>
      <c r="AM15" s="533"/>
      <c r="AN15" s="514"/>
      <c r="AO15" s="514"/>
      <c r="AP15" s="514"/>
      <c r="AQ15" s="514"/>
      <c r="AR15" s="514"/>
      <c r="AS15" s="514"/>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4"/>
      <c r="BX15" s="514"/>
      <c r="BY15" s="514"/>
      <c r="BZ15" s="514"/>
      <c r="CA15" s="514"/>
      <c r="CB15" s="514"/>
      <c r="CC15" s="514"/>
      <c r="CD15" s="514"/>
      <c r="CE15" s="514"/>
      <c r="CF15" s="514"/>
      <c r="CG15" s="514"/>
    </row>
    <row r="16" spans="1:86" s="136" customFormat="1" ht="11.45" customHeight="1" x14ac:dyDescent="0.2">
      <c r="A16" s="514"/>
      <c r="B16" s="514"/>
      <c r="C16" s="514"/>
      <c r="D16" s="514"/>
      <c r="E16" s="514"/>
      <c r="F16" s="514"/>
      <c r="G16" s="514"/>
      <c r="H16" s="514"/>
      <c r="I16" s="514"/>
      <c r="J16" s="514"/>
      <c r="K16" s="514"/>
      <c r="L16" s="514"/>
      <c r="M16" s="514"/>
      <c r="N16" s="514"/>
      <c r="O16" s="514"/>
      <c r="P16" s="514"/>
      <c r="Q16" s="514"/>
      <c r="R16" s="514"/>
      <c r="S16" s="514"/>
      <c r="T16" s="514"/>
      <c r="U16" s="514"/>
      <c r="V16" s="514"/>
      <c r="W16" s="514"/>
      <c r="X16" s="514"/>
      <c r="Y16" s="514"/>
      <c r="Z16" s="514"/>
      <c r="AA16" s="514"/>
      <c r="AB16" s="514"/>
      <c r="AC16" s="514"/>
      <c r="AD16" s="534"/>
      <c r="AE16" s="535"/>
      <c r="AF16" s="535"/>
      <c r="AG16" s="535"/>
      <c r="AH16" s="535"/>
      <c r="AI16" s="535"/>
      <c r="AJ16" s="535"/>
      <c r="AK16" s="535"/>
      <c r="AL16" s="535"/>
      <c r="AM16" s="536"/>
      <c r="AN16" s="514"/>
      <c r="AO16" s="514"/>
      <c r="AP16" s="514"/>
      <c r="AQ16" s="514"/>
      <c r="AR16" s="514"/>
      <c r="AS16" s="514"/>
      <c r="AT16" s="514"/>
      <c r="AU16" s="514"/>
      <c r="AV16" s="514"/>
      <c r="AW16" s="514"/>
      <c r="AX16" s="514"/>
      <c r="AY16" s="514"/>
      <c r="AZ16" s="514"/>
      <c r="BA16" s="514"/>
      <c r="BB16" s="514"/>
      <c r="BC16" s="514"/>
      <c r="BD16" s="514"/>
      <c r="BE16" s="514"/>
      <c r="BF16" s="514"/>
      <c r="BG16" s="514"/>
      <c r="BH16" s="514"/>
      <c r="BI16" s="514"/>
      <c r="BJ16" s="514"/>
      <c r="BK16" s="514"/>
      <c r="BL16" s="514"/>
      <c r="BM16" s="514"/>
      <c r="BN16" s="514"/>
      <c r="BO16" s="514"/>
      <c r="BP16" s="514"/>
      <c r="BQ16" s="514"/>
      <c r="BR16" s="514"/>
      <c r="BS16" s="514"/>
      <c r="BT16" s="514"/>
      <c r="BU16" s="514"/>
      <c r="BV16" s="514"/>
      <c r="BW16" s="514"/>
      <c r="BX16" s="514"/>
      <c r="BY16" s="514"/>
      <c r="BZ16" s="514"/>
      <c r="CA16" s="514"/>
      <c r="CB16" s="514"/>
      <c r="CC16" s="514"/>
      <c r="CD16" s="514"/>
      <c r="CE16" s="514"/>
      <c r="CF16" s="514"/>
      <c r="CG16" s="514"/>
    </row>
    <row r="17" spans="1:85" ht="11.45" customHeight="1" x14ac:dyDescent="0.2">
      <c r="A17" s="510"/>
      <c r="B17" s="510"/>
      <c r="C17" s="510"/>
      <c r="D17" s="510"/>
      <c r="E17" s="510"/>
      <c r="F17" s="510"/>
      <c r="G17" s="510"/>
      <c r="H17" s="510"/>
      <c r="I17" s="510"/>
      <c r="J17" s="510"/>
      <c r="K17" s="510"/>
      <c r="L17" s="510"/>
      <c r="M17" s="510"/>
      <c r="N17" s="510"/>
      <c r="O17" s="510"/>
      <c r="P17" s="510"/>
      <c r="Q17" s="510"/>
      <c r="R17" s="510"/>
      <c r="S17" s="510"/>
      <c r="T17" s="510"/>
      <c r="U17" s="510"/>
      <c r="V17" s="510"/>
      <c r="W17" s="510"/>
      <c r="X17" s="510"/>
      <c r="Y17" s="510"/>
      <c r="Z17" s="510"/>
      <c r="AA17" s="510"/>
      <c r="AB17" s="510"/>
      <c r="AC17" s="510"/>
      <c r="AD17" s="510"/>
      <c r="AE17" s="510"/>
      <c r="AF17" s="510"/>
      <c r="AG17" s="510"/>
      <c r="AH17" s="510"/>
      <c r="AI17" s="510"/>
      <c r="AJ17" s="510"/>
      <c r="AK17" s="510"/>
      <c r="AL17" s="510"/>
      <c r="AM17" s="510"/>
      <c r="AN17" s="510"/>
      <c r="AO17" s="510"/>
      <c r="AP17" s="510"/>
      <c r="AQ17" s="510"/>
      <c r="AR17" s="510"/>
      <c r="AS17" s="510"/>
      <c r="AT17" s="510"/>
      <c r="AU17" s="510"/>
      <c r="AV17" s="510"/>
      <c r="AW17" s="510"/>
      <c r="AX17" s="510"/>
      <c r="AY17" s="510"/>
      <c r="AZ17" s="510"/>
      <c r="BA17" s="510"/>
      <c r="BB17" s="510"/>
      <c r="BC17" s="510"/>
      <c r="BD17" s="510"/>
      <c r="BE17" s="510"/>
      <c r="BF17" s="510"/>
      <c r="BG17" s="510"/>
      <c r="BH17" s="510"/>
      <c r="BI17" s="510"/>
      <c r="BJ17" s="510"/>
      <c r="BK17" s="510"/>
      <c r="BL17" s="510"/>
      <c r="BM17" s="510"/>
      <c r="BN17" s="510"/>
      <c r="BO17" s="510"/>
      <c r="BP17" s="510"/>
      <c r="BQ17" s="510"/>
      <c r="BR17" s="510"/>
      <c r="BS17" s="510"/>
      <c r="BT17" s="510"/>
      <c r="BU17" s="510"/>
      <c r="BV17" s="510"/>
      <c r="BW17" s="510"/>
      <c r="BX17" s="510"/>
      <c r="BY17" s="510"/>
      <c r="BZ17" s="510"/>
      <c r="CA17" s="510"/>
      <c r="CB17" s="510"/>
      <c r="CC17" s="510"/>
      <c r="CD17" s="510"/>
      <c r="CE17" s="510"/>
      <c r="CF17" s="510"/>
      <c r="CG17" s="510"/>
    </row>
    <row r="18" spans="1:85" s="136" customFormat="1" ht="11.45" customHeight="1" thickBot="1" x14ac:dyDescent="0.25">
      <c r="A18" s="511"/>
      <c r="B18" s="511"/>
      <c r="C18" s="511"/>
      <c r="D18" s="511"/>
      <c r="E18" s="511"/>
      <c r="F18" s="511"/>
      <c r="G18" s="511"/>
      <c r="H18" s="511"/>
      <c r="I18" s="511"/>
      <c r="J18" s="511"/>
      <c r="K18" s="511"/>
      <c r="L18" s="511"/>
      <c r="M18" s="511"/>
      <c r="N18" s="511"/>
      <c r="O18" s="511"/>
      <c r="P18" s="511"/>
      <c r="Q18" s="511"/>
      <c r="R18" s="511"/>
      <c r="S18" s="511"/>
      <c r="T18" s="511"/>
      <c r="U18" s="511"/>
      <c r="V18" s="511"/>
      <c r="W18" s="511"/>
      <c r="X18" s="511"/>
      <c r="Y18" s="511"/>
      <c r="Z18" s="511"/>
      <c r="AA18" s="511"/>
      <c r="AB18" s="511"/>
      <c r="AC18" s="511"/>
      <c r="AD18" s="511"/>
      <c r="AE18" s="511"/>
      <c r="AF18" s="511"/>
      <c r="AG18" s="511"/>
      <c r="AH18" s="511"/>
      <c r="AI18" s="511"/>
      <c r="AJ18" s="511"/>
      <c r="AK18" s="511"/>
      <c r="AL18" s="511"/>
      <c r="AM18" s="511"/>
      <c r="AN18" s="511"/>
      <c r="AO18" s="511"/>
      <c r="AP18" s="511"/>
      <c r="AQ18" s="511"/>
      <c r="AR18" s="511"/>
      <c r="AS18" s="511"/>
      <c r="AT18" s="511"/>
      <c r="AU18" s="511"/>
      <c r="AV18" s="511"/>
      <c r="AW18" s="511"/>
      <c r="AX18" s="511"/>
      <c r="AY18" s="511"/>
      <c r="AZ18" s="511"/>
      <c r="BA18" s="511"/>
      <c r="BB18" s="511"/>
      <c r="BC18" s="511"/>
      <c r="BD18" s="511"/>
      <c r="BE18" s="511"/>
      <c r="BF18" s="511"/>
      <c r="BG18" s="511"/>
      <c r="BH18" s="511"/>
      <c r="BI18" s="511"/>
      <c r="BJ18" s="511"/>
      <c r="BK18" s="511"/>
      <c r="BL18" s="511"/>
      <c r="BM18" s="511"/>
      <c r="BN18" s="511"/>
      <c r="BO18" s="511"/>
      <c r="BP18" s="511"/>
      <c r="BQ18" s="511"/>
      <c r="BR18" s="511"/>
      <c r="BS18" s="511"/>
      <c r="BT18" s="511"/>
      <c r="BU18" s="511"/>
      <c r="BV18" s="511"/>
      <c r="BW18" s="511"/>
      <c r="BX18" s="511"/>
      <c r="BY18" s="511"/>
      <c r="BZ18" s="511"/>
      <c r="CA18" s="511"/>
      <c r="CB18" s="511"/>
      <c r="CC18" s="511"/>
      <c r="CD18" s="511"/>
      <c r="CE18" s="511"/>
      <c r="CF18" s="511"/>
      <c r="CG18" s="511"/>
    </row>
    <row r="19" spans="1:85" s="136" customFormat="1" ht="11.45" customHeight="1" x14ac:dyDescent="0.2">
      <c r="A19" s="527" t="s">
        <v>494</v>
      </c>
      <c r="B19" s="527"/>
      <c r="C19" s="527"/>
      <c r="D19" s="527"/>
      <c r="E19" s="527"/>
      <c r="F19" s="527"/>
      <c r="G19" s="527"/>
      <c r="H19" s="527"/>
      <c r="I19" s="527"/>
      <c r="J19" s="527"/>
      <c r="K19" s="527"/>
      <c r="L19" s="527"/>
      <c r="M19" s="527"/>
      <c r="N19" s="527"/>
      <c r="O19" s="527"/>
      <c r="P19" s="527"/>
      <c r="Q19" s="527"/>
      <c r="R19" s="527"/>
      <c r="S19" s="527"/>
      <c r="T19" s="527"/>
      <c r="U19" s="527"/>
      <c r="V19" s="527"/>
      <c r="W19" s="527"/>
      <c r="X19" s="527"/>
      <c r="Y19" s="527"/>
      <c r="Z19" s="527"/>
      <c r="AA19" s="527"/>
      <c r="AB19" s="527"/>
      <c r="AC19" s="527"/>
      <c r="AD19" s="527"/>
      <c r="AE19" s="527"/>
      <c r="AF19" s="527"/>
      <c r="AG19" s="527"/>
      <c r="AH19" s="527"/>
      <c r="AI19" s="527"/>
      <c r="AJ19" s="527"/>
      <c r="AK19" s="527"/>
      <c r="AL19" s="527"/>
      <c r="AM19" s="527"/>
      <c r="AN19" s="527"/>
      <c r="AO19" s="527"/>
      <c r="AP19" s="527"/>
      <c r="AQ19" s="527"/>
      <c r="AR19" s="527"/>
      <c r="AS19" s="527"/>
      <c r="AT19" s="527"/>
      <c r="AU19" s="527"/>
      <c r="AV19" s="527"/>
      <c r="AW19" s="527"/>
      <c r="AX19" s="527"/>
      <c r="AY19" s="527"/>
      <c r="AZ19" s="527"/>
      <c r="BA19" s="527"/>
      <c r="BB19" s="527"/>
      <c r="BC19" s="527"/>
      <c r="BD19" s="527"/>
      <c r="BE19" s="527"/>
      <c r="BF19" s="527"/>
      <c r="BG19" s="527"/>
      <c r="BH19" s="527"/>
      <c r="BI19" s="527"/>
      <c r="BJ19" s="527"/>
      <c r="BK19" s="527"/>
      <c r="BL19" s="527"/>
      <c r="BM19" s="527"/>
      <c r="BN19" s="527"/>
      <c r="BO19" s="527"/>
      <c r="BP19" s="527"/>
      <c r="BQ19" s="527"/>
      <c r="BR19" s="527"/>
      <c r="BS19" s="527"/>
      <c r="BT19" s="527"/>
      <c r="BU19" s="527"/>
      <c r="BV19" s="527"/>
      <c r="BW19" s="527"/>
      <c r="BX19" s="527"/>
      <c r="BY19" s="527"/>
      <c r="BZ19" s="527"/>
      <c r="CA19" s="527"/>
      <c r="CB19" s="527"/>
      <c r="CC19" s="527"/>
      <c r="CD19" s="527"/>
      <c r="CE19" s="527"/>
      <c r="CF19" s="527"/>
      <c r="CG19" s="527"/>
    </row>
    <row r="20" spans="1:85" ht="11.45" customHeight="1" x14ac:dyDescent="0.2">
      <c r="A20" s="528"/>
      <c r="B20" s="528"/>
      <c r="C20" s="528"/>
      <c r="D20" s="528"/>
      <c r="E20" s="528"/>
      <c r="F20" s="528"/>
      <c r="G20" s="528"/>
      <c r="H20" s="528"/>
      <c r="I20" s="528"/>
      <c r="J20" s="528"/>
      <c r="K20" s="528"/>
      <c r="L20" s="528"/>
      <c r="M20" s="528"/>
      <c r="N20" s="528"/>
      <c r="O20" s="528"/>
      <c r="P20" s="528"/>
      <c r="Q20" s="528"/>
      <c r="R20" s="528"/>
      <c r="S20" s="528"/>
      <c r="T20" s="528"/>
      <c r="U20" s="528"/>
      <c r="V20" s="528"/>
      <c r="W20" s="528"/>
      <c r="X20" s="528"/>
      <c r="Y20" s="528"/>
      <c r="Z20" s="528"/>
      <c r="AA20" s="528"/>
      <c r="AB20" s="528"/>
      <c r="AC20" s="528"/>
      <c r="AD20" s="528"/>
      <c r="AE20" s="528"/>
      <c r="AF20" s="528"/>
      <c r="AG20" s="528"/>
      <c r="AH20" s="528"/>
      <c r="AI20" s="528"/>
      <c r="AJ20" s="528"/>
      <c r="AK20" s="528"/>
      <c r="AL20" s="528"/>
      <c r="AM20" s="528"/>
      <c r="AN20" s="528"/>
      <c r="AO20" s="528"/>
      <c r="AP20" s="528"/>
      <c r="AQ20" s="528"/>
      <c r="AR20" s="528"/>
      <c r="AS20" s="528"/>
      <c r="AT20" s="528"/>
      <c r="AU20" s="528"/>
      <c r="AV20" s="528"/>
      <c r="AW20" s="528"/>
      <c r="AX20" s="528"/>
      <c r="AY20" s="528"/>
      <c r="AZ20" s="528"/>
      <c r="BA20" s="528"/>
      <c r="BB20" s="528"/>
      <c r="BC20" s="528"/>
      <c r="BD20" s="528"/>
      <c r="BE20" s="528"/>
      <c r="BF20" s="528"/>
      <c r="BG20" s="528"/>
      <c r="BH20" s="528"/>
      <c r="BI20" s="528"/>
      <c r="BJ20" s="528"/>
      <c r="BK20" s="528"/>
      <c r="BL20" s="528"/>
      <c r="BM20" s="528"/>
      <c r="BN20" s="528"/>
      <c r="BO20" s="528"/>
      <c r="BP20" s="528"/>
      <c r="BQ20" s="528"/>
      <c r="BR20" s="528"/>
      <c r="BS20" s="528"/>
      <c r="BT20" s="528"/>
      <c r="BU20" s="528"/>
      <c r="BV20" s="528"/>
      <c r="BW20" s="528"/>
      <c r="BX20" s="528"/>
      <c r="BY20" s="528"/>
      <c r="BZ20" s="528"/>
      <c r="CA20" s="528"/>
      <c r="CB20" s="528"/>
      <c r="CC20" s="528"/>
      <c r="CD20" s="528"/>
      <c r="CE20" s="528"/>
      <c r="CF20" s="528"/>
      <c r="CG20" s="528"/>
    </row>
    <row r="21" spans="1:85" s="136" customFormat="1" ht="11.45" customHeight="1" x14ac:dyDescent="0.2">
      <c r="A21" s="528"/>
      <c r="B21" s="528"/>
      <c r="C21" s="528"/>
      <c r="D21" s="528"/>
      <c r="E21" s="528"/>
      <c r="F21" s="528"/>
      <c r="G21" s="528"/>
      <c r="H21" s="528"/>
      <c r="I21" s="528"/>
      <c r="J21" s="528"/>
      <c r="K21" s="528"/>
      <c r="L21" s="528"/>
      <c r="M21" s="528"/>
      <c r="N21" s="528"/>
      <c r="O21" s="528"/>
      <c r="P21" s="528"/>
      <c r="Q21" s="528"/>
      <c r="R21" s="528"/>
      <c r="S21" s="528"/>
      <c r="T21" s="528"/>
      <c r="U21" s="528"/>
      <c r="V21" s="528"/>
      <c r="W21" s="528"/>
      <c r="X21" s="528"/>
      <c r="Y21" s="528"/>
      <c r="Z21" s="528"/>
      <c r="AA21" s="528"/>
      <c r="AB21" s="528"/>
      <c r="AC21" s="528"/>
      <c r="AD21" s="528"/>
      <c r="AE21" s="528"/>
      <c r="AF21" s="528"/>
      <c r="AG21" s="528"/>
      <c r="AH21" s="528"/>
      <c r="AI21" s="528"/>
      <c r="AJ21" s="528"/>
      <c r="AK21" s="528"/>
      <c r="AL21" s="528"/>
      <c r="AM21" s="528"/>
      <c r="AN21" s="528"/>
      <c r="AO21" s="528"/>
      <c r="AP21" s="528"/>
      <c r="AQ21" s="528"/>
      <c r="AR21" s="528"/>
      <c r="AS21" s="528"/>
      <c r="AT21" s="528"/>
      <c r="AU21" s="528"/>
      <c r="AV21" s="528"/>
      <c r="AW21" s="528"/>
      <c r="AX21" s="528"/>
      <c r="AY21" s="528"/>
      <c r="AZ21" s="528"/>
      <c r="BA21" s="528"/>
      <c r="BB21" s="528"/>
      <c r="BC21" s="528"/>
      <c r="BD21" s="528"/>
      <c r="BE21" s="528"/>
      <c r="BF21" s="528"/>
      <c r="BG21" s="528"/>
      <c r="BH21" s="528"/>
      <c r="BI21" s="528"/>
      <c r="BJ21" s="528"/>
      <c r="BK21" s="528"/>
      <c r="BL21" s="528"/>
      <c r="BM21" s="528"/>
      <c r="BN21" s="528"/>
      <c r="BO21" s="528"/>
      <c r="BP21" s="528"/>
      <c r="BQ21" s="528"/>
      <c r="BR21" s="528"/>
      <c r="BS21" s="528"/>
      <c r="BT21" s="528"/>
      <c r="BU21" s="528"/>
      <c r="BV21" s="528"/>
      <c r="BW21" s="528"/>
      <c r="BX21" s="528"/>
      <c r="BY21" s="528"/>
      <c r="BZ21" s="528"/>
      <c r="CA21" s="528"/>
      <c r="CB21" s="528"/>
      <c r="CC21" s="528"/>
      <c r="CD21" s="528"/>
      <c r="CE21" s="528"/>
      <c r="CF21" s="528"/>
      <c r="CG21" s="528"/>
    </row>
    <row r="22" spans="1:85" s="136" customFormat="1" ht="11.45" customHeight="1" x14ac:dyDescent="0.2">
      <c r="A22" s="529"/>
      <c r="B22" s="529"/>
      <c r="C22" s="529"/>
      <c r="D22" s="529"/>
      <c r="E22" s="529"/>
      <c r="F22" s="529"/>
      <c r="G22" s="529"/>
      <c r="H22" s="529"/>
      <c r="I22" s="529"/>
      <c r="J22" s="523" t="s">
        <v>495</v>
      </c>
      <c r="K22" s="523"/>
      <c r="L22" s="523"/>
      <c r="M22" s="523"/>
      <c r="N22" s="523"/>
      <c r="O22" s="523"/>
      <c r="P22" s="523"/>
      <c r="Q22" s="523"/>
      <c r="R22" s="523"/>
      <c r="S22" s="523"/>
      <c r="T22" s="523"/>
      <c r="U22" s="523" t="s">
        <v>496</v>
      </c>
      <c r="V22" s="523"/>
      <c r="W22" s="523"/>
      <c r="X22" s="523"/>
      <c r="Y22" s="523"/>
      <c r="Z22" s="523"/>
      <c r="AA22" s="523"/>
      <c r="AB22" s="523"/>
      <c r="AC22" s="523"/>
      <c r="AD22" s="523"/>
      <c r="AE22" s="523"/>
      <c r="AF22" s="523" t="s">
        <v>497</v>
      </c>
      <c r="AG22" s="523"/>
      <c r="AH22" s="523"/>
      <c r="AI22" s="523"/>
      <c r="AJ22" s="523"/>
      <c r="AK22" s="523"/>
      <c r="AL22" s="523"/>
      <c r="AM22" s="523"/>
      <c r="AN22" s="523"/>
      <c r="AO22" s="523"/>
      <c r="AP22" s="523"/>
      <c r="AQ22" s="523" t="s">
        <v>498</v>
      </c>
      <c r="AR22" s="523"/>
      <c r="AS22" s="523"/>
      <c r="AT22" s="523"/>
      <c r="AU22" s="523"/>
      <c r="AV22" s="523"/>
      <c r="AW22" s="523"/>
      <c r="AX22" s="523"/>
      <c r="AY22" s="523"/>
      <c r="AZ22" s="523"/>
      <c r="BA22" s="523"/>
      <c r="BB22" s="523" t="s">
        <v>499</v>
      </c>
      <c r="BC22" s="523"/>
      <c r="BD22" s="523"/>
      <c r="BE22" s="523"/>
      <c r="BF22" s="523"/>
      <c r="BG22" s="523"/>
      <c r="BH22" s="523"/>
      <c r="BI22" s="523"/>
      <c r="BJ22" s="523"/>
      <c r="BK22" s="523"/>
      <c r="BL22" s="523"/>
      <c r="BM22" s="523" t="s">
        <v>500</v>
      </c>
      <c r="BN22" s="523"/>
      <c r="BO22" s="523"/>
      <c r="BP22" s="523"/>
      <c r="BQ22" s="523"/>
      <c r="BR22" s="523"/>
      <c r="BS22" s="523"/>
      <c r="BT22" s="523"/>
      <c r="BU22" s="523"/>
      <c r="BV22" s="523"/>
      <c r="BW22" s="523"/>
      <c r="BX22" s="523" t="s">
        <v>282</v>
      </c>
      <c r="BY22" s="523"/>
      <c r="BZ22" s="523"/>
      <c r="CA22" s="523"/>
      <c r="CB22" s="523"/>
      <c r="CC22" s="523"/>
      <c r="CD22" s="523"/>
      <c r="CE22" s="523"/>
      <c r="CF22" s="523"/>
      <c r="CG22" s="523"/>
    </row>
    <row r="23" spans="1:85" ht="11.45" customHeight="1" x14ac:dyDescent="0.2">
      <c r="A23" s="529"/>
      <c r="B23" s="529"/>
      <c r="C23" s="529"/>
      <c r="D23" s="529"/>
      <c r="E23" s="529"/>
      <c r="F23" s="529"/>
      <c r="G23" s="529"/>
      <c r="H23" s="529"/>
      <c r="I23" s="529"/>
      <c r="J23" s="523"/>
      <c r="K23" s="523"/>
      <c r="L23" s="523"/>
      <c r="M23" s="523"/>
      <c r="N23" s="523"/>
      <c r="O23" s="523"/>
      <c r="P23" s="523"/>
      <c r="Q23" s="523"/>
      <c r="R23" s="523"/>
      <c r="S23" s="523"/>
      <c r="T23" s="523"/>
      <c r="U23" s="523"/>
      <c r="V23" s="523"/>
      <c r="W23" s="523"/>
      <c r="X23" s="523"/>
      <c r="Y23" s="523"/>
      <c r="Z23" s="523"/>
      <c r="AA23" s="523"/>
      <c r="AB23" s="523"/>
      <c r="AC23" s="523"/>
      <c r="AD23" s="523"/>
      <c r="AE23" s="523"/>
      <c r="AF23" s="523"/>
      <c r="AG23" s="523"/>
      <c r="AH23" s="523"/>
      <c r="AI23" s="523"/>
      <c r="AJ23" s="523"/>
      <c r="AK23" s="523"/>
      <c r="AL23" s="523"/>
      <c r="AM23" s="523"/>
      <c r="AN23" s="523"/>
      <c r="AO23" s="523"/>
      <c r="AP23" s="523"/>
      <c r="AQ23" s="523"/>
      <c r="AR23" s="523"/>
      <c r="AS23" s="523"/>
      <c r="AT23" s="523"/>
      <c r="AU23" s="523"/>
      <c r="AV23" s="523"/>
      <c r="AW23" s="523"/>
      <c r="AX23" s="523"/>
      <c r="AY23" s="523"/>
      <c r="AZ23" s="523"/>
      <c r="BA23" s="523"/>
      <c r="BB23" s="523"/>
      <c r="BC23" s="523"/>
      <c r="BD23" s="523"/>
      <c r="BE23" s="523"/>
      <c r="BF23" s="523"/>
      <c r="BG23" s="523"/>
      <c r="BH23" s="523"/>
      <c r="BI23" s="523"/>
      <c r="BJ23" s="523"/>
      <c r="BK23" s="523"/>
      <c r="BL23" s="523"/>
      <c r="BM23" s="523"/>
      <c r="BN23" s="523"/>
      <c r="BO23" s="523"/>
      <c r="BP23" s="523"/>
      <c r="BQ23" s="523"/>
      <c r="BR23" s="523"/>
      <c r="BS23" s="523"/>
      <c r="BT23" s="523"/>
      <c r="BU23" s="523"/>
      <c r="BV23" s="523"/>
      <c r="BW23" s="523"/>
      <c r="BX23" s="523"/>
      <c r="BY23" s="523"/>
      <c r="BZ23" s="523"/>
      <c r="CA23" s="523"/>
      <c r="CB23" s="523"/>
      <c r="CC23" s="523"/>
      <c r="CD23" s="523"/>
      <c r="CE23" s="523"/>
      <c r="CF23" s="523"/>
      <c r="CG23" s="523"/>
    </row>
    <row r="24" spans="1:85" ht="15" customHeight="1" x14ac:dyDescent="0.2">
      <c r="A24" s="514" t="s">
        <v>1</v>
      </c>
      <c r="B24" s="514"/>
      <c r="C24" s="514"/>
      <c r="D24" s="514"/>
      <c r="E24" s="514" t="s">
        <v>267</v>
      </c>
      <c r="F24" s="514"/>
      <c r="G24" s="514"/>
      <c r="H24" s="514"/>
      <c r="I24" s="514"/>
      <c r="J24" s="564"/>
      <c r="K24" s="565"/>
      <c r="L24" s="565"/>
      <c r="M24" s="565"/>
      <c r="N24" s="565"/>
      <c r="O24" s="565"/>
      <c r="P24" s="565"/>
      <c r="Q24" s="565"/>
      <c r="R24" s="565"/>
      <c r="S24" s="565"/>
      <c r="T24" s="565"/>
      <c r="U24" s="564"/>
      <c r="V24" s="565"/>
      <c r="W24" s="565"/>
      <c r="X24" s="565"/>
      <c r="Y24" s="565"/>
      <c r="Z24" s="565"/>
      <c r="AA24" s="565"/>
      <c r="AB24" s="565"/>
      <c r="AC24" s="565"/>
      <c r="AD24" s="565"/>
      <c r="AE24" s="566"/>
      <c r="AF24" s="564"/>
      <c r="AG24" s="565"/>
      <c r="AH24" s="565"/>
      <c r="AI24" s="565"/>
      <c r="AJ24" s="565"/>
      <c r="AK24" s="565"/>
      <c r="AL24" s="565"/>
      <c r="AM24" s="565"/>
      <c r="AN24" s="565"/>
      <c r="AO24" s="565"/>
      <c r="AP24" s="566"/>
      <c r="AQ24" s="564"/>
      <c r="AR24" s="565"/>
      <c r="AS24" s="565"/>
      <c r="AT24" s="565"/>
      <c r="AU24" s="565"/>
      <c r="AV24" s="565"/>
      <c r="AW24" s="565"/>
      <c r="AX24" s="565"/>
      <c r="AY24" s="565"/>
      <c r="AZ24" s="565"/>
      <c r="BA24" s="566"/>
      <c r="BB24" s="564"/>
      <c r="BC24" s="565"/>
      <c r="BD24" s="565"/>
      <c r="BE24" s="565"/>
      <c r="BF24" s="565"/>
      <c r="BG24" s="565"/>
      <c r="BH24" s="565"/>
      <c r="BI24" s="565"/>
      <c r="BJ24" s="565"/>
      <c r="BK24" s="565"/>
      <c r="BL24" s="566"/>
      <c r="BM24" s="564"/>
      <c r="BN24" s="565"/>
      <c r="BO24" s="565"/>
      <c r="BP24" s="565"/>
      <c r="BQ24" s="565"/>
      <c r="BR24" s="565"/>
      <c r="BS24" s="565"/>
      <c r="BT24" s="565"/>
      <c r="BU24" s="565"/>
      <c r="BV24" s="565"/>
      <c r="BW24" s="566"/>
      <c r="BX24" s="564"/>
      <c r="BY24" s="565"/>
      <c r="BZ24" s="565"/>
      <c r="CA24" s="565"/>
      <c r="CB24" s="565"/>
      <c r="CC24" s="565"/>
      <c r="CD24" s="565"/>
      <c r="CE24" s="565"/>
      <c r="CF24" s="565"/>
      <c r="CG24" s="566"/>
    </row>
    <row r="25" spans="1:85" ht="15" customHeight="1" x14ac:dyDescent="0.2">
      <c r="A25" s="514"/>
      <c r="B25" s="514"/>
      <c r="C25" s="514"/>
      <c r="D25" s="514"/>
      <c r="E25" s="514" t="s">
        <v>1</v>
      </c>
      <c r="F25" s="514"/>
      <c r="G25" s="514"/>
      <c r="H25" s="514"/>
      <c r="I25" s="514"/>
      <c r="J25" s="554"/>
      <c r="K25" s="555"/>
      <c r="L25" s="555"/>
      <c r="M25" s="555"/>
      <c r="N25" s="555"/>
      <c r="O25" s="555"/>
      <c r="P25" s="555"/>
      <c r="Q25" s="555"/>
      <c r="R25" s="555"/>
      <c r="S25" s="555"/>
      <c r="T25" s="556"/>
      <c r="U25" s="554"/>
      <c r="V25" s="555"/>
      <c r="W25" s="555"/>
      <c r="X25" s="555"/>
      <c r="Y25" s="555"/>
      <c r="Z25" s="555"/>
      <c r="AA25" s="555"/>
      <c r="AB25" s="555"/>
      <c r="AC25" s="555"/>
      <c r="AD25" s="555"/>
      <c r="AE25" s="556"/>
      <c r="AF25" s="554"/>
      <c r="AG25" s="555"/>
      <c r="AH25" s="555"/>
      <c r="AI25" s="555"/>
      <c r="AJ25" s="555"/>
      <c r="AK25" s="555"/>
      <c r="AL25" s="555"/>
      <c r="AM25" s="555"/>
      <c r="AN25" s="555"/>
      <c r="AO25" s="555"/>
      <c r="AP25" s="556"/>
      <c r="AQ25" s="554"/>
      <c r="AR25" s="555"/>
      <c r="AS25" s="555"/>
      <c r="AT25" s="555"/>
      <c r="AU25" s="555"/>
      <c r="AV25" s="555"/>
      <c r="AW25" s="555"/>
      <c r="AX25" s="555"/>
      <c r="AY25" s="555"/>
      <c r="AZ25" s="555"/>
      <c r="BA25" s="556"/>
      <c r="BB25" s="554"/>
      <c r="BC25" s="555"/>
      <c r="BD25" s="555"/>
      <c r="BE25" s="555"/>
      <c r="BF25" s="555"/>
      <c r="BG25" s="555"/>
      <c r="BH25" s="555"/>
      <c r="BI25" s="555"/>
      <c r="BJ25" s="555"/>
      <c r="BK25" s="555"/>
      <c r="BL25" s="556"/>
      <c r="BM25" s="554"/>
      <c r="BN25" s="555"/>
      <c r="BO25" s="555"/>
      <c r="BP25" s="555"/>
      <c r="BQ25" s="555"/>
      <c r="BR25" s="555"/>
      <c r="BS25" s="555"/>
      <c r="BT25" s="555"/>
      <c r="BU25" s="555"/>
      <c r="BV25" s="555"/>
      <c r="BW25" s="556"/>
      <c r="BX25" s="554"/>
      <c r="BY25" s="555"/>
      <c r="BZ25" s="555"/>
      <c r="CA25" s="555"/>
      <c r="CB25" s="555"/>
      <c r="CC25" s="555"/>
      <c r="CD25" s="555"/>
      <c r="CE25" s="555"/>
      <c r="CF25" s="555"/>
      <c r="CG25" s="556"/>
    </row>
    <row r="26" spans="1:85" ht="15" customHeight="1" x14ac:dyDescent="0.2">
      <c r="A26" s="530"/>
      <c r="B26" s="530"/>
      <c r="C26" s="530"/>
      <c r="D26" s="530"/>
      <c r="E26" s="530" t="s">
        <v>493</v>
      </c>
      <c r="F26" s="530"/>
      <c r="G26" s="530"/>
      <c r="H26" s="530"/>
      <c r="I26" s="530"/>
      <c r="J26" s="557"/>
      <c r="K26" s="557"/>
      <c r="L26" s="557"/>
      <c r="M26" s="557"/>
      <c r="N26" s="557"/>
      <c r="O26" s="557"/>
      <c r="P26" s="557"/>
      <c r="Q26" s="557"/>
      <c r="R26" s="557"/>
      <c r="S26" s="557"/>
      <c r="T26" s="557"/>
      <c r="U26" s="558"/>
      <c r="V26" s="559"/>
      <c r="W26" s="559"/>
      <c r="X26" s="559"/>
      <c r="Y26" s="559"/>
      <c r="Z26" s="559"/>
      <c r="AA26" s="559"/>
      <c r="AB26" s="559"/>
      <c r="AC26" s="559"/>
      <c r="AD26" s="559"/>
      <c r="AE26" s="560"/>
      <c r="AF26" s="558"/>
      <c r="AG26" s="559"/>
      <c r="AH26" s="559"/>
      <c r="AI26" s="559"/>
      <c r="AJ26" s="559"/>
      <c r="AK26" s="559"/>
      <c r="AL26" s="559"/>
      <c r="AM26" s="559"/>
      <c r="AN26" s="559"/>
      <c r="AO26" s="559"/>
      <c r="AP26" s="560"/>
      <c r="AQ26" s="558"/>
      <c r="AR26" s="559"/>
      <c r="AS26" s="559"/>
      <c r="AT26" s="559"/>
      <c r="AU26" s="559"/>
      <c r="AV26" s="559"/>
      <c r="AW26" s="559"/>
      <c r="AX26" s="559"/>
      <c r="AY26" s="559"/>
      <c r="AZ26" s="559"/>
      <c r="BA26" s="560"/>
      <c r="BB26" s="558"/>
      <c r="BC26" s="559"/>
      <c r="BD26" s="559"/>
      <c r="BE26" s="559"/>
      <c r="BF26" s="559"/>
      <c r="BG26" s="559"/>
      <c r="BH26" s="559"/>
      <c r="BI26" s="559"/>
      <c r="BJ26" s="559"/>
      <c r="BK26" s="559"/>
      <c r="BL26" s="560"/>
      <c r="BM26" s="558"/>
      <c r="BN26" s="559"/>
      <c r="BO26" s="559"/>
      <c r="BP26" s="559"/>
      <c r="BQ26" s="559"/>
      <c r="BR26" s="559"/>
      <c r="BS26" s="559"/>
      <c r="BT26" s="559"/>
      <c r="BU26" s="559"/>
      <c r="BV26" s="559"/>
      <c r="BW26" s="560"/>
      <c r="BX26" s="561"/>
      <c r="BY26" s="562"/>
      <c r="BZ26" s="562"/>
      <c r="CA26" s="562"/>
      <c r="CB26" s="562"/>
      <c r="CC26" s="562"/>
      <c r="CD26" s="562"/>
      <c r="CE26" s="562"/>
      <c r="CF26" s="562"/>
      <c r="CG26" s="563"/>
    </row>
    <row r="27" spans="1:85" ht="11.45" customHeight="1" x14ac:dyDescent="0.2">
      <c r="A27" s="522"/>
      <c r="B27" s="522"/>
      <c r="C27" s="522"/>
      <c r="D27" s="522"/>
      <c r="E27" s="522"/>
      <c r="F27" s="522"/>
      <c r="G27" s="522"/>
      <c r="H27" s="522"/>
      <c r="I27" s="522"/>
      <c r="J27" s="522"/>
      <c r="K27" s="522"/>
      <c r="L27" s="522"/>
      <c r="M27" s="522"/>
      <c r="N27" s="522"/>
      <c r="O27" s="522"/>
      <c r="P27" s="522"/>
      <c r="Q27" s="522"/>
      <c r="R27" s="522"/>
      <c r="S27" s="522"/>
      <c r="T27" s="522"/>
      <c r="U27" s="522"/>
      <c r="V27" s="522"/>
      <c r="W27" s="522"/>
      <c r="X27" s="522"/>
      <c r="Y27" s="522"/>
      <c r="Z27" s="522"/>
      <c r="AA27" s="522"/>
      <c r="AB27" s="522"/>
      <c r="AC27" s="522"/>
      <c r="AD27" s="522"/>
      <c r="AE27" s="522"/>
      <c r="AF27" s="522"/>
      <c r="AG27" s="522"/>
      <c r="AH27" s="522"/>
      <c r="AI27" s="522"/>
      <c r="AJ27" s="522"/>
      <c r="AK27" s="522"/>
      <c r="AL27" s="522"/>
      <c r="AM27" s="522"/>
      <c r="AN27" s="522"/>
      <c r="AO27" s="522"/>
      <c r="AP27" s="522"/>
      <c r="AQ27" s="522"/>
      <c r="AR27" s="522"/>
      <c r="AS27" s="522"/>
      <c r="AT27" s="522"/>
      <c r="AU27" s="522"/>
      <c r="AV27" s="522"/>
      <c r="AW27" s="522"/>
      <c r="AX27" s="522"/>
      <c r="AY27" s="522"/>
      <c r="AZ27" s="522"/>
      <c r="BA27" s="522"/>
      <c r="BB27" s="522"/>
      <c r="BC27" s="522"/>
      <c r="BD27" s="522"/>
      <c r="BE27" s="522"/>
      <c r="BF27" s="522"/>
      <c r="BG27" s="522"/>
      <c r="BH27" s="522"/>
      <c r="BI27" s="522"/>
      <c r="BJ27" s="522"/>
      <c r="BK27" s="522"/>
      <c r="BL27" s="522"/>
      <c r="BM27" s="522"/>
      <c r="BN27" s="522"/>
      <c r="BO27" s="522"/>
      <c r="BP27" s="522"/>
      <c r="BQ27" s="522"/>
      <c r="BR27" s="522"/>
      <c r="BS27" s="522"/>
      <c r="BT27" s="522"/>
      <c r="BU27" s="522"/>
      <c r="BV27" s="522"/>
      <c r="BW27" s="522"/>
      <c r="BX27" s="522"/>
      <c r="BY27" s="522"/>
      <c r="BZ27" s="522"/>
      <c r="CA27" s="522"/>
      <c r="CB27" s="522"/>
      <c r="CC27" s="522"/>
      <c r="CD27" s="522"/>
      <c r="CE27" s="522"/>
      <c r="CF27" s="522"/>
      <c r="CG27" s="522"/>
    </row>
    <row r="28" spans="1:85" ht="15" customHeight="1" x14ac:dyDescent="0.2">
      <c r="A28" s="523" t="s">
        <v>501</v>
      </c>
      <c r="B28" s="523"/>
      <c r="C28" s="523"/>
      <c r="D28" s="523"/>
      <c r="E28" s="514" t="s">
        <v>267</v>
      </c>
      <c r="F28" s="514"/>
      <c r="G28" s="514"/>
      <c r="H28" s="514"/>
      <c r="I28" s="514"/>
      <c r="J28" s="564"/>
      <c r="K28" s="565"/>
      <c r="L28" s="565"/>
      <c r="M28" s="565"/>
      <c r="N28" s="565"/>
      <c r="O28" s="565"/>
      <c r="P28" s="565"/>
      <c r="Q28" s="565"/>
      <c r="R28" s="565"/>
      <c r="S28" s="565"/>
      <c r="T28" s="565"/>
      <c r="U28" s="564"/>
      <c r="V28" s="565"/>
      <c r="W28" s="565"/>
      <c r="X28" s="565"/>
      <c r="Y28" s="565"/>
      <c r="Z28" s="565"/>
      <c r="AA28" s="565"/>
      <c r="AB28" s="565"/>
      <c r="AC28" s="565"/>
      <c r="AD28" s="565"/>
      <c r="AE28" s="566"/>
      <c r="AF28" s="564"/>
      <c r="AG28" s="565"/>
      <c r="AH28" s="565"/>
      <c r="AI28" s="565"/>
      <c r="AJ28" s="565"/>
      <c r="AK28" s="565"/>
      <c r="AL28" s="565"/>
      <c r="AM28" s="565"/>
      <c r="AN28" s="565"/>
      <c r="AO28" s="565"/>
      <c r="AP28" s="566"/>
      <c r="AQ28" s="564"/>
      <c r="AR28" s="565"/>
      <c r="AS28" s="565"/>
      <c r="AT28" s="565"/>
      <c r="AU28" s="565"/>
      <c r="AV28" s="565"/>
      <c r="AW28" s="565"/>
      <c r="AX28" s="565"/>
      <c r="AY28" s="565"/>
      <c r="AZ28" s="565"/>
      <c r="BA28" s="566"/>
      <c r="BB28" s="564"/>
      <c r="BC28" s="565"/>
      <c r="BD28" s="565"/>
      <c r="BE28" s="565"/>
      <c r="BF28" s="565"/>
      <c r="BG28" s="565"/>
      <c r="BH28" s="565"/>
      <c r="BI28" s="565"/>
      <c r="BJ28" s="565"/>
      <c r="BK28" s="565"/>
      <c r="BL28" s="566"/>
      <c r="BM28" s="564"/>
      <c r="BN28" s="565"/>
      <c r="BO28" s="565"/>
      <c r="BP28" s="565"/>
      <c r="BQ28" s="565"/>
      <c r="BR28" s="565"/>
      <c r="BS28" s="565"/>
      <c r="BT28" s="565"/>
      <c r="BU28" s="565"/>
      <c r="BV28" s="565"/>
      <c r="BW28" s="566"/>
      <c r="BX28" s="564"/>
      <c r="BY28" s="565"/>
      <c r="BZ28" s="565"/>
      <c r="CA28" s="565"/>
      <c r="CB28" s="565"/>
      <c r="CC28" s="565"/>
      <c r="CD28" s="565"/>
      <c r="CE28" s="565"/>
      <c r="CF28" s="565"/>
      <c r="CG28" s="566"/>
    </row>
    <row r="29" spans="1:85" ht="15" customHeight="1" x14ac:dyDescent="0.2">
      <c r="A29" s="523"/>
      <c r="B29" s="523"/>
      <c r="C29" s="523"/>
      <c r="D29" s="523"/>
      <c r="E29" s="514" t="s">
        <v>1</v>
      </c>
      <c r="F29" s="514"/>
      <c r="G29" s="514"/>
      <c r="H29" s="514"/>
      <c r="I29" s="514"/>
      <c r="J29" s="554"/>
      <c r="K29" s="555"/>
      <c r="L29" s="555"/>
      <c r="M29" s="555"/>
      <c r="N29" s="555"/>
      <c r="O29" s="555"/>
      <c r="P29" s="555"/>
      <c r="Q29" s="555"/>
      <c r="R29" s="555"/>
      <c r="S29" s="555"/>
      <c r="T29" s="556"/>
      <c r="U29" s="554"/>
      <c r="V29" s="555"/>
      <c r="W29" s="555"/>
      <c r="X29" s="555"/>
      <c r="Y29" s="555"/>
      <c r="Z29" s="555"/>
      <c r="AA29" s="555"/>
      <c r="AB29" s="555"/>
      <c r="AC29" s="555"/>
      <c r="AD29" s="555"/>
      <c r="AE29" s="556"/>
      <c r="AF29" s="554"/>
      <c r="AG29" s="555"/>
      <c r="AH29" s="555"/>
      <c r="AI29" s="555"/>
      <c r="AJ29" s="555"/>
      <c r="AK29" s="555"/>
      <c r="AL29" s="555"/>
      <c r="AM29" s="555"/>
      <c r="AN29" s="555"/>
      <c r="AO29" s="555"/>
      <c r="AP29" s="556"/>
      <c r="AQ29" s="554"/>
      <c r="AR29" s="555"/>
      <c r="AS29" s="555"/>
      <c r="AT29" s="555"/>
      <c r="AU29" s="555"/>
      <c r="AV29" s="555"/>
      <c r="AW29" s="555"/>
      <c r="AX29" s="555"/>
      <c r="AY29" s="555"/>
      <c r="AZ29" s="555"/>
      <c r="BA29" s="556"/>
      <c r="BB29" s="554"/>
      <c r="BC29" s="555"/>
      <c r="BD29" s="555"/>
      <c r="BE29" s="555"/>
      <c r="BF29" s="555"/>
      <c r="BG29" s="555"/>
      <c r="BH29" s="555"/>
      <c r="BI29" s="555"/>
      <c r="BJ29" s="555"/>
      <c r="BK29" s="555"/>
      <c r="BL29" s="556"/>
      <c r="BM29" s="554"/>
      <c r="BN29" s="555"/>
      <c r="BO29" s="555"/>
      <c r="BP29" s="555"/>
      <c r="BQ29" s="555"/>
      <c r="BR29" s="555"/>
      <c r="BS29" s="555"/>
      <c r="BT29" s="555"/>
      <c r="BU29" s="555"/>
      <c r="BV29" s="555"/>
      <c r="BW29" s="556"/>
      <c r="BX29" s="554"/>
      <c r="BY29" s="555"/>
      <c r="BZ29" s="555"/>
      <c r="CA29" s="555"/>
      <c r="CB29" s="555"/>
      <c r="CC29" s="555"/>
      <c r="CD29" s="555"/>
      <c r="CE29" s="555"/>
      <c r="CF29" s="555"/>
      <c r="CG29" s="556"/>
    </row>
    <row r="30" spans="1:85" ht="15" customHeight="1" x14ac:dyDescent="0.2">
      <c r="A30" s="523"/>
      <c r="B30" s="523"/>
      <c r="C30" s="523"/>
      <c r="D30" s="523"/>
      <c r="E30" s="514" t="s">
        <v>493</v>
      </c>
      <c r="F30" s="514"/>
      <c r="G30" s="514"/>
      <c r="H30" s="514"/>
      <c r="I30" s="514"/>
      <c r="J30" s="557"/>
      <c r="K30" s="557"/>
      <c r="L30" s="557"/>
      <c r="M30" s="557"/>
      <c r="N30" s="557"/>
      <c r="O30" s="557"/>
      <c r="P30" s="557"/>
      <c r="Q30" s="557"/>
      <c r="R30" s="557"/>
      <c r="S30" s="557"/>
      <c r="T30" s="557"/>
      <c r="U30" s="558"/>
      <c r="V30" s="559"/>
      <c r="W30" s="559"/>
      <c r="X30" s="559"/>
      <c r="Y30" s="559"/>
      <c r="Z30" s="559"/>
      <c r="AA30" s="559"/>
      <c r="AB30" s="559"/>
      <c r="AC30" s="559"/>
      <c r="AD30" s="559"/>
      <c r="AE30" s="560"/>
      <c r="AF30" s="558"/>
      <c r="AG30" s="559"/>
      <c r="AH30" s="559"/>
      <c r="AI30" s="559"/>
      <c r="AJ30" s="559"/>
      <c r="AK30" s="559"/>
      <c r="AL30" s="559"/>
      <c r="AM30" s="559"/>
      <c r="AN30" s="559"/>
      <c r="AO30" s="559"/>
      <c r="AP30" s="560"/>
      <c r="AQ30" s="558"/>
      <c r="AR30" s="559"/>
      <c r="AS30" s="559"/>
      <c r="AT30" s="559"/>
      <c r="AU30" s="559"/>
      <c r="AV30" s="559"/>
      <c r="AW30" s="559"/>
      <c r="AX30" s="559"/>
      <c r="AY30" s="559"/>
      <c r="AZ30" s="559"/>
      <c r="BA30" s="560"/>
      <c r="BB30" s="558"/>
      <c r="BC30" s="559"/>
      <c r="BD30" s="559"/>
      <c r="BE30" s="559"/>
      <c r="BF30" s="559"/>
      <c r="BG30" s="559"/>
      <c r="BH30" s="559"/>
      <c r="BI30" s="559"/>
      <c r="BJ30" s="559"/>
      <c r="BK30" s="559"/>
      <c r="BL30" s="560"/>
      <c r="BM30" s="558"/>
      <c r="BN30" s="559"/>
      <c r="BO30" s="559"/>
      <c r="BP30" s="559"/>
      <c r="BQ30" s="559"/>
      <c r="BR30" s="559"/>
      <c r="BS30" s="559"/>
      <c r="BT30" s="559"/>
      <c r="BU30" s="559"/>
      <c r="BV30" s="559"/>
      <c r="BW30" s="560"/>
      <c r="BX30" s="561"/>
      <c r="BY30" s="562"/>
      <c r="BZ30" s="562"/>
      <c r="CA30" s="562"/>
      <c r="CB30" s="562"/>
      <c r="CC30" s="562"/>
      <c r="CD30" s="562"/>
      <c r="CE30" s="562"/>
      <c r="CF30" s="562"/>
      <c r="CG30" s="563"/>
    </row>
    <row r="31" spans="1:85" ht="11.45" customHeight="1" x14ac:dyDescent="0.2">
      <c r="A31" s="510"/>
      <c r="B31" s="510"/>
      <c r="C31" s="510"/>
      <c r="D31" s="510"/>
      <c r="E31" s="510"/>
      <c r="F31" s="510"/>
      <c r="G31" s="510"/>
      <c r="H31" s="510"/>
      <c r="I31" s="510"/>
      <c r="J31" s="510"/>
      <c r="K31" s="510"/>
      <c r="L31" s="510"/>
      <c r="M31" s="510"/>
      <c r="N31" s="510"/>
      <c r="O31" s="510"/>
      <c r="P31" s="510"/>
      <c r="Q31" s="510"/>
      <c r="R31" s="510"/>
      <c r="S31" s="510"/>
      <c r="T31" s="510"/>
      <c r="U31" s="510"/>
      <c r="V31" s="510"/>
      <c r="W31" s="510"/>
      <c r="X31" s="510"/>
      <c r="Y31" s="510"/>
      <c r="Z31" s="510"/>
      <c r="AA31" s="510"/>
      <c r="AB31" s="510"/>
      <c r="AC31" s="510"/>
      <c r="AD31" s="510"/>
      <c r="AE31" s="510"/>
      <c r="AF31" s="510"/>
      <c r="AG31" s="510"/>
      <c r="AH31" s="510"/>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G31" s="510"/>
      <c r="BH31" s="510"/>
      <c r="BI31" s="510"/>
      <c r="BJ31" s="510"/>
      <c r="BK31" s="510"/>
      <c r="BL31" s="510"/>
      <c r="BM31" s="510"/>
      <c r="BN31" s="510"/>
      <c r="BO31" s="510"/>
      <c r="BP31" s="510"/>
      <c r="BQ31" s="510"/>
      <c r="BR31" s="510"/>
      <c r="BS31" s="510"/>
      <c r="BT31" s="510"/>
      <c r="BU31" s="510"/>
      <c r="BV31" s="510"/>
      <c r="BW31" s="510"/>
      <c r="BX31" s="510"/>
      <c r="BY31" s="510"/>
      <c r="BZ31" s="510"/>
      <c r="CA31" s="510"/>
      <c r="CB31" s="510"/>
      <c r="CC31" s="510"/>
      <c r="CD31" s="510"/>
      <c r="CE31" s="510"/>
      <c r="CF31" s="510"/>
      <c r="CG31" s="510"/>
    </row>
    <row r="32" spans="1:85" ht="11.45" customHeight="1" thickBot="1" x14ac:dyDescent="0.25">
      <c r="A32" s="511"/>
      <c r="B32" s="511"/>
      <c r="C32" s="511"/>
      <c r="D32" s="511"/>
      <c r="E32" s="511"/>
      <c r="F32" s="511"/>
      <c r="G32" s="511"/>
      <c r="H32" s="511"/>
      <c r="I32" s="511"/>
      <c r="J32" s="511"/>
      <c r="K32" s="511"/>
      <c r="L32" s="511"/>
      <c r="M32" s="511"/>
      <c r="N32" s="511"/>
      <c r="O32" s="511"/>
      <c r="P32" s="511"/>
      <c r="Q32" s="511"/>
      <c r="R32" s="511"/>
      <c r="S32" s="511"/>
      <c r="T32" s="511"/>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1"/>
      <c r="AR32" s="511"/>
      <c r="AS32" s="511"/>
      <c r="AT32" s="511"/>
      <c r="AU32" s="511"/>
      <c r="AV32" s="511"/>
      <c r="AW32" s="511"/>
      <c r="AX32" s="511"/>
      <c r="AY32" s="511"/>
      <c r="AZ32" s="511"/>
      <c r="BA32" s="511"/>
      <c r="BB32" s="511"/>
      <c r="BC32" s="511"/>
      <c r="BD32" s="511"/>
      <c r="BE32" s="511"/>
      <c r="BF32" s="511"/>
      <c r="BG32" s="511"/>
      <c r="BH32" s="511"/>
      <c r="BI32" s="511"/>
      <c r="BJ32" s="511"/>
      <c r="BK32" s="511"/>
      <c r="BL32" s="511"/>
      <c r="BM32" s="511"/>
      <c r="BN32" s="511"/>
      <c r="BO32" s="511"/>
      <c r="BP32" s="511"/>
      <c r="BQ32" s="511"/>
      <c r="BR32" s="511"/>
      <c r="BS32" s="511"/>
      <c r="BT32" s="511"/>
      <c r="BU32" s="511"/>
      <c r="BV32" s="511"/>
      <c r="BW32" s="511"/>
      <c r="BX32" s="511"/>
      <c r="BY32" s="511"/>
      <c r="BZ32" s="511"/>
      <c r="CA32" s="511"/>
      <c r="CB32" s="511"/>
      <c r="CC32" s="511"/>
      <c r="CD32" s="511"/>
      <c r="CE32" s="511"/>
      <c r="CF32" s="511"/>
      <c r="CG32" s="511"/>
    </row>
    <row r="33" spans="1:85" ht="11.45" customHeight="1" x14ac:dyDescent="0.2">
      <c r="A33" s="512" t="s">
        <v>502</v>
      </c>
      <c r="B33" s="512"/>
      <c r="C33" s="512"/>
      <c r="D33" s="512"/>
      <c r="E33" s="512"/>
      <c r="F33" s="512"/>
      <c r="G33" s="512"/>
      <c r="H33" s="512"/>
      <c r="I33" s="512"/>
      <c r="J33" s="512"/>
      <c r="K33" s="512"/>
      <c r="L33" s="512"/>
      <c r="M33" s="512"/>
      <c r="N33" s="512"/>
      <c r="O33" s="512"/>
      <c r="P33" s="512"/>
      <c r="Q33" s="512"/>
      <c r="R33" s="512"/>
      <c r="S33" s="512"/>
      <c r="T33" s="512"/>
      <c r="U33" s="512"/>
      <c r="V33" s="512"/>
      <c r="W33" s="512"/>
      <c r="X33" s="512"/>
      <c r="Y33" s="512"/>
      <c r="Z33" s="512"/>
      <c r="AA33" s="512"/>
      <c r="AB33" s="512"/>
      <c r="AC33" s="512"/>
      <c r="AD33" s="512"/>
      <c r="AE33" s="512"/>
      <c r="AF33" s="512"/>
      <c r="AG33" s="512"/>
      <c r="AH33" s="512"/>
      <c r="AI33" s="512"/>
      <c r="AJ33" s="512"/>
      <c r="AK33" s="512"/>
      <c r="AL33" s="512"/>
      <c r="AM33" s="512"/>
      <c r="AN33" s="512"/>
      <c r="AO33" s="512"/>
      <c r="AP33" s="512"/>
      <c r="AQ33" s="512"/>
      <c r="AR33" s="512"/>
      <c r="AS33" s="512"/>
      <c r="AT33" s="512"/>
      <c r="AU33" s="512"/>
      <c r="AV33" s="512"/>
      <c r="AW33" s="512"/>
      <c r="AX33" s="512"/>
      <c r="AY33" s="512"/>
      <c r="AZ33" s="512"/>
      <c r="BA33" s="512"/>
      <c r="BB33" s="512"/>
      <c r="BC33" s="512"/>
      <c r="BD33" s="512"/>
      <c r="BE33" s="512"/>
      <c r="BF33" s="512"/>
      <c r="BG33" s="512"/>
      <c r="BH33" s="512"/>
      <c r="BI33" s="512"/>
      <c r="BJ33" s="512"/>
      <c r="BK33" s="512"/>
      <c r="BL33" s="512"/>
      <c r="BM33" s="512"/>
      <c r="BN33" s="512"/>
      <c r="BO33" s="512"/>
      <c r="BP33" s="512"/>
      <c r="BQ33" s="512"/>
      <c r="BR33" s="512"/>
      <c r="BS33" s="512"/>
      <c r="BT33" s="512"/>
      <c r="BU33" s="512"/>
      <c r="BV33" s="512"/>
      <c r="BW33" s="512"/>
      <c r="BX33" s="512"/>
      <c r="BY33" s="512"/>
      <c r="BZ33" s="512"/>
      <c r="CA33" s="512"/>
      <c r="CB33" s="512"/>
      <c r="CC33" s="512"/>
      <c r="CD33" s="512"/>
      <c r="CE33" s="512"/>
      <c r="CF33" s="512"/>
      <c r="CG33" s="512"/>
    </row>
    <row r="34" spans="1:85" ht="11.45" customHeight="1" x14ac:dyDescent="0.2">
      <c r="A34" s="513"/>
      <c r="B34" s="513"/>
      <c r="C34" s="513"/>
      <c r="D34" s="513"/>
      <c r="E34" s="513"/>
      <c r="F34" s="513"/>
      <c r="G34" s="513"/>
      <c r="H34" s="513"/>
      <c r="I34" s="513"/>
      <c r="J34" s="513"/>
      <c r="K34" s="513"/>
      <c r="L34" s="513"/>
      <c r="M34" s="513"/>
      <c r="N34" s="513"/>
      <c r="O34" s="513"/>
      <c r="P34" s="513"/>
      <c r="Q34" s="513"/>
      <c r="R34" s="513"/>
      <c r="S34" s="513"/>
      <c r="T34" s="513"/>
      <c r="U34" s="513"/>
      <c r="V34" s="513"/>
      <c r="W34" s="513"/>
      <c r="X34" s="513"/>
      <c r="Y34" s="513"/>
      <c r="Z34" s="513"/>
      <c r="AA34" s="513"/>
      <c r="AB34" s="513"/>
      <c r="AC34" s="513"/>
      <c r="AD34" s="513"/>
      <c r="AE34" s="513"/>
      <c r="AF34" s="513"/>
      <c r="AG34" s="513"/>
      <c r="AH34" s="513"/>
      <c r="AI34" s="513"/>
      <c r="AJ34" s="513"/>
      <c r="AK34" s="513"/>
      <c r="AL34" s="513"/>
      <c r="AM34" s="513"/>
      <c r="AN34" s="513"/>
      <c r="AO34" s="513"/>
      <c r="AP34" s="513"/>
      <c r="AQ34" s="513"/>
      <c r="AR34" s="513"/>
      <c r="AS34" s="513"/>
      <c r="AT34" s="513"/>
      <c r="AU34" s="513"/>
      <c r="AV34" s="513"/>
      <c r="AW34" s="513"/>
      <c r="AX34" s="513"/>
      <c r="AY34" s="513"/>
      <c r="AZ34" s="513"/>
      <c r="BA34" s="513"/>
      <c r="BB34" s="513"/>
      <c r="BC34" s="513"/>
      <c r="BD34" s="513"/>
      <c r="BE34" s="513"/>
      <c r="BF34" s="513"/>
      <c r="BG34" s="513"/>
      <c r="BH34" s="513"/>
      <c r="BI34" s="513"/>
      <c r="BJ34" s="513"/>
      <c r="BK34" s="513"/>
      <c r="BL34" s="513"/>
      <c r="BM34" s="513"/>
      <c r="BN34" s="513"/>
      <c r="BO34" s="513"/>
      <c r="BP34" s="513"/>
      <c r="BQ34" s="513"/>
      <c r="BR34" s="513"/>
      <c r="BS34" s="513"/>
      <c r="BT34" s="513"/>
      <c r="BU34" s="513"/>
      <c r="BV34" s="513"/>
      <c r="BW34" s="513"/>
      <c r="BX34" s="513"/>
      <c r="BY34" s="513"/>
      <c r="BZ34" s="513"/>
      <c r="CA34" s="513"/>
      <c r="CB34" s="513"/>
      <c r="CC34" s="513"/>
      <c r="CD34" s="513"/>
      <c r="CE34" s="513"/>
      <c r="CF34" s="513"/>
      <c r="CG34" s="513"/>
    </row>
    <row r="35" spans="1:85" ht="11.45" customHeight="1" x14ac:dyDescent="0.2">
      <c r="A35" s="513"/>
      <c r="B35" s="513"/>
      <c r="C35" s="513"/>
      <c r="D35" s="513"/>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3"/>
      <c r="AE35" s="513"/>
      <c r="AF35" s="513"/>
      <c r="AG35" s="513"/>
      <c r="AH35" s="513"/>
      <c r="AI35" s="513"/>
      <c r="AJ35" s="513"/>
      <c r="AK35" s="513"/>
      <c r="AL35" s="513"/>
      <c r="AM35" s="513"/>
      <c r="AN35" s="513"/>
      <c r="AO35" s="513"/>
      <c r="AP35" s="513"/>
      <c r="AQ35" s="513"/>
      <c r="AR35" s="513"/>
      <c r="AS35" s="513"/>
      <c r="AT35" s="513"/>
      <c r="AU35" s="513"/>
      <c r="AV35" s="513"/>
      <c r="AW35" s="513"/>
      <c r="AX35" s="513"/>
      <c r="AY35" s="513"/>
      <c r="AZ35" s="513"/>
      <c r="BA35" s="513"/>
      <c r="BB35" s="513"/>
      <c r="BC35" s="513"/>
      <c r="BD35" s="513"/>
      <c r="BE35" s="513"/>
      <c r="BF35" s="513"/>
      <c r="BG35" s="513"/>
      <c r="BH35" s="513"/>
      <c r="BI35" s="513"/>
      <c r="BJ35" s="513"/>
      <c r="BK35" s="513"/>
      <c r="BL35" s="513"/>
      <c r="BM35" s="513"/>
      <c r="BN35" s="513"/>
      <c r="BO35" s="513"/>
      <c r="BP35" s="513"/>
      <c r="BQ35" s="513"/>
      <c r="BR35" s="513"/>
      <c r="BS35" s="513"/>
      <c r="BT35" s="513"/>
      <c r="BU35" s="513"/>
      <c r="BV35" s="513"/>
      <c r="BW35" s="513"/>
      <c r="BX35" s="513"/>
      <c r="BY35" s="513"/>
      <c r="BZ35" s="513"/>
      <c r="CA35" s="513"/>
      <c r="CB35" s="513"/>
      <c r="CC35" s="513"/>
      <c r="CD35" s="513"/>
      <c r="CE35" s="513"/>
      <c r="CF35" s="513"/>
      <c r="CG35" s="513"/>
    </row>
    <row r="36" spans="1:85" ht="11.45" customHeight="1" x14ac:dyDescent="0.2">
      <c r="A36" s="513"/>
      <c r="B36" s="513"/>
      <c r="C36" s="513"/>
      <c r="D36" s="513"/>
      <c r="E36" s="513"/>
      <c r="F36" s="513"/>
      <c r="G36" s="513"/>
      <c r="H36" s="513"/>
      <c r="I36" s="513"/>
      <c r="J36" s="513"/>
      <c r="K36" s="513"/>
      <c r="L36" s="513"/>
      <c r="M36" s="513"/>
      <c r="N36" s="513"/>
      <c r="O36" s="513"/>
      <c r="P36" s="513"/>
      <c r="Q36" s="513"/>
      <c r="R36" s="513"/>
      <c r="S36" s="513"/>
      <c r="T36" s="513"/>
      <c r="U36" s="513"/>
      <c r="V36" s="513"/>
      <c r="W36" s="513"/>
      <c r="X36" s="513"/>
      <c r="Y36" s="513"/>
      <c r="Z36" s="513"/>
      <c r="AA36" s="513"/>
      <c r="AB36" s="513"/>
      <c r="AC36" s="513"/>
      <c r="AD36" s="513"/>
      <c r="AE36" s="513"/>
      <c r="AF36" s="513"/>
      <c r="AG36" s="513"/>
      <c r="AH36" s="513"/>
      <c r="AI36" s="513"/>
      <c r="AJ36" s="513"/>
      <c r="AK36" s="513"/>
      <c r="AL36" s="513"/>
      <c r="AM36" s="513"/>
      <c r="AN36" s="513"/>
      <c r="AO36" s="513"/>
      <c r="AP36" s="513"/>
      <c r="AQ36" s="513"/>
      <c r="AR36" s="513"/>
      <c r="AS36" s="513"/>
      <c r="AT36" s="513"/>
      <c r="AU36" s="513"/>
      <c r="AV36" s="513"/>
      <c r="AW36" s="513"/>
      <c r="AX36" s="513"/>
      <c r="AY36" s="513"/>
      <c r="AZ36" s="513"/>
      <c r="BA36" s="513"/>
      <c r="BB36" s="513"/>
      <c r="BC36" s="513"/>
      <c r="BD36" s="513"/>
      <c r="BE36" s="513"/>
      <c r="BF36" s="513"/>
      <c r="BG36" s="513"/>
      <c r="BH36" s="513"/>
      <c r="BI36" s="513"/>
      <c r="BJ36" s="513"/>
      <c r="BK36" s="513"/>
      <c r="BL36" s="513"/>
      <c r="BM36" s="513"/>
      <c r="BN36" s="513"/>
      <c r="BO36" s="513"/>
      <c r="BP36" s="513"/>
      <c r="BQ36" s="513"/>
      <c r="BR36" s="513"/>
      <c r="BS36" s="513"/>
      <c r="BT36" s="513"/>
      <c r="BU36" s="513"/>
      <c r="BV36" s="513"/>
      <c r="BW36" s="513"/>
      <c r="BX36" s="513"/>
      <c r="BY36" s="513"/>
      <c r="BZ36" s="513"/>
      <c r="CA36" s="513"/>
      <c r="CB36" s="513"/>
      <c r="CC36" s="513"/>
      <c r="CD36" s="513"/>
      <c r="CE36" s="513"/>
      <c r="CF36" s="513"/>
      <c r="CG36" s="513"/>
    </row>
    <row r="37" spans="1:85" ht="11.45" customHeight="1" x14ac:dyDescent="0.2">
      <c r="A37" s="513"/>
      <c r="B37" s="513"/>
      <c r="C37" s="513"/>
      <c r="D37" s="513"/>
      <c r="E37" s="513"/>
      <c r="F37" s="513"/>
      <c r="G37" s="513"/>
      <c r="H37" s="513"/>
      <c r="I37" s="513"/>
      <c r="J37" s="513"/>
      <c r="K37" s="513"/>
      <c r="L37" s="513"/>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3"/>
      <c r="AK37" s="513"/>
      <c r="AL37" s="513"/>
      <c r="AM37" s="513"/>
      <c r="AN37" s="513"/>
      <c r="AO37" s="513"/>
      <c r="AP37" s="513"/>
      <c r="AQ37" s="513"/>
      <c r="AR37" s="513"/>
      <c r="AS37" s="513"/>
      <c r="AT37" s="513"/>
      <c r="AU37" s="513"/>
      <c r="AV37" s="513"/>
      <c r="AW37" s="513"/>
      <c r="AX37" s="513"/>
      <c r="AY37" s="513"/>
      <c r="AZ37" s="513"/>
      <c r="BA37" s="513"/>
      <c r="BB37" s="513"/>
      <c r="BC37" s="513"/>
      <c r="BD37" s="513"/>
      <c r="BE37" s="513"/>
      <c r="BF37" s="513"/>
      <c r="BG37" s="513"/>
      <c r="BH37" s="513"/>
      <c r="BI37" s="513"/>
      <c r="BJ37" s="513"/>
      <c r="BK37" s="513"/>
      <c r="BL37" s="513"/>
      <c r="BM37" s="513"/>
      <c r="BN37" s="513"/>
      <c r="BO37" s="513"/>
      <c r="BP37" s="513"/>
      <c r="BQ37" s="513"/>
      <c r="BR37" s="513"/>
      <c r="BS37" s="513"/>
      <c r="BT37" s="513"/>
      <c r="BU37" s="513"/>
      <c r="BV37" s="513"/>
      <c r="BW37" s="513"/>
      <c r="BX37" s="513"/>
      <c r="BY37" s="513"/>
      <c r="BZ37" s="513"/>
      <c r="CA37" s="513"/>
      <c r="CB37" s="513"/>
      <c r="CC37" s="513"/>
      <c r="CD37" s="513"/>
      <c r="CE37" s="513"/>
      <c r="CF37" s="513"/>
      <c r="CG37" s="513"/>
    </row>
    <row r="38" spans="1:85" s="133" customFormat="1" ht="11.45" customHeight="1" x14ac:dyDescent="0.2">
      <c r="A38" s="504"/>
      <c r="B38" s="504"/>
      <c r="C38" s="505" t="str">
        <f>IF('Data Entry'!N29="","",'Data Entry'!N29)&amp;IF(OR('Data Entry'!N29="",'Data Entry'!N30=""),""," / Licence No")&amp; IF('Data Entry'!N30="","",'Data Entry'!N30)</f>
        <v>MEHMET EROĞLU</v>
      </c>
      <c r="D38" s="505"/>
      <c r="E38" s="505"/>
      <c r="F38" s="505"/>
      <c r="G38" s="505"/>
      <c r="H38" s="505"/>
      <c r="I38" s="505"/>
      <c r="J38" s="505"/>
      <c r="K38" s="505"/>
      <c r="L38" s="505"/>
      <c r="M38" s="505"/>
      <c r="N38" s="505"/>
      <c r="O38" s="505"/>
      <c r="P38" s="505"/>
      <c r="Q38" s="504"/>
      <c r="R38" s="504"/>
      <c r="S38" s="504"/>
      <c r="T38" s="504"/>
      <c r="U38" s="504"/>
      <c r="V38" s="504"/>
      <c r="W38" s="504"/>
      <c r="X38" s="504"/>
      <c r="Y38" s="504"/>
      <c r="Z38" s="504"/>
      <c r="AA38" s="504"/>
      <c r="AB38" s="504"/>
      <c r="AC38" s="504"/>
      <c r="AD38" s="504"/>
      <c r="AE38" s="504"/>
      <c r="AF38" s="504"/>
      <c r="AG38" s="504"/>
      <c r="AH38" s="504"/>
      <c r="AI38" s="504"/>
      <c r="AJ38" s="504"/>
      <c r="AK38" s="505" t="str">
        <f>IF('Data Entry'!N23="","",'Data Entry'!N23)</f>
        <v/>
      </c>
      <c r="AL38" s="505"/>
      <c r="AM38" s="505"/>
      <c r="AN38" s="505"/>
      <c r="AO38" s="505"/>
      <c r="AP38" s="505"/>
      <c r="AQ38" s="505"/>
      <c r="AR38" s="505"/>
      <c r="AS38" s="505"/>
      <c r="AT38" s="505"/>
      <c r="AU38" s="505"/>
      <c r="AV38" s="505"/>
      <c r="AW38" s="505"/>
      <c r="AX38" s="505"/>
      <c r="AY38" s="504"/>
      <c r="AZ38" s="504"/>
      <c r="BA38" s="504"/>
      <c r="BB38" s="504"/>
      <c r="BC38" s="504"/>
      <c r="BD38" s="504"/>
      <c r="BE38" s="504"/>
      <c r="BF38" s="504"/>
      <c r="BG38" s="504"/>
      <c r="BH38" s="504"/>
      <c r="BI38" s="504"/>
      <c r="BJ38" s="504"/>
      <c r="BK38" s="504"/>
      <c r="BL38" s="504"/>
      <c r="BM38" s="504"/>
      <c r="BN38" s="504"/>
      <c r="BO38" s="504"/>
      <c r="BP38" s="504"/>
      <c r="BQ38" s="504"/>
      <c r="BR38" s="505" t="str">
        <f>IF('Data Entry'!N9="","",'Data Entry'!N9)</f>
        <v/>
      </c>
      <c r="BS38" s="505"/>
      <c r="BT38" s="505"/>
      <c r="BU38" s="505"/>
      <c r="BV38" s="505"/>
      <c r="BW38" s="505"/>
      <c r="BX38" s="505"/>
      <c r="BY38" s="505"/>
      <c r="BZ38" s="505"/>
      <c r="CA38" s="505"/>
      <c r="CB38" s="505"/>
      <c r="CC38" s="505"/>
      <c r="CD38" s="505"/>
      <c r="CE38" s="505"/>
      <c r="CF38" s="499"/>
      <c r="CG38" s="499"/>
    </row>
    <row r="39" spans="1:85" s="133" customFormat="1" ht="11.45" customHeight="1" x14ac:dyDescent="0.2">
      <c r="A39" s="504"/>
      <c r="B39" s="504"/>
      <c r="C39" s="505"/>
      <c r="D39" s="505"/>
      <c r="E39" s="505"/>
      <c r="F39" s="505"/>
      <c r="G39" s="505"/>
      <c r="H39" s="505"/>
      <c r="I39" s="505"/>
      <c r="J39" s="505"/>
      <c r="K39" s="505"/>
      <c r="L39" s="505"/>
      <c r="M39" s="505"/>
      <c r="N39" s="505"/>
      <c r="O39" s="505"/>
      <c r="P39" s="505"/>
      <c r="Q39" s="504"/>
      <c r="R39" s="504"/>
      <c r="S39" s="504"/>
      <c r="T39" s="504"/>
      <c r="U39" s="504"/>
      <c r="V39" s="504"/>
      <c r="W39" s="504"/>
      <c r="X39" s="504"/>
      <c r="Y39" s="504"/>
      <c r="Z39" s="504"/>
      <c r="AA39" s="504"/>
      <c r="AB39" s="504"/>
      <c r="AC39" s="504"/>
      <c r="AD39" s="504"/>
      <c r="AE39" s="504"/>
      <c r="AF39" s="504"/>
      <c r="AG39" s="504"/>
      <c r="AH39" s="504"/>
      <c r="AI39" s="504"/>
      <c r="AJ39" s="504"/>
      <c r="AK39" s="505"/>
      <c r="AL39" s="505"/>
      <c r="AM39" s="505"/>
      <c r="AN39" s="505"/>
      <c r="AO39" s="505"/>
      <c r="AP39" s="505"/>
      <c r="AQ39" s="505"/>
      <c r="AR39" s="505"/>
      <c r="AS39" s="505"/>
      <c r="AT39" s="505"/>
      <c r="AU39" s="505"/>
      <c r="AV39" s="505"/>
      <c r="AW39" s="505"/>
      <c r="AX39" s="505"/>
      <c r="AY39" s="504"/>
      <c r="AZ39" s="504"/>
      <c r="BA39" s="504"/>
      <c r="BB39" s="504"/>
      <c r="BC39" s="504"/>
      <c r="BD39" s="504"/>
      <c r="BE39" s="504"/>
      <c r="BF39" s="504"/>
      <c r="BG39" s="504"/>
      <c r="BH39" s="504"/>
      <c r="BI39" s="504"/>
      <c r="BJ39" s="504"/>
      <c r="BK39" s="504"/>
      <c r="BL39" s="504"/>
      <c r="BM39" s="504"/>
      <c r="BN39" s="504"/>
      <c r="BO39" s="504"/>
      <c r="BP39" s="504"/>
      <c r="BQ39" s="504"/>
      <c r="BR39" s="505"/>
      <c r="BS39" s="505"/>
      <c r="BT39" s="505"/>
      <c r="BU39" s="505"/>
      <c r="BV39" s="505"/>
      <c r="BW39" s="505"/>
      <c r="BX39" s="505"/>
      <c r="BY39" s="505"/>
      <c r="BZ39" s="505"/>
      <c r="CA39" s="505"/>
      <c r="CB39" s="505"/>
      <c r="CC39" s="505"/>
      <c r="CD39" s="505"/>
      <c r="CE39" s="505"/>
      <c r="CF39" s="499"/>
      <c r="CG39" s="499"/>
    </row>
    <row r="40" spans="1:85" s="133" customFormat="1" ht="11.45" customHeight="1" x14ac:dyDescent="0.2">
      <c r="A40" s="504"/>
      <c r="B40" s="504"/>
      <c r="C40" s="506"/>
      <c r="D40" s="506"/>
      <c r="E40" s="506"/>
      <c r="F40" s="506"/>
      <c r="G40" s="506"/>
      <c r="H40" s="506"/>
      <c r="I40" s="506"/>
      <c r="J40" s="506"/>
      <c r="K40" s="506"/>
      <c r="L40" s="506"/>
      <c r="M40" s="506"/>
      <c r="N40" s="506"/>
      <c r="O40" s="506"/>
      <c r="P40" s="506"/>
      <c r="Q40" s="504"/>
      <c r="R40" s="504"/>
      <c r="S40" s="504"/>
      <c r="T40" s="504"/>
      <c r="U40" s="504"/>
      <c r="V40" s="504"/>
      <c r="W40" s="504"/>
      <c r="X40" s="504"/>
      <c r="Y40" s="504"/>
      <c r="Z40" s="504"/>
      <c r="AA40" s="504"/>
      <c r="AB40" s="504"/>
      <c r="AC40" s="504"/>
      <c r="AD40" s="504"/>
      <c r="AE40" s="504"/>
      <c r="AF40" s="504"/>
      <c r="AG40" s="504"/>
      <c r="AH40" s="504"/>
      <c r="AI40" s="504"/>
      <c r="AJ40" s="504"/>
      <c r="AK40" s="506"/>
      <c r="AL40" s="506"/>
      <c r="AM40" s="506"/>
      <c r="AN40" s="506"/>
      <c r="AO40" s="506"/>
      <c r="AP40" s="506"/>
      <c r="AQ40" s="506"/>
      <c r="AR40" s="506"/>
      <c r="AS40" s="506"/>
      <c r="AT40" s="506"/>
      <c r="AU40" s="506"/>
      <c r="AV40" s="506"/>
      <c r="AW40" s="506"/>
      <c r="AX40" s="506"/>
      <c r="AY40" s="504"/>
      <c r="AZ40" s="504"/>
      <c r="BA40" s="504"/>
      <c r="BB40" s="504"/>
      <c r="BC40" s="504"/>
      <c r="BD40" s="504"/>
      <c r="BE40" s="504"/>
      <c r="BF40" s="504"/>
      <c r="BG40" s="504"/>
      <c r="BH40" s="504"/>
      <c r="BI40" s="504"/>
      <c r="BJ40" s="504"/>
      <c r="BK40" s="504"/>
      <c r="BL40" s="504"/>
      <c r="BM40" s="504"/>
      <c r="BN40" s="504"/>
      <c r="BO40" s="504"/>
      <c r="BP40" s="504"/>
      <c r="BQ40" s="504"/>
      <c r="BR40" s="506"/>
      <c r="BS40" s="506"/>
      <c r="BT40" s="506"/>
      <c r="BU40" s="506"/>
      <c r="BV40" s="506"/>
      <c r="BW40" s="506"/>
      <c r="BX40" s="506"/>
      <c r="BY40" s="506"/>
      <c r="BZ40" s="506"/>
      <c r="CA40" s="506"/>
      <c r="CB40" s="506"/>
      <c r="CC40" s="506"/>
      <c r="CD40" s="506"/>
      <c r="CE40" s="506"/>
      <c r="CF40" s="499"/>
      <c r="CG40" s="499"/>
    </row>
    <row r="41" spans="1:85" s="133" customFormat="1" ht="11.45" customHeight="1" x14ac:dyDescent="0.2">
      <c r="A41" s="504"/>
      <c r="B41" s="504"/>
      <c r="C41" s="500" t="s">
        <v>184</v>
      </c>
      <c r="D41" s="500"/>
      <c r="E41" s="500"/>
      <c r="F41" s="500"/>
      <c r="G41" s="500"/>
      <c r="H41" s="500"/>
      <c r="I41" s="500"/>
      <c r="J41" s="500"/>
      <c r="K41" s="500"/>
      <c r="L41" s="500"/>
      <c r="M41" s="500"/>
      <c r="N41" s="500"/>
      <c r="O41" s="500"/>
      <c r="P41" s="500"/>
      <c r="Q41" s="504"/>
      <c r="R41" s="504"/>
      <c r="S41" s="504"/>
      <c r="T41" s="504"/>
      <c r="U41" s="504"/>
      <c r="V41" s="504"/>
      <c r="W41" s="504"/>
      <c r="X41" s="504"/>
      <c r="Y41" s="504"/>
      <c r="Z41" s="504"/>
      <c r="AA41" s="504"/>
      <c r="AB41" s="504"/>
      <c r="AC41" s="504"/>
      <c r="AD41" s="504"/>
      <c r="AE41" s="504"/>
      <c r="AF41" s="504"/>
      <c r="AG41" s="504"/>
      <c r="AH41" s="504"/>
      <c r="AI41" s="504"/>
      <c r="AJ41" s="504"/>
      <c r="AK41" s="501" t="s">
        <v>51</v>
      </c>
      <c r="AL41" s="501"/>
      <c r="AM41" s="501"/>
      <c r="AN41" s="501"/>
      <c r="AO41" s="501"/>
      <c r="AP41" s="501"/>
      <c r="AQ41" s="501"/>
      <c r="AR41" s="501"/>
      <c r="AS41" s="501"/>
      <c r="AT41" s="501"/>
      <c r="AU41" s="501"/>
      <c r="AV41" s="501"/>
      <c r="AW41" s="501"/>
      <c r="AX41" s="501"/>
      <c r="AY41" s="504"/>
      <c r="AZ41" s="504"/>
      <c r="BA41" s="504"/>
      <c r="BB41" s="504"/>
      <c r="BC41" s="504"/>
      <c r="BD41" s="504"/>
      <c r="BE41" s="504"/>
      <c r="BF41" s="504"/>
      <c r="BG41" s="504"/>
      <c r="BH41" s="504"/>
      <c r="BI41" s="504"/>
      <c r="BJ41" s="504"/>
      <c r="BK41" s="504"/>
      <c r="BL41" s="504"/>
      <c r="BM41" s="504"/>
      <c r="BN41" s="504"/>
      <c r="BO41" s="504"/>
      <c r="BP41" s="504"/>
      <c r="BQ41" s="504"/>
      <c r="BR41" s="501" t="s">
        <v>17</v>
      </c>
      <c r="BS41" s="501"/>
      <c r="BT41" s="501"/>
      <c r="BU41" s="501"/>
      <c r="BV41" s="501"/>
      <c r="BW41" s="501"/>
      <c r="BX41" s="501"/>
      <c r="BY41" s="501"/>
      <c r="BZ41" s="501"/>
      <c r="CA41" s="501"/>
      <c r="CB41" s="501"/>
      <c r="CC41" s="501"/>
      <c r="CD41" s="501"/>
      <c r="CE41" s="501"/>
      <c r="CF41" s="499"/>
      <c r="CG41" s="499"/>
    </row>
    <row r="42" spans="1:85" s="133" customFormat="1" ht="11.45" customHeight="1" x14ac:dyDescent="0.2">
      <c r="A42" s="502" t="s">
        <v>503</v>
      </c>
      <c r="B42" s="502"/>
      <c r="C42" s="502"/>
      <c r="D42" s="502"/>
      <c r="E42" s="502"/>
      <c r="F42" s="502"/>
      <c r="G42" s="502"/>
      <c r="H42" s="502"/>
      <c r="I42" s="502"/>
      <c r="J42" s="502"/>
      <c r="K42" s="502"/>
      <c r="L42" s="502"/>
      <c r="M42" s="502"/>
      <c r="N42" s="502"/>
      <c r="O42" s="502"/>
      <c r="P42" s="502"/>
      <c r="Q42" s="502"/>
      <c r="R42" s="502"/>
      <c r="S42" s="502"/>
      <c r="T42" s="502"/>
      <c r="U42" s="502"/>
      <c r="V42" s="502"/>
      <c r="W42" s="502"/>
      <c r="X42" s="502"/>
      <c r="Y42" s="502"/>
      <c r="Z42" s="502"/>
      <c r="AA42" s="502"/>
      <c r="AB42" s="502"/>
      <c r="AC42" s="502"/>
      <c r="AD42" s="502"/>
      <c r="AE42" s="502"/>
      <c r="AF42" s="502"/>
      <c r="AG42" s="502"/>
      <c r="AH42" s="502"/>
      <c r="AI42" s="502"/>
      <c r="AJ42" s="502"/>
      <c r="AK42" s="502"/>
      <c r="AL42" s="502"/>
      <c r="AM42" s="502"/>
      <c r="AN42" s="502"/>
      <c r="AO42" s="503" t="str">
        <f>'Data Entry'!AK9</f>
        <v>LTS-CUS-F-01 rev 2.0</v>
      </c>
      <c r="AP42" s="503"/>
      <c r="AQ42" s="503"/>
      <c r="AR42" s="503"/>
      <c r="AS42" s="503"/>
      <c r="AT42" s="503"/>
      <c r="AU42" s="503"/>
      <c r="AV42" s="503"/>
      <c r="AW42" s="503"/>
      <c r="AX42" s="503"/>
      <c r="AY42" s="503"/>
      <c r="AZ42" s="503"/>
      <c r="BA42" s="503"/>
      <c r="BB42" s="503"/>
      <c r="BC42" s="503"/>
      <c r="BD42" s="503"/>
      <c r="BE42" s="503"/>
      <c r="BF42" s="503"/>
      <c r="BG42" s="503"/>
      <c r="BH42" s="503"/>
      <c r="BI42" s="503"/>
      <c r="BJ42" s="503"/>
      <c r="BK42" s="503"/>
      <c r="BL42" s="503"/>
      <c r="BM42" s="503"/>
      <c r="BN42" s="503"/>
      <c r="BO42" s="503"/>
      <c r="BP42" s="503"/>
      <c r="BQ42" s="503"/>
      <c r="BR42" s="503"/>
      <c r="BS42" s="503"/>
      <c r="BT42" s="503"/>
      <c r="BU42" s="503"/>
      <c r="BV42" s="503"/>
      <c r="BW42" s="503"/>
      <c r="BX42" s="503"/>
      <c r="BY42" s="503"/>
      <c r="BZ42" s="503"/>
      <c r="CA42" s="503"/>
      <c r="CB42" s="503"/>
      <c r="CC42" s="503"/>
      <c r="CD42" s="503"/>
      <c r="CE42" s="503"/>
      <c r="CF42" s="503"/>
      <c r="CG42" s="503"/>
    </row>
  </sheetData>
  <mergeCells count="132">
    <mergeCell ref="A1:BK1"/>
    <mergeCell ref="BL1:BP1"/>
    <mergeCell ref="BR1:CG1"/>
    <mergeCell ref="A2:BK2"/>
    <mergeCell ref="BL2:BP2"/>
    <mergeCell ref="BR2:CG2"/>
    <mergeCell ref="CF4:CG5"/>
    <mergeCell ref="A5:G5"/>
    <mergeCell ref="I5:AH5"/>
    <mergeCell ref="AM5:AS5"/>
    <mergeCell ref="AU5:CE5"/>
    <mergeCell ref="A6:CG7"/>
    <mergeCell ref="A3:BQ3"/>
    <mergeCell ref="BR3:CG3"/>
    <mergeCell ref="A4:G4"/>
    <mergeCell ref="I4:AH4"/>
    <mergeCell ref="AI4:AL5"/>
    <mergeCell ref="AM4:AO4"/>
    <mergeCell ref="AQ4:BH4"/>
    <mergeCell ref="BI4:BJ4"/>
    <mergeCell ref="BK4:BM4"/>
    <mergeCell ref="BO4:CE4"/>
    <mergeCell ref="A8:CG8"/>
    <mergeCell ref="A9:CG10"/>
    <mergeCell ref="A11:I12"/>
    <mergeCell ref="J11:S12"/>
    <mergeCell ref="T11:AC12"/>
    <mergeCell ref="AD11:AM12"/>
    <mergeCell ref="AN11:AW12"/>
    <mergeCell ref="AX11:BX11"/>
    <mergeCell ref="BY11:CG12"/>
    <mergeCell ref="AX12:BF12"/>
    <mergeCell ref="BG12:BO12"/>
    <mergeCell ref="BP12:BX12"/>
    <mergeCell ref="A13:I14"/>
    <mergeCell ref="J13:S14"/>
    <mergeCell ref="T13:AC14"/>
    <mergeCell ref="AD13:AM14"/>
    <mergeCell ref="AN13:AW14"/>
    <mergeCell ref="AX13:BF14"/>
    <mergeCell ref="BG13:BO14"/>
    <mergeCell ref="BP13:BX14"/>
    <mergeCell ref="BY13:CG14"/>
    <mergeCell ref="A15:I16"/>
    <mergeCell ref="J15:S16"/>
    <mergeCell ref="T15:AC16"/>
    <mergeCell ref="AD15:AM16"/>
    <mergeCell ref="AN15:AW16"/>
    <mergeCell ref="AX15:BF16"/>
    <mergeCell ref="BG15:BO16"/>
    <mergeCell ref="BP15:BX16"/>
    <mergeCell ref="BY15:CG16"/>
    <mergeCell ref="A24:D26"/>
    <mergeCell ref="E24:I24"/>
    <mergeCell ref="J24:T24"/>
    <mergeCell ref="U24:AE24"/>
    <mergeCell ref="AF24:AP24"/>
    <mergeCell ref="AQ24:BA24"/>
    <mergeCell ref="BB24:BL24"/>
    <mergeCell ref="BM24:BW24"/>
    <mergeCell ref="BX24:CG24"/>
    <mergeCell ref="BM25:BW25"/>
    <mergeCell ref="BX25:CG25"/>
    <mergeCell ref="E26:I26"/>
    <mergeCell ref="J26:T26"/>
    <mergeCell ref="U26:AE26"/>
    <mergeCell ref="AF26:AP26"/>
    <mergeCell ref="AQ26:BA26"/>
    <mergeCell ref="BB26:BL26"/>
    <mergeCell ref="BM26:BW26"/>
    <mergeCell ref="BX26:CG26"/>
    <mergeCell ref="E25:I25"/>
    <mergeCell ref="J25:T25"/>
    <mergeCell ref="U25:AE25"/>
    <mergeCell ref="AF25:AP25"/>
    <mergeCell ref="AQ25:BA25"/>
    <mergeCell ref="A17:CG18"/>
    <mergeCell ref="A19:CG19"/>
    <mergeCell ref="A20:CG21"/>
    <mergeCell ref="A22:I23"/>
    <mergeCell ref="J22:T23"/>
    <mergeCell ref="U22:AE23"/>
    <mergeCell ref="AF22:AP23"/>
    <mergeCell ref="AQ22:BA23"/>
    <mergeCell ref="BB22:BL23"/>
    <mergeCell ref="BM22:BW23"/>
    <mergeCell ref="BX22:CG23"/>
    <mergeCell ref="A28:D30"/>
    <mergeCell ref="E28:I28"/>
    <mergeCell ref="J28:T28"/>
    <mergeCell ref="U28:AE28"/>
    <mergeCell ref="AF28:AP28"/>
    <mergeCell ref="AQ28:BA28"/>
    <mergeCell ref="BB28:BL28"/>
    <mergeCell ref="BM28:BW28"/>
    <mergeCell ref="BX28:CG28"/>
    <mergeCell ref="BB25:BL25"/>
    <mergeCell ref="A31:CG32"/>
    <mergeCell ref="A33:CG33"/>
    <mergeCell ref="A34:CG34"/>
    <mergeCell ref="A35:CG35"/>
    <mergeCell ref="A36:CG36"/>
    <mergeCell ref="A37:CG37"/>
    <mergeCell ref="BM29:BW29"/>
    <mergeCell ref="BX29:CG29"/>
    <mergeCell ref="E30:I30"/>
    <mergeCell ref="J30:T30"/>
    <mergeCell ref="U30:AE30"/>
    <mergeCell ref="AF30:AP30"/>
    <mergeCell ref="AQ30:BA30"/>
    <mergeCell ref="BB30:BL30"/>
    <mergeCell ref="BM30:BW30"/>
    <mergeCell ref="BX30:CG30"/>
    <mergeCell ref="E29:I29"/>
    <mergeCell ref="J29:T29"/>
    <mergeCell ref="U29:AE29"/>
    <mergeCell ref="AF29:AP29"/>
    <mergeCell ref="AQ29:BA29"/>
    <mergeCell ref="BB29:BL29"/>
    <mergeCell ref="A27:CG27"/>
    <mergeCell ref="CF38:CG41"/>
    <mergeCell ref="C41:P41"/>
    <mergeCell ref="AK41:AX41"/>
    <mergeCell ref="BR41:CE41"/>
    <mergeCell ref="A42:AN42"/>
    <mergeCell ref="AO42:CG42"/>
    <mergeCell ref="A38:B41"/>
    <mergeCell ref="C38:P40"/>
    <mergeCell ref="Q38:AJ41"/>
    <mergeCell ref="AK38:AX40"/>
    <mergeCell ref="AY38:BQ41"/>
    <mergeCell ref="BR38:CE40"/>
  </mergeCells>
  <conditionalFormatting sqref="BR1:CG2 AQ4 AU5 BO4 I4:AH5 C38 AK38 BR38">
    <cfRule type="containsBlanks" dxfId="11" priority="3" stopIfTrue="1">
      <formula>LEN(TRIM(C1))=0</formula>
    </cfRule>
  </conditionalFormatting>
  <conditionalFormatting sqref="J13:CG16 J24:BM26 BX24:CG26">
    <cfRule type="containsBlanks" dxfId="10" priority="2">
      <formula>LEN(TRIM(J13))=0</formula>
    </cfRule>
  </conditionalFormatting>
  <conditionalFormatting sqref="J28:BM30 BX28:CG30">
    <cfRule type="containsBlanks" dxfId="9" priority="1">
      <formula>LEN(TRIM(J28))=0</formula>
    </cfRule>
  </conditionalFormatting>
  <dataValidations count="19">
    <dataValidation allowBlank="1" showInputMessage="1" showErrorMessage="1" prompt="Please advise the vessel seal used to seal this sample" sqref="J25:BM25 BX25:CG25 J29:BM29 BX29:CG29" xr:uid="{5D5E1C01-A3E5-4F59-A27C-53B3A79231CD}"/>
    <dataValidation allowBlank="1" showInputMessage="1" showErrorMessage="1" prompt="Please advised the barge/supplier seal used to seal this sample" sqref="J26:BM26 BX26:CG26 J30:BM30 BX30:CG30" xr:uid="{260DD4AA-C575-4720-8DE1-64DC45CF8050}"/>
    <dataValidation allowBlank="1" showInputMessage="1" showErrorMessage="1" prompt="Please advise the Intertek/surveyor seal used to seal this sample" sqref="J24:BM24 BX24:CG24 J28:BM28 BX28:CG28" xr:uid="{73FB1736-FC97-4A84-A0DF-32C26302ABC6}"/>
    <dataValidation allowBlank="1" showInputMessage="1" showErrorMessage="1" prompt="Please advise the seal number of that was used to seal the barge manifold after the bunkering occured _x000a__x000a_If not applicable please state &quot;N/A&quot;" sqref="BP15:BX16" xr:uid="{B5543A4B-6E1F-4FF0-B4A9-F2D8E1CEF666}"/>
    <dataValidation allowBlank="1" showInputMessage="1" showErrorMessage="1" prompt="Please advise the seal number of that was used to seal the barge manifold before the bunkering occured_x000a__x000a_If not applicable please state &quot;N/A&quot;" sqref="AX15:BF16" xr:uid="{4D6B80D0-3B25-47C2-A534-F6D01A91FD4B}"/>
    <dataValidation allowBlank="1" showInputMessage="1" showErrorMessage="1" prompt="Please advise the seal number of that was used to seal the barge manifold during the bunkering_x000a__x000a_If not applicable please state &quot;N/A&quot;" sqref="BG15:BO16" xr:uid="{4CF29480-DC67-458C-8C37-1B1F8E83C741}"/>
    <dataValidation allowBlank="1" showInputMessage="1" showErrorMessage="1" prompt="Please advise the overall quantity of sample drawn by the vessel_x000a_" sqref="BY13:CG14" xr:uid="{883A9D00-D4A1-48C1-B202-885D81FBBF9A}"/>
    <dataValidation allowBlank="1" showInputMessage="1" showErrorMessage="1" prompt="Please advise the overall quantity of sample drawn by the barge" sqref="BY15:CG16" xr:uid="{19585D7C-1366-4335-855E-433A4E41BBB9}"/>
    <dataValidation allowBlank="1" showInputMessage="1" showErrorMessage="1" prompt="Please seal the vessel manifold  after the completion of the bunkering and record the seal number here_x000a__x000a_If not applicable please state &quot;N/A&quot;" sqref="BP13:BX14" xr:uid="{01782E74-4228-49FA-B8A8-B306CDC47CB4}"/>
    <dataValidation allowBlank="1" showInputMessage="1" showErrorMessage="1" prompt="Please advise the seal number of that was used to seal the vessel manifold during the bunkering_x000a__x000a_If not applicable please state &quot;N/A&quot;" sqref="BG13:BO14" xr:uid="{D138F34F-7E7E-4F0B-A995-18545E96BD9E}"/>
    <dataValidation allowBlank="1" showInputMessage="1" showErrorMessage="1" prompt="Please advise the seal number of that was used to seal the vessel manifold before the bunkering occured_x000a__x000a_If not applicable please state &quot;N/A&quot;" sqref="AX13:BF14" xr:uid="{674A3EC3-E3E9-4B62-BBE6-3019B39787AA}"/>
    <dataValidation allowBlank="1" showInputMessage="1" showErrorMessage="1" prompt="Please advise at which point the sampling was carried out on board the vessel_x000a_e.g. vessel manifold" sqref="AN13:AW14" xr:uid="{5086B31C-322C-45E6-A359-49F1293FC0B8}"/>
    <dataValidation allowBlank="1" showInputMessage="1" showErrorMessage="1" prompt="Please advise at which point the sampling was carried out on board the barge_x000a_e.g. barge manifold" sqref="AN15:AW16" xr:uid="{B0ECE69D-C1CD-4034-B8A1-6720A834D3CE}"/>
    <dataValidation allowBlank="1" showInputMessage="1" showErrorMessage="1" prompt="Please advise how the sample was drawn on board the vessel_x000a_e.g. continuous drip, spot" sqref="AD13:AM14" xr:uid="{4F4F0450-09CF-4100-8DBF-A7360B896BF0}"/>
    <dataValidation allowBlank="1" showInputMessage="1" showErrorMessage="1" prompt="Please advise how the sample was drawn on board the barge_x000a_e.g. continuous drip, spot" sqref="AD15:AM16" xr:uid="{F869A486-2D18-4C86-9BE4-B985BB8D2A44}"/>
    <dataValidation allowBlank="1" showInputMessage="1" showErrorMessage="1" prompt="Please advise what kind of sampling device is on used on board the vessel_x000a_e.g. manual drip sampler, automatic sampler" sqref="T13:AC14" xr:uid="{F061C0EB-7168-43D1-86E9-980C03D9FCDF}"/>
    <dataValidation allowBlank="1" showInputMessage="1" showErrorMessage="1" prompt="Please advise what kind of sampling device is on used on board the barge e.g. manual drip sampler, automatic sampler" sqref="T15:AC16" xr:uid="{072BC94C-AA13-4C1D-95E2-8262F028F08B}"/>
    <dataValidation allowBlank="1" showInputMessage="1" showErrorMessage="1" prompt="Please enter the tank numbers that the vessel has received fuel in" sqref="J13:S13" xr:uid="{4F391BBD-38D4-41F1-9FCC-C33FF4163F7E}"/>
    <dataValidation allowBlank="1" showInputMessage="1" showErrorMessage="1" prompt="Please enter the tank numbers that the barge has used for delivery" sqref="J15:S15" xr:uid="{9CF32697-9FAD-46C7-A401-D80854CB9C73}"/>
  </dataValidations>
  <pageMargins left="0.7" right="0.7" top="0.75" bottom="0.75" header="0.3" footer="0.3"/>
  <pageSetup paperSize="9" scale="91" orientation="landscape" r:id="rId1"/>
  <headerFooter>
    <oddFooter>&amp;C&amp;06 &amp;P &amp; of &amp;N</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1">
    <tabColor theme="7" tint="0.39997558519241921"/>
  </sheetPr>
  <dimension ref="A1:BF61"/>
  <sheetViews>
    <sheetView topLeftCell="A10" zoomScaleNormal="100" workbookViewId="0">
      <selection activeCell="BG36" sqref="BG36"/>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467</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Entry'!N20="","",'Data Entry'!N20)</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t="str">
        <f>IF('Data Entry'!N32="","",'Data Entry'!N32)</f>
        <v/>
      </c>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553"/>
      <c r="B19" s="553"/>
      <c r="C19" s="553"/>
      <c r="D19" s="553"/>
      <c r="E19" s="553"/>
      <c r="F19" s="553"/>
      <c r="G19" s="553"/>
      <c r="H19" s="553"/>
      <c r="I19" s="553"/>
      <c r="J19" s="553"/>
      <c r="K19" s="553"/>
      <c r="L19" s="553"/>
      <c r="M19" s="553"/>
      <c r="N19" s="553"/>
      <c r="O19" s="553"/>
      <c r="P19" s="553"/>
      <c r="Q19" s="553"/>
      <c r="R19" s="553"/>
      <c r="S19" s="553"/>
      <c r="T19" s="553"/>
      <c r="U19" s="553"/>
      <c r="V19" s="553"/>
      <c r="W19" s="553"/>
      <c r="X19" s="553"/>
      <c r="Y19" s="553"/>
      <c r="Z19" s="553"/>
      <c r="AA19" s="553"/>
      <c r="AB19" s="553"/>
      <c r="AC19" s="553"/>
      <c r="AD19" s="553"/>
      <c r="AE19" s="553"/>
      <c r="AF19" s="553"/>
      <c r="AG19" s="553"/>
      <c r="AH19" s="553"/>
      <c r="AI19" s="553"/>
      <c r="AJ19" s="553"/>
      <c r="AK19" s="553"/>
      <c r="AL19" s="553"/>
      <c r="AM19" s="553"/>
      <c r="AN19" s="553"/>
      <c r="AO19" s="553"/>
      <c r="AP19" s="553"/>
      <c r="AQ19" s="553"/>
      <c r="AR19" s="553"/>
      <c r="AS19" s="553"/>
      <c r="AT19" s="553"/>
      <c r="AU19" s="553"/>
      <c r="AV19" s="553"/>
      <c r="AW19" s="553"/>
      <c r="AX19" s="553"/>
      <c r="AY19" s="553"/>
      <c r="AZ19" s="553"/>
    </row>
    <row r="20" spans="1:52" ht="12" customHeight="1" x14ac:dyDescent="0.2">
      <c r="A20" s="206"/>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206"/>
      <c r="B22" s="206"/>
      <c r="C22" s="206"/>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6"/>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row>
    <row r="50" spans="1:58"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row>
    <row r="51" spans="1:58"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58"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58"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58"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8"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8" ht="12" customHeight="1" x14ac:dyDescent="0.2">
      <c r="A56" s="154"/>
      <c r="B56" s="154"/>
      <c r="C56" s="196" t="s">
        <v>63</v>
      </c>
      <c r="D56" s="196"/>
      <c r="E56" s="196"/>
      <c r="F56" s="196"/>
      <c r="G56" s="196"/>
      <c r="H56" s="196"/>
      <c r="I56" s="196"/>
      <c r="J56" s="196"/>
      <c r="K56" s="196"/>
      <c r="L56" s="196"/>
      <c r="M56" s="196"/>
      <c r="N56" s="196"/>
      <c r="O56" s="196"/>
      <c r="P56" s="196"/>
      <c r="Q56" s="154"/>
      <c r="R56" s="154"/>
      <c r="S56" s="154"/>
      <c r="T56" s="196" t="s">
        <v>62</v>
      </c>
      <c r="U56" s="196"/>
      <c r="V56" s="196"/>
      <c r="W56" s="196"/>
      <c r="X56" s="196"/>
      <c r="Y56" s="196"/>
      <c r="Z56" s="196"/>
      <c r="AA56" s="196"/>
      <c r="AB56" s="196"/>
      <c r="AC56" s="196"/>
      <c r="AD56" s="196"/>
      <c r="AE56" s="196"/>
      <c r="AF56" s="196"/>
      <c r="AG56" s="196"/>
      <c r="AH56" s="154"/>
      <c r="AI56" s="154"/>
      <c r="AJ56" s="154"/>
      <c r="AK56" s="196" t="s">
        <v>62</v>
      </c>
      <c r="AL56" s="196"/>
      <c r="AM56" s="196"/>
      <c r="AN56" s="196"/>
      <c r="AO56" s="196"/>
      <c r="AP56" s="196"/>
      <c r="AQ56" s="196"/>
      <c r="AR56" s="196"/>
      <c r="AS56" s="196"/>
      <c r="AT56" s="196"/>
      <c r="AU56" s="196"/>
      <c r="AV56" s="196"/>
      <c r="AW56" s="196"/>
      <c r="AX56" s="196"/>
      <c r="AY56" s="375"/>
      <c r="AZ56" s="375"/>
    </row>
    <row r="57" spans="1:58"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215" t="str">
        <f>IF('Data Entry'!N23="","",'Data Entry'!N23)</f>
        <v/>
      </c>
      <c r="U57" s="215"/>
      <c r="V57" s="215"/>
      <c r="W57" s="215"/>
      <c r="X57" s="215"/>
      <c r="Y57" s="215"/>
      <c r="Z57" s="215"/>
      <c r="AA57" s="215"/>
      <c r="AB57" s="215"/>
      <c r="AC57" s="215"/>
      <c r="AD57" s="215"/>
      <c r="AE57" s="215"/>
      <c r="AF57" s="215"/>
      <c r="AG57" s="215"/>
      <c r="AH57" s="154"/>
      <c r="AI57" s="154"/>
      <c r="AJ57" s="154"/>
      <c r="AK57" s="215" t="str">
        <f>IF('Data Entry'!N9="","",'Data Entry'!N9)</f>
        <v/>
      </c>
      <c r="AL57" s="215"/>
      <c r="AM57" s="215"/>
      <c r="AN57" s="215"/>
      <c r="AO57" s="215"/>
      <c r="AP57" s="215"/>
      <c r="AQ57" s="215"/>
      <c r="AR57" s="215"/>
      <c r="AS57" s="215"/>
      <c r="AT57" s="215"/>
      <c r="AU57" s="215"/>
      <c r="AV57" s="215"/>
      <c r="AW57" s="215"/>
      <c r="AX57" s="215"/>
      <c r="AY57" s="375"/>
      <c r="AZ57" s="375"/>
    </row>
    <row r="58" spans="1:58" ht="12" customHeight="1" x14ac:dyDescent="0.2">
      <c r="A58" s="154"/>
      <c r="B58" s="154"/>
      <c r="C58" s="215"/>
      <c r="D58" s="215"/>
      <c r="E58" s="215"/>
      <c r="F58" s="215"/>
      <c r="G58" s="215"/>
      <c r="H58" s="215"/>
      <c r="I58" s="215"/>
      <c r="J58" s="215"/>
      <c r="K58" s="215"/>
      <c r="L58" s="215"/>
      <c r="M58" s="215"/>
      <c r="N58" s="215"/>
      <c r="O58" s="215"/>
      <c r="P58" s="215"/>
      <c r="Q58" s="154"/>
      <c r="R58" s="154"/>
      <c r="S58" s="154"/>
      <c r="T58" s="215"/>
      <c r="U58" s="215"/>
      <c r="V58" s="215"/>
      <c r="W58" s="215"/>
      <c r="X58" s="215"/>
      <c r="Y58" s="215"/>
      <c r="Z58" s="215"/>
      <c r="AA58" s="215"/>
      <c r="AB58" s="215"/>
      <c r="AC58" s="215"/>
      <c r="AD58" s="215"/>
      <c r="AE58" s="215"/>
      <c r="AF58" s="215"/>
      <c r="AG58" s="215"/>
      <c r="AH58" s="154"/>
      <c r="AI58" s="154"/>
      <c r="AJ58" s="154"/>
      <c r="AK58" s="215"/>
      <c r="AL58" s="215"/>
      <c r="AM58" s="215"/>
      <c r="AN58" s="215"/>
      <c r="AO58" s="215"/>
      <c r="AP58" s="215"/>
      <c r="AQ58" s="215"/>
      <c r="AR58" s="215"/>
      <c r="AS58" s="215"/>
      <c r="AT58" s="215"/>
      <c r="AU58" s="215"/>
      <c r="AV58" s="215"/>
      <c r="AW58" s="215"/>
      <c r="AX58" s="215"/>
      <c r="AY58" s="375"/>
      <c r="AZ58" s="375"/>
    </row>
    <row r="59" spans="1:58" ht="12" customHeight="1" x14ac:dyDescent="0.2">
      <c r="A59" s="154"/>
      <c r="B59" s="154"/>
      <c r="C59" s="216"/>
      <c r="D59" s="216"/>
      <c r="E59" s="216"/>
      <c r="F59" s="216"/>
      <c r="G59" s="216"/>
      <c r="H59" s="216"/>
      <c r="I59" s="216"/>
      <c r="J59" s="216"/>
      <c r="K59" s="216"/>
      <c r="L59" s="216"/>
      <c r="M59" s="216"/>
      <c r="N59" s="216"/>
      <c r="O59" s="216"/>
      <c r="P59" s="216"/>
      <c r="Q59" s="154"/>
      <c r="R59" s="154"/>
      <c r="S59" s="154"/>
      <c r="T59" s="216"/>
      <c r="U59" s="216"/>
      <c r="V59" s="216"/>
      <c r="W59" s="216"/>
      <c r="X59" s="216"/>
      <c r="Y59" s="216"/>
      <c r="Z59" s="216"/>
      <c r="AA59" s="216"/>
      <c r="AB59" s="216"/>
      <c r="AC59" s="216"/>
      <c r="AD59" s="216"/>
      <c r="AE59" s="216"/>
      <c r="AF59" s="216"/>
      <c r="AG59" s="216"/>
      <c r="AH59" s="154"/>
      <c r="AI59" s="154"/>
      <c r="AJ59" s="154"/>
      <c r="AK59" s="216"/>
      <c r="AL59" s="216"/>
      <c r="AM59" s="216"/>
      <c r="AN59" s="216"/>
      <c r="AO59" s="216"/>
      <c r="AP59" s="216"/>
      <c r="AQ59" s="216"/>
      <c r="AR59" s="216"/>
      <c r="AS59" s="216"/>
      <c r="AT59" s="216"/>
      <c r="AU59" s="216"/>
      <c r="AV59" s="216"/>
      <c r="AW59" s="216"/>
      <c r="AX59" s="216"/>
      <c r="AY59" s="375"/>
      <c r="AZ59" s="375"/>
    </row>
    <row r="60" spans="1:58"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211" t="s">
        <v>51</v>
      </c>
      <c r="U60" s="211"/>
      <c r="V60" s="211"/>
      <c r="W60" s="211"/>
      <c r="X60" s="211"/>
      <c r="Y60" s="211"/>
      <c r="Z60" s="211"/>
      <c r="AA60" s="211"/>
      <c r="AB60" s="211"/>
      <c r="AC60" s="211"/>
      <c r="AD60" s="211"/>
      <c r="AE60" s="211"/>
      <c r="AF60" s="211"/>
      <c r="AG60" s="211"/>
      <c r="AH60" s="154"/>
      <c r="AI60" s="154"/>
      <c r="AJ60" s="154"/>
      <c r="AK60" s="211" t="s">
        <v>17</v>
      </c>
      <c r="AL60" s="211"/>
      <c r="AM60" s="211"/>
      <c r="AN60" s="211"/>
      <c r="AO60" s="211"/>
      <c r="AP60" s="211"/>
      <c r="AQ60" s="211"/>
      <c r="AR60" s="211"/>
      <c r="AS60" s="211"/>
      <c r="AT60" s="211"/>
      <c r="AU60" s="211"/>
      <c r="AV60" s="211"/>
      <c r="AW60" s="211"/>
      <c r="AX60" s="211"/>
      <c r="AY60" s="375"/>
      <c r="AZ60" s="375"/>
    </row>
    <row r="61" spans="1:58" ht="13.5" customHeight="1" x14ac:dyDescent="0.2">
      <c r="A61" s="542" t="s">
        <v>478</v>
      </c>
      <c r="B61" s="542"/>
      <c r="C61" s="542"/>
      <c r="D61" s="542"/>
      <c r="E61" s="542"/>
      <c r="F61" s="542"/>
      <c r="G61" s="542"/>
      <c r="H61" s="542"/>
      <c r="I61" s="542"/>
      <c r="J61" s="542"/>
      <c r="K61" s="542"/>
      <c r="L61" s="542"/>
      <c r="M61" s="542"/>
      <c r="N61" s="542"/>
      <c r="O61" s="542"/>
      <c r="P61" s="542"/>
      <c r="Q61" s="542"/>
      <c r="R61" s="542"/>
      <c r="S61" s="542"/>
      <c r="T61" s="542"/>
      <c r="U61" s="542"/>
      <c r="V61" s="542"/>
      <c r="W61" s="542"/>
      <c r="X61" s="542"/>
      <c r="Y61" s="542"/>
      <c r="Z61" s="542"/>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73">
    <mergeCell ref="T57:AG59"/>
    <mergeCell ref="T60:AG60"/>
    <mergeCell ref="A1:AD3"/>
    <mergeCell ref="AE1:AI1"/>
    <mergeCell ref="A9:AZ9"/>
    <mergeCell ref="A24:AZ24"/>
    <mergeCell ref="A11:AZ11"/>
    <mergeCell ref="A12:AZ12"/>
    <mergeCell ref="A13:AZ13"/>
    <mergeCell ref="A14:AZ14"/>
    <mergeCell ref="A15:AZ17"/>
    <mergeCell ref="A18:AZ18"/>
    <mergeCell ref="A19:AZ19"/>
    <mergeCell ref="A20:AZ20"/>
    <mergeCell ref="A21:AZ21"/>
    <mergeCell ref="AK1:AZ1"/>
    <mergeCell ref="AE2:AI2"/>
    <mergeCell ref="AK2:AZ2"/>
    <mergeCell ref="AE3:AZ3"/>
    <mergeCell ref="A10:B10"/>
    <mergeCell ref="D10:AZ10"/>
    <mergeCell ref="A4:AZ4"/>
    <mergeCell ref="A5:AZ5"/>
    <mergeCell ref="A6:G6"/>
    <mergeCell ref="I6:AD6"/>
    <mergeCell ref="AE6:AI6"/>
    <mergeCell ref="AK6:AZ6"/>
    <mergeCell ref="A7:G7"/>
    <mergeCell ref="I7:AJ7"/>
    <mergeCell ref="AK7:AZ7"/>
    <mergeCell ref="A8:AZ8"/>
    <mergeCell ref="A22:AZ22"/>
    <mergeCell ref="A23:AZ23"/>
    <mergeCell ref="A36:AZ36"/>
    <mergeCell ref="A25:AZ25"/>
    <mergeCell ref="A26:AZ26"/>
    <mergeCell ref="A27:AZ27"/>
    <mergeCell ref="A28:AZ28"/>
    <mergeCell ref="A29:AZ29"/>
    <mergeCell ref="A30:AZ30"/>
    <mergeCell ref="A31:AZ31"/>
    <mergeCell ref="A32:AZ32"/>
    <mergeCell ref="A33:AZ33"/>
    <mergeCell ref="A34:AZ34"/>
    <mergeCell ref="A35:AZ35"/>
    <mergeCell ref="A48:AZ48"/>
    <mergeCell ref="A37:AZ37"/>
    <mergeCell ref="A38:AZ38"/>
    <mergeCell ref="A39:AZ39"/>
    <mergeCell ref="A40:AZ40"/>
    <mergeCell ref="A41:AZ41"/>
    <mergeCell ref="A42:AZ42"/>
    <mergeCell ref="A43:AZ43"/>
    <mergeCell ref="A44:AZ44"/>
    <mergeCell ref="A45:AZ45"/>
    <mergeCell ref="A46:AZ46"/>
    <mergeCell ref="A47:AZ47"/>
    <mergeCell ref="C60:P60"/>
    <mergeCell ref="AK60:AX60"/>
    <mergeCell ref="A61:Z61"/>
    <mergeCell ref="AA61:AZ61"/>
    <mergeCell ref="A49:AZ49"/>
    <mergeCell ref="A50:AZ52"/>
    <mergeCell ref="A53:AZ55"/>
    <mergeCell ref="A56:B60"/>
    <mergeCell ref="C56:P56"/>
    <mergeCell ref="AK56:AX56"/>
    <mergeCell ref="AY56:AZ60"/>
    <mergeCell ref="C57:P59"/>
    <mergeCell ref="AK57:AX59"/>
    <mergeCell ref="Q56:S60"/>
    <mergeCell ref="T56:AG56"/>
    <mergeCell ref="AH56:AJ60"/>
  </mergeCells>
  <conditionalFormatting sqref="AK1:AZ2 I6:I7 D10">
    <cfRule type="containsBlanks" dxfId="8" priority="4" stopIfTrue="1">
      <formula>LEN(TRIM(D1))=0</formula>
    </cfRule>
  </conditionalFormatting>
  <conditionalFormatting sqref="A18">
    <cfRule type="containsBlanks" dxfId="7" priority="3" stopIfTrue="1">
      <formula>LEN(TRIM(A18))=0</formula>
    </cfRule>
  </conditionalFormatting>
  <conditionalFormatting sqref="AK57 T57 C57 AK6">
    <cfRule type="containsBlanks" dxfId="6" priority="1" stopIfTrue="1">
      <formula>LEN(TRIM(C6))=0</formula>
    </cfRule>
  </conditionalFormatting>
  <dataValidations count="2">
    <dataValidation allowBlank="1" showInputMessage="1" showErrorMessage="1" prompt="If a statement of facts needs to be issued and is to extensive for the surveyor remarks on the summary report tab, please fill out this section of the report detailing further information._x000a_" sqref="A18:AZ18" xr:uid="{00000000-0002-0000-1A00-000000000000}"/>
    <dataValidation type="date" allowBlank="1" showInputMessage="1" showErrorMessage="1" error="Must enter date (mm/dd/yyyy)" sqref="AK6" xr:uid="{00000000-0002-0000-1A00-000003000000}">
      <formula1>1</formula1>
      <formula2>73050</formula2>
    </dataValidation>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theme="7" tint="0.39997558519241921"/>
  </sheetPr>
  <dimension ref="A1:BF61"/>
  <sheetViews>
    <sheetView topLeftCell="A7" zoomScaleNormal="100" workbookViewId="0">
      <selection activeCell="BG36" sqref="BG36"/>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58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t="str">
        <f>IF('Data Entry'!N20="","",'Data Entry'!N20)</f>
        <v/>
      </c>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206"/>
      <c r="B19" s="206"/>
      <c r="C19" s="206"/>
      <c r="D19" s="206"/>
      <c r="E19" s="206"/>
      <c r="F19" s="206"/>
      <c r="G19" s="206"/>
      <c r="H19" s="206"/>
      <c r="I19" s="206"/>
      <c r="J19" s="206"/>
      <c r="K19" s="206"/>
      <c r="L19" s="206"/>
      <c r="M19" s="206"/>
      <c r="N19" s="206"/>
      <c r="O19" s="206"/>
      <c r="P19" s="206"/>
      <c r="Q19" s="206"/>
      <c r="R19" s="206"/>
      <c r="S19" s="206"/>
      <c r="T19" s="206"/>
      <c r="U19" s="206"/>
      <c r="V19" s="206"/>
      <c r="W19" s="206"/>
      <c r="X19" s="206"/>
      <c r="Y19" s="206"/>
      <c r="Z19" s="206"/>
      <c r="AA19" s="206"/>
      <c r="AB19" s="206"/>
      <c r="AC19" s="206"/>
      <c r="AD19" s="206"/>
      <c r="AE19" s="206"/>
      <c r="AF19" s="206"/>
      <c r="AG19" s="206"/>
      <c r="AH19" s="206"/>
      <c r="AI19" s="206"/>
      <c r="AJ19" s="206"/>
      <c r="AK19" s="206"/>
      <c r="AL19" s="206"/>
      <c r="AM19" s="206"/>
      <c r="AN19" s="206"/>
      <c r="AO19" s="206"/>
      <c r="AP19" s="206"/>
      <c r="AQ19" s="206"/>
      <c r="AR19" s="206"/>
      <c r="AS19" s="206"/>
      <c r="AT19" s="206"/>
      <c r="AU19" s="206"/>
      <c r="AV19" s="206"/>
      <c r="AW19" s="206"/>
      <c r="AX19" s="206"/>
      <c r="AY19" s="206"/>
      <c r="AZ19" s="206"/>
    </row>
    <row r="20" spans="1:52" ht="12" customHeight="1" x14ac:dyDescent="0.2">
      <c r="A20" s="206"/>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206"/>
      <c r="B22" s="206"/>
      <c r="C22" s="206"/>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6"/>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row>
    <row r="50" spans="1:58"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row>
    <row r="51" spans="1:58"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58"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58"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58"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8"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8" ht="12" customHeight="1" x14ac:dyDescent="0.2">
      <c r="A56" s="154"/>
      <c r="B56" s="154"/>
      <c r="C56" s="196" t="s">
        <v>63</v>
      </c>
      <c r="D56" s="196"/>
      <c r="E56" s="196"/>
      <c r="F56" s="196"/>
      <c r="G56" s="196"/>
      <c r="H56" s="196"/>
      <c r="I56" s="196"/>
      <c r="J56" s="196"/>
      <c r="K56" s="196"/>
      <c r="L56" s="196"/>
      <c r="M56" s="196"/>
      <c r="N56" s="196"/>
      <c r="O56" s="196"/>
      <c r="P56" s="196"/>
      <c r="Q56" s="154"/>
      <c r="R56" s="154"/>
      <c r="S56" s="154"/>
      <c r="T56" s="196" t="s">
        <v>62</v>
      </c>
      <c r="U56" s="196"/>
      <c r="V56" s="196"/>
      <c r="W56" s="196"/>
      <c r="X56" s="196"/>
      <c r="Y56" s="196"/>
      <c r="Z56" s="196"/>
      <c r="AA56" s="196"/>
      <c r="AB56" s="196"/>
      <c r="AC56" s="196"/>
      <c r="AD56" s="196"/>
      <c r="AE56" s="196"/>
      <c r="AF56" s="196"/>
      <c r="AG56" s="196"/>
      <c r="AH56" s="154"/>
      <c r="AI56" s="154"/>
      <c r="AJ56" s="154"/>
      <c r="AK56" s="196" t="s">
        <v>62</v>
      </c>
      <c r="AL56" s="196"/>
      <c r="AM56" s="196"/>
      <c r="AN56" s="196"/>
      <c r="AO56" s="196"/>
      <c r="AP56" s="196"/>
      <c r="AQ56" s="196"/>
      <c r="AR56" s="196"/>
      <c r="AS56" s="196"/>
      <c r="AT56" s="196"/>
      <c r="AU56" s="196"/>
      <c r="AV56" s="196"/>
      <c r="AW56" s="196"/>
      <c r="AX56" s="196"/>
      <c r="AY56" s="375"/>
      <c r="AZ56" s="375"/>
    </row>
    <row r="57" spans="1:58"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215" t="str">
        <f>IF('Data Entry'!N23="","",'Data Entry'!N23)</f>
        <v/>
      </c>
      <c r="U57" s="215"/>
      <c r="V57" s="215"/>
      <c r="W57" s="215"/>
      <c r="X57" s="215"/>
      <c r="Y57" s="215"/>
      <c r="Z57" s="215"/>
      <c r="AA57" s="215"/>
      <c r="AB57" s="215"/>
      <c r="AC57" s="215"/>
      <c r="AD57" s="215"/>
      <c r="AE57" s="215"/>
      <c r="AF57" s="215"/>
      <c r="AG57" s="215"/>
      <c r="AH57" s="154"/>
      <c r="AI57" s="154"/>
      <c r="AJ57" s="154"/>
      <c r="AK57" s="215" t="str">
        <f>IF('Data Entry'!N9="","",'Data Entry'!N9)</f>
        <v/>
      </c>
      <c r="AL57" s="215"/>
      <c r="AM57" s="215"/>
      <c r="AN57" s="215"/>
      <c r="AO57" s="215"/>
      <c r="AP57" s="215"/>
      <c r="AQ57" s="215"/>
      <c r="AR57" s="215"/>
      <c r="AS57" s="215"/>
      <c r="AT57" s="215"/>
      <c r="AU57" s="215"/>
      <c r="AV57" s="215"/>
      <c r="AW57" s="215"/>
      <c r="AX57" s="215"/>
      <c r="AY57" s="375"/>
      <c r="AZ57" s="375"/>
    </row>
    <row r="58" spans="1:58" ht="12" customHeight="1" x14ac:dyDescent="0.2">
      <c r="A58" s="154"/>
      <c r="B58" s="154"/>
      <c r="C58" s="215"/>
      <c r="D58" s="215"/>
      <c r="E58" s="215"/>
      <c r="F58" s="215"/>
      <c r="G58" s="215"/>
      <c r="H58" s="215"/>
      <c r="I58" s="215"/>
      <c r="J58" s="215"/>
      <c r="K58" s="215"/>
      <c r="L58" s="215"/>
      <c r="M58" s="215"/>
      <c r="N58" s="215"/>
      <c r="O58" s="215"/>
      <c r="P58" s="215"/>
      <c r="Q58" s="154"/>
      <c r="R58" s="154"/>
      <c r="S58" s="154"/>
      <c r="T58" s="215"/>
      <c r="U58" s="215"/>
      <c r="V58" s="215"/>
      <c r="W58" s="215"/>
      <c r="X58" s="215"/>
      <c r="Y58" s="215"/>
      <c r="Z58" s="215"/>
      <c r="AA58" s="215"/>
      <c r="AB58" s="215"/>
      <c r="AC58" s="215"/>
      <c r="AD58" s="215"/>
      <c r="AE58" s="215"/>
      <c r="AF58" s="215"/>
      <c r="AG58" s="215"/>
      <c r="AH58" s="154"/>
      <c r="AI58" s="154"/>
      <c r="AJ58" s="154"/>
      <c r="AK58" s="215"/>
      <c r="AL58" s="215"/>
      <c r="AM58" s="215"/>
      <c r="AN58" s="215"/>
      <c r="AO58" s="215"/>
      <c r="AP58" s="215"/>
      <c r="AQ58" s="215"/>
      <c r="AR58" s="215"/>
      <c r="AS58" s="215"/>
      <c r="AT58" s="215"/>
      <c r="AU58" s="215"/>
      <c r="AV58" s="215"/>
      <c r="AW58" s="215"/>
      <c r="AX58" s="215"/>
      <c r="AY58" s="375"/>
      <c r="AZ58" s="375"/>
    </row>
    <row r="59" spans="1:58" ht="12" customHeight="1" x14ac:dyDescent="0.2">
      <c r="A59" s="154"/>
      <c r="B59" s="154"/>
      <c r="C59" s="216"/>
      <c r="D59" s="216"/>
      <c r="E59" s="216"/>
      <c r="F59" s="216"/>
      <c r="G59" s="216"/>
      <c r="H59" s="216"/>
      <c r="I59" s="216"/>
      <c r="J59" s="216"/>
      <c r="K59" s="216"/>
      <c r="L59" s="216"/>
      <c r="M59" s="216"/>
      <c r="N59" s="216"/>
      <c r="O59" s="216"/>
      <c r="P59" s="216"/>
      <c r="Q59" s="154"/>
      <c r="R59" s="154"/>
      <c r="S59" s="154"/>
      <c r="T59" s="216"/>
      <c r="U59" s="216"/>
      <c r="V59" s="216"/>
      <c r="W59" s="216"/>
      <c r="X59" s="216"/>
      <c r="Y59" s="216"/>
      <c r="Z59" s="216"/>
      <c r="AA59" s="216"/>
      <c r="AB59" s="216"/>
      <c r="AC59" s="216"/>
      <c r="AD59" s="216"/>
      <c r="AE59" s="216"/>
      <c r="AF59" s="216"/>
      <c r="AG59" s="216"/>
      <c r="AH59" s="154"/>
      <c r="AI59" s="154"/>
      <c r="AJ59" s="154"/>
      <c r="AK59" s="216"/>
      <c r="AL59" s="216"/>
      <c r="AM59" s="216"/>
      <c r="AN59" s="216"/>
      <c r="AO59" s="216"/>
      <c r="AP59" s="216"/>
      <c r="AQ59" s="216"/>
      <c r="AR59" s="216"/>
      <c r="AS59" s="216"/>
      <c r="AT59" s="216"/>
      <c r="AU59" s="216"/>
      <c r="AV59" s="216"/>
      <c r="AW59" s="216"/>
      <c r="AX59" s="216"/>
      <c r="AY59" s="375"/>
      <c r="AZ59" s="375"/>
    </row>
    <row r="60" spans="1:58"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211" t="s">
        <v>51</v>
      </c>
      <c r="U60" s="211"/>
      <c r="V60" s="211"/>
      <c r="W60" s="211"/>
      <c r="X60" s="211"/>
      <c r="Y60" s="211"/>
      <c r="Z60" s="211"/>
      <c r="AA60" s="211"/>
      <c r="AB60" s="211"/>
      <c r="AC60" s="211"/>
      <c r="AD60" s="211"/>
      <c r="AE60" s="211"/>
      <c r="AF60" s="211"/>
      <c r="AG60" s="211"/>
      <c r="AH60" s="154"/>
      <c r="AI60" s="154"/>
      <c r="AJ60" s="154"/>
      <c r="AK60" s="211" t="s">
        <v>17</v>
      </c>
      <c r="AL60" s="211"/>
      <c r="AM60" s="211"/>
      <c r="AN60" s="211"/>
      <c r="AO60" s="211"/>
      <c r="AP60" s="211"/>
      <c r="AQ60" s="211"/>
      <c r="AR60" s="211"/>
      <c r="AS60" s="211"/>
      <c r="AT60" s="211"/>
      <c r="AU60" s="211"/>
      <c r="AV60" s="211"/>
      <c r="AW60" s="211"/>
      <c r="AX60" s="211"/>
      <c r="AY60" s="375"/>
      <c r="AZ60" s="375"/>
    </row>
    <row r="61" spans="1:58" ht="13.5" customHeight="1" x14ac:dyDescent="0.2">
      <c r="A61" s="148" t="s">
        <v>275</v>
      </c>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73">
    <mergeCell ref="Q56:S60"/>
    <mergeCell ref="T56:AG56"/>
    <mergeCell ref="AH56:AJ60"/>
    <mergeCell ref="T57:AG59"/>
    <mergeCell ref="T60:AG60"/>
    <mergeCell ref="A28:AZ28"/>
    <mergeCell ref="A29:AZ29"/>
    <mergeCell ref="A41:AZ41"/>
    <mergeCell ref="A40:AZ40"/>
    <mergeCell ref="A31:AZ31"/>
    <mergeCell ref="A36:AZ36"/>
    <mergeCell ref="A37:AZ37"/>
    <mergeCell ref="A38:AZ38"/>
    <mergeCell ref="A39:AZ39"/>
    <mergeCell ref="A32:AZ32"/>
    <mergeCell ref="A33:AZ33"/>
    <mergeCell ref="A34:AZ34"/>
    <mergeCell ref="A35:AZ35"/>
    <mergeCell ref="A8:AZ8"/>
    <mergeCell ref="A4:AZ4"/>
    <mergeCell ref="A5:AZ5"/>
    <mergeCell ref="A6:G6"/>
    <mergeCell ref="I6:AD6"/>
    <mergeCell ref="A7:G7"/>
    <mergeCell ref="I7:AJ7"/>
    <mergeCell ref="AK7:AZ7"/>
    <mergeCell ref="AE6:AI6"/>
    <mergeCell ref="AK6:AZ6"/>
    <mergeCell ref="A1:AD3"/>
    <mergeCell ref="AE1:AI1"/>
    <mergeCell ref="AK1:AZ1"/>
    <mergeCell ref="AE2:AI2"/>
    <mergeCell ref="AK2:AZ2"/>
    <mergeCell ref="AE3:AZ3"/>
    <mergeCell ref="A53:AZ55"/>
    <mergeCell ref="A15:AZ17"/>
    <mergeCell ref="A50:AZ52"/>
    <mergeCell ref="A18:AZ18"/>
    <mergeCell ref="A19:AZ19"/>
    <mergeCell ref="A20:AZ20"/>
    <mergeCell ref="A21:AZ21"/>
    <mergeCell ref="A22:AZ22"/>
    <mergeCell ref="A30:AZ30"/>
    <mergeCell ref="A48:AZ48"/>
    <mergeCell ref="A49:AZ49"/>
    <mergeCell ref="A23:AZ23"/>
    <mergeCell ref="A24:AZ24"/>
    <mergeCell ref="A25:AZ25"/>
    <mergeCell ref="A26:AZ26"/>
    <mergeCell ref="A27:AZ27"/>
    <mergeCell ref="A9:AZ9"/>
    <mergeCell ref="A14:AZ14"/>
    <mergeCell ref="A10:B10"/>
    <mergeCell ref="A11:AZ11"/>
    <mergeCell ref="A12:AZ12"/>
    <mergeCell ref="D10:AZ10"/>
    <mergeCell ref="A13:AZ13"/>
    <mergeCell ref="A61:Z61"/>
    <mergeCell ref="AA61:AZ61"/>
    <mergeCell ref="A42:AZ42"/>
    <mergeCell ref="A47:AZ47"/>
    <mergeCell ref="A43:AZ43"/>
    <mergeCell ref="A44:AZ44"/>
    <mergeCell ref="A45:AZ45"/>
    <mergeCell ref="A46:AZ46"/>
    <mergeCell ref="AK57:AX59"/>
    <mergeCell ref="C57:P59"/>
    <mergeCell ref="AY56:AZ60"/>
    <mergeCell ref="A56:B60"/>
    <mergeCell ref="AK60:AX60"/>
    <mergeCell ref="C60:P60"/>
    <mergeCell ref="C56:P56"/>
    <mergeCell ref="AK56:AX56"/>
  </mergeCells>
  <phoneticPr fontId="2" type="noConversion"/>
  <conditionalFormatting sqref="I6:I7 AK6 AK1:AZ2">
    <cfRule type="containsBlanks" dxfId="5" priority="5" stopIfTrue="1">
      <formula>LEN(TRIM(I1))=0</formula>
    </cfRule>
  </conditionalFormatting>
  <conditionalFormatting sqref="D10 A18">
    <cfRule type="containsBlanks" dxfId="4" priority="4" stopIfTrue="1">
      <formula>LEN(TRIM(A10))=0</formula>
    </cfRule>
  </conditionalFormatting>
  <conditionalFormatting sqref="AK57 T57 C57">
    <cfRule type="containsBlanks" dxfId="3" priority="1" stopIfTrue="1">
      <formula>LEN(TRIM(C57))=0</formula>
    </cfRule>
  </conditionalFormatting>
  <dataValidations count="3">
    <dataValidation type="date" allowBlank="1" showInputMessage="1" showErrorMessage="1" error="Must enter date (mm/dd/yyyy)" sqref="AK6" xr:uid="{00000000-0002-0000-1800-000000000000}">
      <formula1>1</formula1>
      <formula2>73050</formula2>
    </dataValidation>
    <dataValidation allowBlank="1" showInputMessage="1" showErrorMessage="1" prompt="Please advise who the Letter of Protest is being issued to" sqref="D10:AZ10" xr:uid="{00000000-0002-0000-1800-000002000000}"/>
    <dataValidation allowBlank="1" showInputMessage="1" showErrorMessage="1" prompt="If a letter of protest needs to be issued please fill out this section of the report detailing the reasons why." sqref="A18:AZ18" xr:uid="{00000000-0002-0000-1800-000003000000}"/>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BF61"/>
  <sheetViews>
    <sheetView zoomScaleNormal="100" workbookViewId="0">
      <selection activeCell="BG36" sqref="BG36"/>
    </sheetView>
  </sheetViews>
  <sheetFormatPr defaultColWidth="9.140625" defaultRowHeight="13.5" customHeight="1" x14ac:dyDescent="0.2"/>
  <cols>
    <col min="1" max="52" width="1.7109375" style="6" customWidth="1"/>
    <col min="53" max="55" width="9.140625" style="6"/>
    <col min="56" max="56" width="9.5703125" style="6" customWidth="1"/>
    <col min="57" max="57" width="9.140625" style="6"/>
    <col min="58" max="58" width="9.140625" style="6" hidden="1" customWidth="1"/>
    <col min="59" max="16384" width="9.140625" style="6"/>
  </cols>
  <sheetData>
    <row r="1" spans="1:52" ht="12.75" customHeight="1" x14ac:dyDescent="0.2">
      <c r="A1" s="154"/>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5" t="s">
        <v>280</v>
      </c>
      <c r="AF1" s="155"/>
      <c r="AG1" s="155"/>
      <c r="AH1" s="155"/>
      <c r="AI1" s="155"/>
      <c r="AJ1" s="6" t="s">
        <v>0</v>
      </c>
      <c r="AK1" s="155" t="str">
        <f>IF('Data Entry'!N28="","",'Data Entry'!N28)</f>
        <v/>
      </c>
      <c r="AL1" s="155"/>
      <c r="AM1" s="155"/>
      <c r="AN1" s="155"/>
      <c r="AO1" s="155"/>
      <c r="AP1" s="155"/>
      <c r="AQ1" s="155"/>
      <c r="AR1" s="155"/>
      <c r="AS1" s="155"/>
      <c r="AT1" s="155"/>
      <c r="AU1" s="155"/>
      <c r="AV1" s="155"/>
      <c r="AW1" s="155"/>
      <c r="AX1" s="155"/>
      <c r="AY1" s="155"/>
      <c r="AZ1" s="155"/>
    </row>
    <row r="2" spans="1:52" ht="12.75" customHeight="1" x14ac:dyDescent="0.2">
      <c r="A2" s="154"/>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5" t="s">
        <v>281</v>
      </c>
      <c r="AF2" s="155"/>
      <c r="AG2" s="155"/>
      <c r="AH2" s="155"/>
      <c r="AI2" s="155"/>
      <c r="AJ2" s="6" t="s">
        <v>0</v>
      </c>
      <c r="AK2" s="155" t="str">
        <f>IF('Data Entry'!N39="","",'Data Entry'!N39)</f>
        <v>SC17124</v>
      </c>
      <c r="AL2" s="155"/>
      <c r="AM2" s="155"/>
      <c r="AN2" s="155"/>
      <c r="AO2" s="155"/>
      <c r="AP2" s="155"/>
      <c r="AQ2" s="155"/>
      <c r="AR2" s="155"/>
      <c r="AS2" s="155"/>
      <c r="AT2" s="155"/>
      <c r="AU2" s="155"/>
      <c r="AV2" s="155"/>
      <c r="AW2" s="155"/>
      <c r="AX2" s="155"/>
      <c r="AY2" s="155"/>
      <c r="AZ2" s="155"/>
    </row>
    <row r="3" spans="1:52" ht="12.75" customHeight="1" x14ac:dyDescent="0.2">
      <c r="A3" s="154"/>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c r="AB3" s="154"/>
      <c r="AC3" s="154"/>
      <c r="AD3" s="154"/>
      <c r="AE3" s="154" t="str">
        <f>'Bunker Certificate 1'!Y4</f>
        <v/>
      </c>
      <c r="AF3" s="154"/>
      <c r="AG3" s="154"/>
      <c r="AH3" s="154"/>
      <c r="AI3" s="154"/>
      <c r="AJ3" s="154"/>
      <c r="AK3" s="154"/>
      <c r="AL3" s="154"/>
      <c r="AM3" s="154"/>
      <c r="AN3" s="154"/>
      <c r="AO3" s="154"/>
      <c r="AP3" s="154"/>
      <c r="AQ3" s="154"/>
      <c r="AR3" s="154"/>
      <c r="AS3" s="154"/>
      <c r="AT3" s="154"/>
      <c r="AU3" s="154"/>
      <c r="AV3" s="154"/>
      <c r="AW3" s="154"/>
      <c r="AX3" s="154"/>
      <c r="AY3" s="154"/>
      <c r="AZ3" s="154"/>
    </row>
    <row r="4" spans="1:52" ht="12" customHeight="1" x14ac:dyDescent="0.2">
      <c r="A4" s="164" t="s">
        <v>58</v>
      </c>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row>
    <row r="5" spans="1:52" ht="12" customHeight="1" x14ac:dyDescent="0.2">
      <c r="A5" s="154"/>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row>
    <row r="6" spans="1:52" ht="12" customHeight="1" x14ac:dyDescent="0.2">
      <c r="A6" s="155" t="s">
        <v>1</v>
      </c>
      <c r="B6" s="155"/>
      <c r="C6" s="155"/>
      <c r="D6" s="155"/>
      <c r="E6" s="155"/>
      <c r="F6" s="155"/>
      <c r="G6" s="155"/>
      <c r="H6" s="6" t="s">
        <v>0</v>
      </c>
      <c r="I6" s="155" t="str">
        <f>IF('Data Entry'!N6="","",'Data Entry'!N6)</f>
        <v/>
      </c>
      <c r="J6" s="155"/>
      <c r="K6" s="155"/>
      <c r="L6" s="155"/>
      <c r="M6" s="155"/>
      <c r="N6" s="155"/>
      <c r="O6" s="155"/>
      <c r="P6" s="155"/>
      <c r="Q6" s="155"/>
      <c r="R6" s="155"/>
      <c r="S6" s="155"/>
      <c r="T6" s="155"/>
      <c r="U6" s="155"/>
      <c r="V6" s="155"/>
      <c r="W6" s="155"/>
      <c r="X6" s="155"/>
      <c r="Y6" s="155"/>
      <c r="Z6" s="155"/>
      <c r="AA6" s="155"/>
      <c r="AB6" s="155"/>
      <c r="AC6" s="155"/>
      <c r="AD6" s="155"/>
      <c r="AE6" s="155" t="s">
        <v>2</v>
      </c>
      <c r="AF6" s="155"/>
      <c r="AG6" s="155"/>
      <c r="AH6" s="155"/>
      <c r="AI6" s="155"/>
      <c r="AJ6" s="91" t="s">
        <v>0</v>
      </c>
      <c r="AK6" s="236"/>
      <c r="AL6" s="236"/>
      <c r="AM6" s="236"/>
      <c r="AN6" s="236"/>
      <c r="AO6" s="236"/>
      <c r="AP6" s="236"/>
      <c r="AQ6" s="236"/>
      <c r="AR6" s="236"/>
      <c r="AS6" s="236"/>
      <c r="AT6" s="236"/>
      <c r="AU6" s="236"/>
      <c r="AV6" s="236"/>
      <c r="AW6" s="236"/>
      <c r="AX6" s="236"/>
      <c r="AY6" s="236"/>
      <c r="AZ6" s="236"/>
    </row>
    <row r="7" spans="1:52" ht="12" customHeight="1" x14ac:dyDescent="0.2">
      <c r="A7" s="155" t="s">
        <v>124</v>
      </c>
      <c r="B7" s="155"/>
      <c r="C7" s="155"/>
      <c r="D7" s="155"/>
      <c r="E7" s="155"/>
      <c r="F7" s="155"/>
      <c r="G7" s="155"/>
      <c r="H7" s="6" t="s">
        <v>0</v>
      </c>
      <c r="I7" s="155" t="str">
        <f>IF('Data Entry'!N26="","",'Data Entry'!N26)&amp;IF(OR('Data Entry'!N26="",'Data Entry'!N27=""),"","/")&amp; IF('Data Entry'!N27="","",'Data Entry'!N27)</f>
        <v>ANCHORAGE AREA/İSTANBUL</v>
      </c>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4"/>
      <c r="AL7" s="154"/>
      <c r="AM7" s="154"/>
      <c r="AN7" s="154"/>
      <c r="AO7" s="154"/>
      <c r="AP7" s="154"/>
      <c r="AQ7" s="154"/>
      <c r="AR7" s="154"/>
      <c r="AS7" s="154"/>
      <c r="AT7" s="154"/>
      <c r="AU7" s="154"/>
      <c r="AV7" s="154"/>
      <c r="AW7" s="154"/>
      <c r="AX7" s="154"/>
      <c r="AY7" s="154"/>
      <c r="AZ7" s="154"/>
    </row>
    <row r="8" spans="1:52" ht="12" customHeight="1" x14ac:dyDescent="0.2">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row>
    <row r="9" spans="1:52" ht="12" customHeight="1" x14ac:dyDescent="0.2">
      <c r="A9" s="154"/>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row>
    <row r="10" spans="1:52" ht="12" customHeight="1" x14ac:dyDescent="0.2">
      <c r="A10" s="155" t="s">
        <v>31</v>
      </c>
      <c r="B10" s="155"/>
      <c r="C10" s="6" t="s">
        <v>0</v>
      </c>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row>
    <row r="11" spans="1:52" ht="12" customHeight="1" x14ac:dyDescent="0.2">
      <c r="A11" s="154"/>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row>
    <row r="12" spans="1:52" ht="12" customHeight="1" x14ac:dyDescent="0.2">
      <c r="A12" s="154"/>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row>
    <row r="13" spans="1:52" ht="12" customHeight="1" x14ac:dyDescent="0.2">
      <c r="A13" s="154"/>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row>
    <row r="14" spans="1:52" ht="12" customHeight="1" x14ac:dyDescent="0.2">
      <c r="A14" s="154"/>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row>
    <row r="15" spans="1:52" ht="12" customHeight="1" x14ac:dyDescent="0.2">
      <c r="A15" s="165" t="s">
        <v>59</v>
      </c>
      <c r="B15" s="165"/>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row>
    <row r="16" spans="1:52" ht="12" customHeight="1" x14ac:dyDescent="0.2">
      <c r="A16" s="165"/>
      <c r="B16" s="165"/>
      <c r="C16" s="165"/>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row>
    <row r="17" spans="1:52" ht="12" customHeight="1" x14ac:dyDescent="0.2">
      <c r="A17" s="165"/>
      <c r="B17" s="165"/>
      <c r="C17" s="165"/>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row>
    <row r="18" spans="1:52" ht="12" customHeight="1" x14ac:dyDescent="0.2">
      <c r="A18" s="206"/>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row>
    <row r="19" spans="1:52" ht="12" customHeight="1" x14ac:dyDescent="0.2">
      <c r="A19" s="553"/>
      <c r="B19" s="553"/>
      <c r="C19" s="553"/>
      <c r="D19" s="553"/>
      <c r="E19" s="553"/>
      <c r="F19" s="553"/>
      <c r="G19" s="553"/>
      <c r="H19" s="553"/>
      <c r="I19" s="553"/>
      <c r="J19" s="553"/>
      <c r="K19" s="553"/>
      <c r="L19" s="553"/>
      <c r="M19" s="553"/>
      <c r="N19" s="553"/>
      <c r="O19" s="553"/>
      <c r="P19" s="553"/>
      <c r="Q19" s="553"/>
      <c r="R19" s="553"/>
      <c r="S19" s="553"/>
      <c r="T19" s="553"/>
      <c r="U19" s="553"/>
      <c r="V19" s="553"/>
      <c r="W19" s="553"/>
      <c r="X19" s="553"/>
      <c r="Y19" s="553"/>
      <c r="Z19" s="553"/>
      <c r="AA19" s="553"/>
      <c r="AB19" s="553"/>
      <c r="AC19" s="553"/>
      <c r="AD19" s="553"/>
      <c r="AE19" s="553"/>
      <c r="AF19" s="553"/>
      <c r="AG19" s="553"/>
      <c r="AH19" s="553"/>
      <c r="AI19" s="553"/>
      <c r="AJ19" s="553"/>
      <c r="AK19" s="553"/>
      <c r="AL19" s="553"/>
      <c r="AM19" s="553"/>
      <c r="AN19" s="553"/>
      <c r="AO19" s="553"/>
      <c r="AP19" s="553"/>
      <c r="AQ19" s="553"/>
      <c r="AR19" s="553"/>
      <c r="AS19" s="553"/>
      <c r="AT19" s="553"/>
      <c r="AU19" s="553"/>
      <c r="AV19" s="553"/>
      <c r="AW19" s="553"/>
      <c r="AX19" s="553"/>
      <c r="AY19" s="553"/>
      <c r="AZ19" s="553"/>
    </row>
    <row r="20" spans="1:52" ht="12" customHeight="1" x14ac:dyDescent="0.2">
      <c r="A20" s="206"/>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row>
    <row r="21" spans="1:52" ht="12" customHeight="1" x14ac:dyDescent="0.2">
      <c r="A21" s="206"/>
      <c r="B21" s="206"/>
      <c r="C21" s="206"/>
      <c r="D21" s="206"/>
      <c r="E21" s="206"/>
      <c r="F21" s="206"/>
      <c r="G21" s="206"/>
      <c r="H21" s="206"/>
      <c r="I21" s="206"/>
      <c r="J21" s="206"/>
      <c r="K21" s="206"/>
      <c r="L21" s="206"/>
      <c r="M21" s="206"/>
      <c r="N21" s="206"/>
      <c r="O21" s="206"/>
      <c r="P21" s="206"/>
      <c r="Q21" s="206"/>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row>
    <row r="22" spans="1:52" ht="12" customHeight="1" x14ac:dyDescent="0.2">
      <c r="A22" s="206"/>
      <c r="B22" s="206"/>
      <c r="C22" s="206"/>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row>
    <row r="23" spans="1:52" ht="12" customHeight="1" x14ac:dyDescent="0.2">
      <c r="A23" s="206"/>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row>
    <row r="24" spans="1:52" ht="12" customHeight="1" x14ac:dyDescent="0.2">
      <c r="A24" s="206"/>
      <c r="B24" s="206"/>
      <c r="C24" s="206"/>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6"/>
      <c r="AB24" s="206"/>
      <c r="AC24" s="206"/>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row>
    <row r="25" spans="1:52" ht="12" customHeight="1" x14ac:dyDescent="0.2">
      <c r="A25" s="206"/>
      <c r="B25" s="206"/>
      <c r="C25" s="206"/>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row>
    <row r="26" spans="1:52" ht="12" customHeight="1" x14ac:dyDescent="0.2">
      <c r="A26" s="206"/>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row>
    <row r="27" spans="1:52" ht="12" customHeight="1" x14ac:dyDescent="0.2">
      <c r="A27" s="206"/>
      <c r="B27" s="206"/>
      <c r="C27" s="206"/>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row>
    <row r="28" spans="1:52" ht="12" customHeight="1" x14ac:dyDescent="0.2">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c r="AA28" s="206"/>
      <c r="AB28" s="206"/>
      <c r="AC28" s="206"/>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row>
    <row r="29" spans="1:52" ht="12" customHeight="1" x14ac:dyDescent="0.2">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c r="AA29" s="206"/>
      <c r="AB29" s="206"/>
      <c r="AC29" s="206"/>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row>
    <row r="30" spans="1:52" ht="12" customHeight="1" x14ac:dyDescent="0.2">
      <c r="A30" s="206"/>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c r="AA30" s="206"/>
      <c r="AB30" s="206"/>
      <c r="AC30" s="206"/>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row>
    <row r="31" spans="1:52" ht="12" customHeight="1" x14ac:dyDescent="0.2">
      <c r="A31" s="206"/>
      <c r="B31" s="206"/>
      <c r="C31" s="206"/>
      <c r="D31" s="206"/>
      <c r="E31" s="206"/>
      <c r="F31" s="206"/>
      <c r="G31" s="206"/>
      <c r="H31" s="206"/>
      <c r="I31" s="206"/>
      <c r="J31" s="206"/>
      <c r="K31" s="206"/>
      <c r="L31" s="206"/>
      <c r="M31" s="206"/>
      <c r="N31" s="206"/>
      <c r="O31" s="206"/>
      <c r="P31" s="206"/>
      <c r="Q31" s="206"/>
      <c r="R31" s="206"/>
      <c r="S31" s="206"/>
      <c r="T31" s="206"/>
      <c r="U31" s="206"/>
      <c r="V31" s="206"/>
      <c r="W31" s="206"/>
      <c r="X31" s="206"/>
      <c r="Y31" s="206"/>
      <c r="Z31" s="206"/>
      <c r="AA31" s="206"/>
      <c r="AB31" s="206"/>
      <c r="AC31" s="206"/>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row>
    <row r="32" spans="1:52" ht="12" customHeight="1" x14ac:dyDescent="0.2">
      <c r="A32" s="206"/>
      <c r="B32" s="206"/>
      <c r="C32" s="206"/>
      <c r="D32" s="206"/>
      <c r="E32" s="206"/>
      <c r="F32" s="206"/>
      <c r="G32" s="206"/>
      <c r="H32" s="206"/>
      <c r="I32" s="206"/>
      <c r="J32" s="206"/>
      <c r="K32" s="206"/>
      <c r="L32" s="206"/>
      <c r="M32" s="206"/>
      <c r="N32" s="206"/>
      <c r="O32" s="206"/>
      <c r="P32" s="206"/>
      <c r="Q32" s="206"/>
      <c r="R32" s="206"/>
      <c r="S32" s="206"/>
      <c r="T32" s="206"/>
      <c r="U32" s="206"/>
      <c r="V32" s="206"/>
      <c r="W32" s="206"/>
      <c r="X32" s="206"/>
      <c r="Y32" s="206"/>
      <c r="Z32" s="206"/>
      <c r="AA32" s="206"/>
      <c r="AB32" s="206"/>
      <c r="AC32" s="206"/>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row>
    <row r="33" spans="1:58" ht="12" customHeight="1" x14ac:dyDescent="0.2">
      <c r="A33" s="206"/>
      <c r="B33" s="206"/>
      <c r="C33" s="206"/>
      <c r="D33" s="206"/>
      <c r="E33" s="206"/>
      <c r="F33" s="206"/>
      <c r="G33" s="206"/>
      <c r="H33" s="206"/>
      <c r="I33" s="206"/>
      <c r="J33" s="206"/>
      <c r="K33" s="206"/>
      <c r="L33" s="206"/>
      <c r="M33" s="206"/>
      <c r="N33" s="206"/>
      <c r="O33" s="206"/>
      <c r="P33" s="206"/>
      <c r="Q33" s="206"/>
      <c r="R33" s="206"/>
      <c r="S33" s="206"/>
      <c r="T33" s="206"/>
      <c r="U33" s="206"/>
      <c r="V33" s="206"/>
      <c r="W33" s="206"/>
      <c r="X33" s="206"/>
      <c r="Y33" s="206"/>
      <c r="Z33" s="206"/>
      <c r="AA33" s="206"/>
      <c r="AB33" s="206"/>
      <c r="AC33" s="206"/>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row>
    <row r="34" spans="1:58" ht="12" customHeight="1" x14ac:dyDescent="0.2">
      <c r="A34" s="206"/>
      <c r="B34" s="206"/>
      <c r="C34" s="206"/>
      <c r="D34" s="206"/>
      <c r="E34" s="206"/>
      <c r="F34" s="206"/>
      <c r="G34" s="206"/>
      <c r="H34" s="206"/>
      <c r="I34" s="206"/>
      <c r="J34" s="206"/>
      <c r="K34" s="206"/>
      <c r="L34" s="206"/>
      <c r="M34" s="206"/>
      <c r="N34" s="206"/>
      <c r="O34" s="206"/>
      <c r="P34" s="206"/>
      <c r="Q34" s="206"/>
      <c r="R34" s="206"/>
      <c r="S34" s="206"/>
      <c r="T34" s="206"/>
      <c r="U34" s="206"/>
      <c r="V34" s="206"/>
      <c r="W34" s="206"/>
      <c r="X34" s="206"/>
      <c r="Y34" s="206"/>
      <c r="Z34" s="206"/>
      <c r="AA34" s="206"/>
      <c r="AB34" s="206"/>
      <c r="AC34" s="206"/>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row>
    <row r="35" spans="1:58" ht="12" customHeight="1" x14ac:dyDescent="0.2">
      <c r="A35" s="206"/>
      <c r="B35" s="206"/>
      <c r="C35" s="206"/>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206"/>
      <c r="AB35" s="206"/>
      <c r="AC35" s="206"/>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row>
    <row r="36" spans="1:58" ht="12" customHeight="1" x14ac:dyDescent="0.2">
      <c r="A36" s="206"/>
      <c r="B36" s="206"/>
      <c r="C36" s="206"/>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206"/>
      <c r="AB36" s="206"/>
      <c r="AC36" s="206"/>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row>
    <row r="37" spans="1:58" ht="12" customHeight="1" x14ac:dyDescent="0.2">
      <c r="A37" s="206"/>
      <c r="B37" s="206"/>
      <c r="C37" s="206"/>
      <c r="D37" s="206"/>
      <c r="E37" s="206"/>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row>
    <row r="38" spans="1:58" ht="12" customHeight="1" x14ac:dyDescent="0.2">
      <c r="A38" s="206"/>
      <c r="B38" s="206"/>
      <c r="C38" s="206"/>
      <c r="D38" s="206"/>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row>
    <row r="39" spans="1:58" ht="12" customHeight="1" x14ac:dyDescent="0.2">
      <c r="A39" s="206"/>
      <c r="B39" s="206"/>
      <c r="C39" s="206"/>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206"/>
      <c r="AE39" s="206"/>
      <c r="AF39" s="206"/>
      <c r="AG39" s="206"/>
      <c r="AH39" s="206"/>
      <c r="AI39" s="206"/>
      <c r="AJ39" s="206"/>
      <c r="AK39" s="206"/>
      <c r="AL39" s="206"/>
      <c r="AM39" s="206"/>
      <c r="AN39" s="206"/>
      <c r="AO39" s="206"/>
      <c r="AP39" s="206"/>
      <c r="AQ39" s="206"/>
      <c r="AR39" s="206"/>
      <c r="AS39" s="206"/>
      <c r="AT39" s="206"/>
      <c r="AU39" s="206"/>
      <c r="AV39" s="206"/>
      <c r="AW39" s="206"/>
      <c r="AX39" s="206"/>
      <c r="AY39" s="206"/>
      <c r="AZ39" s="206"/>
    </row>
    <row r="40" spans="1:58" ht="12" customHeight="1" x14ac:dyDescent="0.2">
      <c r="A40" s="206"/>
      <c r="B40" s="206"/>
      <c r="C40" s="206"/>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206"/>
      <c r="AE40" s="206"/>
      <c r="AF40" s="206"/>
      <c r="AG40" s="206"/>
      <c r="AH40" s="206"/>
      <c r="AI40" s="206"/>
      <c r="AJ40" s="206"/>
      <c r="AK40" s="206"/>
      <c r="AL40" s="206"/>
      <c r="AM40" s="206"/>
      <c r="AN40" s="206"/>
      <c r="AO40" s="206"/>
      <c r="AP40" s="206"/>
      <c r="AQ40" s="206"/>
      <c r="AR40" s="206"/>
      <c r="AS40" s="206"/>
      <c r="AT40" s="206"/>
      <c r="AU40" s="206"/>
      <c r="AV40" s="206"/>
      <c r="AW40" s="206"/>
      <c r="AX40" s="206"/>
      <c r="AY40" s="206"/>
      <c r="AZ40" s="206"/>
    </row>
    <row r="41" spans="1:58" ht="12" customHeight="1" x14ac:dyDescent="0.2">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206"/>
      <c r="AE41" s="206"/>
      <c r="AF41" s="206"/>
      <c r="AG41" s="206"/>
      <c r="AH41" s="206"/>
      <c r="AI41" s="206"/>
      <c r="AJ41" s="206"/>
      <c r="AK41" s="206"/>
      <c r="AL41" s="206"/>
      <c r="AM41" s="206"/>
      <c r="AN41" s="206"/>
      <c r="AO41" s="206"/>
      <c r="AP41" s="206"/>
      <c r="AQ41" s="206"/>
      <c r="AR41" s="206"/>
      <c r="AS41" s="206"/>
      <c r="AT41" s="206"/>
      <c r="AU41" s="206"/>
      <c r="AV41" s="206"/>
      <c r="AW41" s="206"/>
      <c r="AX41" s="206"/>
      <c r="AY41" s="206"/>
      <c r="AZ41" s="206"/>
    </row>
    <row r="42" spans="1:58" ht="12" customHeight="1" x14ac:dyDescent="0.2">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206"/>
      <c r="AL42" s="206"/>
      <c r="AM42" s="206"/>
      <c r="AN42" s="206"/>
      <c r="AO42" s="206"/>
      <c r="AP42" s="206"/>
      <c r="AQ42" s="206"/>
      <c r="AR42" s="206"/>
      <c r="AS42" s="206"/>
      <c r="AT42" s="206"/>
      <c r="AU42" s="206"/>
      <c r="AV42" s="206"/>
      <c r="AW42" s="206"/>
      <c r="AX42" s="206"/>
      <c r="AY42" s="206"/>
      <c r="AZ42" s="206"/>
    </row>
    <row r="43" spans="1:58" ht="12" customHeight="1" x14ac:dyDescent="0.2">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206"/>
      <c r="AE43" s="206"/>
      <c r="AF43" s="206"/>
      <c r="AG43" s="206"/>
      <c r="AH43" s="206"/>
      <c r="AI43" s="206"/>
      <c r="AJ43" s="206"/>
      <c r="AK43" s="206"/>
      <c r="AL43" s="206"/>
      <c r="AM43" s="206"/>
      <c r="AN43" s="206"/>
      <c r="AO43" s="206"/>
      <c r="AP43" s="206"/>
      <c r="AQ43" s="206"/>
      <c r="AR43" s="206"/>
      <c r="AS43" s="206"/>
      <c r="AT43" s="206"/>
      <c r="AU43" s="206"/>
      <c r="AV43" s="206"/>
      <c r="AW43" s="206"/>
      <c r="AX43" s="206"/>
      <c r="AY43" s="206"/>
      <c r="AZ43" s="206"/>
    </row>
    <row r="44" spans="1:58" ht="12" customHeight="1" x14ac:dyDescent="0.2">
      <c r="A44" s="206"/>
      <c r="B44" s="206"/>
      <c r="C44" s="206"/>
      <c r="D44" s="206"/>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206"/>
      <c r="AE44" s="206"/>
      <c r="AF44" s="206"/>
      <c r="AG44" s="206"/>
      <c r="AH44" s="206"/>
      <c r="AI44" s="206"/>
      <c r="AJ44" s="206"/>
      <c r="AK44" s="206"/>
      <c r="AL44" s="206"/>
      <c r="AM44" s="206"/>
      <c r="AN44" s="206"/>
      <c r="AO44" s="206"/>
      <c r="AP44" s="206"/>
      <c r="AQ44" s="206"/>
      <c r="AR44" s="206"/>
      <c r="AS44" s="206"/>
      <c r="AT44" s="206"/>
      <c r="AU44" s="206"/>
      <c r="AV44" s="206"/>
      <c r="AW44" s="206"/>
      <c r="AX44" s="206"/>
      <c r="AY44" s="206"/>
      <c r="AZ44" s="206"/>
    </row>
    <row r="45" spans="1:58" ht="12" customHeight="1" x14ac:dyDescent="0.2">
      <c r="A45" s="206"/>
      <c r="B45" s="206"/>
      <c r="C45" s="206"/>
      <c r="D45" s="206"/>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206"/>
      <c r="AE45" s="206"/>
      <c r="AF45" s="206"/>
      <c r="AG45" s="206"/>
      <c r="AH45" s="206"/>
      <c r="AI45" s="206"/>
      <c r="AJ45" s="206"/>
      <c r="AK45" s="206"/>
      <c r="AL45" s="206"/>
      <c r="AM45" s="206"/>
      <c r="AN45" s="206"/>
      <c r="AO45" s="206"/>
      <c r="AP45" s="206"/>
      <c r="AQ45" s="206"/>
      <c r="AR45" s="206"/>
      <c r="AS45" s="206"/>
      <c r="AT45" s="206"/>
      <c r="AU45" s="206"/>
      <c r="AV45" s="206"/>
      <c r="AW45" s="206"/>
      <c r="AX45" s="206"/>
      <c r="AY45" s="206"/>
      <c r="AZ45" s="206"/>
    </row>
    <row r="46" spans="1:58" ht="12" customHeight="1" x14ac:dyDescent="0.2">
      <c r="A46" s="206"/>
      <c r="B46" s="206"/>
      <c r="C46" s="206"/>
      <c r="D46" s="206"/>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206"/>
      <c r="AE46" s="206"/>
      <c r="AF46" s="206"/>
      <c r="AG46" s="206"/>
      <c r="AH46" s="206"/>
      <c r="AI46" s="206"/>
      <c r="AJ46" s="206"/>
      <c r="AK46" s="206"/>
      <c r="AL46" s="206"/>
      <c r="AM46" s="206"/>
      <c r="AN46" s="206"/>
      <c r="AO46" s="206"/>
      <c r="AP46" s="206"/>
      <c r="AQ46" s="206"/>
      <c r="AR46" s="206"/>
      <c r="AS46" s="206"/>
      <c r="AT46" s="206"/>
      <c r="AU46" s="206"/>
      <c r="AV46" s="206"/>
      <c r="AW46" s="206"/>
      <c r="AX46" s="206"/>
      <c r="AY46" s="206"/>
      <c r="AZ46" s="206"/>
    </row>
    <row r="47" spans="1:58" ht="12" customHeight="1" x14ac:dyDescent="0.2">
      <c r="A47" s="206"/>
      <c r="B47" s="206"/>
      <c r="C47" s="206"/>
      <c r="D47" s="206"/>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206"/>
      <c r="AE47" s="206"/>
      <c r="AF47" s="206"/>
      <c r="AG47" s="206"/>
      <c r="AH47" s="206"/>
      <c r="AI47" s="206"/>
      <c r="AJ47" s="206"/>
      <c r="AK47" s="206"/>
      <c r="AL47" s="206"/>
      <c r="AM47" s="206"/>
      <c r="AN47" s="206"/>
      <c r="AO47" s="206"/>
      <c r="AP47" s="206"/>
      <c r="AQ47" s="206"/>
      <c r="AR47" s="206"/>
      <c r="AS47" s="206"/>
      <c r="AT47" s="206"/>
      <c r="AU47" s="206"/>
      <c r="AV47" s="206"/>
      <c r="AW47" s="206"/>
      <c r="AX47" s="206"/>
      <c r="AY47" s="206"/>
      <c r="AZ47" s="206"/>
    </row>
    <row r="48" spans="1:58" ht="12" customHeight="1" x14ac:dyDescent="0.2">
      <c r="A48" s="206"/>
      <c r="B48" s="206"/>
      <c r="C48" s="206"/>
      <c r="D48" s="206"/>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206"/>
      <c r="AE48" s="206"/>
      <c r="AF48" s="206"/>
      <c r="AG48" s="206"/>
      <c r="AH48" s="206"/>
      <c r="AI48" s="206"/>
      <c r="AJ48" s="206"/>
      <c r="AK48" s="206"/>
      <c r="AL48" s="206"/>
      <c r="AM48" s="206"/>
      <c r="AN48" s="206"/>
      <c r="AO48" s="206"/>
      <c r="AP48" s="206"/>
      <c r="AQ48" s="206"/>
      <c r="AR48" s="206"/>
      <c r="AS48" s="206"/>
      <c r="AT48" s="206"/>
      <c r="AU48" s="206"/>
      <c r="AV48" s="206"/>
      <c r="AW48" s="206"/>
      <c r="AX48" s="206"/>
      <c r="AY48" s="206"/>
      <c r="AZ48" s="206"/>
      <c r="BF48" s="123" t="s">
        <v>248</v>
      </c>
    </row>
    <row r="49" spans="1:58" ht="12" customHeight="1" x14ac:dyDescent="0.2">
      <c r="A49" s="210"/>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c r="AP49" s="210"/>
      <c r="AQ49" s="210"/>
      <c r="AR49" s="210"/>
      <c r="AS49" s="210"/>
      <c r="AT49" s="210"/>
      <c r="AU49" s="210"/>
      <c r="AV49" s="210"/>
      <c r="AW49" s="210"/>
      <c r="AX49" s="210"/>
      <c r="AY49" s="210"/>
      <c r="AZ49" s="210"/>
      <c r="BF49" s="123" t="s">
        <v>51</v>
      </c>
    </row>
    <row r="50" spans="1:58" ht="12" customHeight="1" x14ac:dyDescent="0.2">
      <c r="A50" s="165" t="s">
        <v>60</v>
      </c>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F50" s="123" t="s">
        <v>17</v>
      </c>
    </row>
    <row r="51" spans="1:58" ht="12" customHeight="1" x14ac:dyDescent="0.2">
      <c r="A51" s="165"/>
      <c r="B51" s="165"/>
      <c r="C51" s="165"/>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row>
    <row r="52" spans="1:58" ht="12" customHeight="1" x14ac:dyDescent="0.2">
      <c r="A52" s="165"/>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row>
    <row r="53" spans="1:58" ht="12" customHeight="1" x14ac:dyDescent="0.2">
      <c r="A53" s="165" t="s">
        <v>61</v>
      </c>
      <c r="B53" s="165"/>
      <c r="C53" s="165"/>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row>
    <row r="54" spans="1:58" ht="12" customHeight="1" x14ac:dyDescent="0.2">
      <c r="A54" s="165"/>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row>
    <row r="55" spans="1:58" ht="12" customHeight="1" x14ac:dyDescent="0.2">
      <c r="A55" s="165"/>
      <c r="B55" s="165"/>
      <c r="C55" s="165"/>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row>
    <row r="56" spans="1:58" ht="12" customHeight="1" x14ac:dyDescent="0.2">
      <c r="A56" s="154"/>
      <c r="B56" s="154"/>
      <c r="C56" s="155" t="s">
        <v>63</v>
      </c>
      <c r="D56" s="155"/>
      <c r="E56" s="155"/>
      <c r="F56" s="155"/>
      <c r="G56" s="155"/>
      <c r="H56" s="155"/>
      <c r="I56" s="155"/>
      <c r="J56" s="155"/>
      <c r="K56" s="155"/>
      <c r="L56" s="155"/>
      <c r="M56" s="155"/>
      <c r="N56" s="155"/>
      <c r="O56" s="155"/>
      <c r="P56" s="155"/>
      <c r="Q56" s="154"/>
      <c r="R56" s="154"/>
      <c r="S56" s="154"/>
      <c r="T56" s="154"/>
      <c r="U56" s="154"/>
      <c r="V56" s="154"/>
      <c r="W56" s="154"/>
      <c r="X56" s="154"/>
      <c r="Y56" s="154"/>
      <c r="Z56" s="154"/>
      <c r="AA56" s="154"/>
      <c r="AB56" s="154"/>
      <c r="AC56" s="154"/>
      <c r="AD56" s="154"/>
      <c r="AE56" s="154"/>
      <c r="AF56" s="154"/>
      <c r="AG56" s="154"/>
      <c r="AH56" s="154"/>
      <c r="AI56" s="154"/>
      <c r="AJ56" s="154"/>
      <c r="AK56" s="155" t="s">
        <v>62</v>
      </c>
      <c r="AL56" s="155"/>
      <c r="AM56" s="155"/>
      <c r="AN56" s="155"/>
      <c r="AO56" s="155"/>
      <c r="AP56" s="155"/>
      <c r="AQ56" s="155"/>
      <c r="AR56" s="155"/>
      <c r="AS56" s="155"/>
      <c r="AT56" s="155"/>
      <c r="AU56" s="155"/>
      <c r="AV56" s="155"/>
      <c r="AW56" s="155"/>
      <c r="AX56" s="155"/>
      <c r="AY56" s="217"/>
      <c r="AZ56" s="217"/>
    </row>
    <row r="57" spans="1:58" ht="12" customHeight="1" x14ac:dyDescent="0.2">
      <c r="A57" s="154"/>
      <c r="B57" s="154"/>
      <c r="C57" s="215" t="str">
        <f>IF('Data Entry'!N29="","",'Data Entry'!N29)&amp;IF(OR('Data Entry'!N29="",'Data Entry'!N30=""),""," / Licence No")&amp; IF('Data Entry'!N30="","",'Data Entry'!N30)</f>
        <v>MEHMET EROĞLU</v>
      </c>
      <c r="D57" s="215"/>
      <c r="E57" s="215"/>
      <c r="F57" s="215"/>
      <c r="G57" s="215"/>
      <c r="H57" s="215"/>
      <c r="I57" s="215"/>
      <c r="J57" s="215"/>
      <c r="K57" s="215"/>
      <c r="L57" s="215"/>
      <c r="M57" s="215"/>
      <c r="N57" s="215"/>
      <c r="O57" s="215"/>
      <c r="P57" s="215"/>
      <c r="Q57" s="154"/>
      <c r="R57" s="154"/>
      <c r="S57" s="154"/>
      <c r="T57" s="154"/>
      <c r="U57" s="154"/>
      <c r="V57" s="154"/>
      <c r="W57" s="154"/>
      <c r="X57" s="154"/>
      <c r="Y57" s="154"/>
      <c r="Z57" s="154"/>
      <c r="AA57" s="154"/>
      <c r="AB57" s="154"/>
      <c r="AC57" s="154"/>
      <c r="AD57" s="154"/>
      <c r="AE57" s="154"/>
      <c r="AF57" s="154"/>
      <c r="AG57" s="154"/>
      <c r="AH57" s="154"/>
      <c r="AI57" s="154"/>
      <c r="AJ57" s="154"/>
      <c r="AK57" s="215"/>
      <c r="AL57" s="215"/>
      <c r="AM57" s="215"/>
      <c r="AN57" s="215"/>
      <c r="AO57" s="215"/>
      <c r="AP57" s="215"/>
      <c r="AQ57" s="215"/>
      <c r="AR57" s="215"/>
      <c r="AS57" s="215"/>
      <c r="AT57" s="215"/>
      <c r="AU57" s="215"/>
      <c r="AV57" s="215"/>
      <c r="AW57" s="215"/>
      <c r="AX57" s="215"/>
      <c r="AY57" s="217"/>
      <c r="AZ57" s="217"/>
    </row>
    <row r="58" spans="1:58" ht="12" customHeight="1" x14ac:dyDescent="0.2">
      <c r="A58" s="154"/>
      <c r="B58" s="154"/>
      <c r="C58" s="215"/>
      <c r="D58" s="215"/>
      <c r="E58" s="215"/>
      <c r="F58" s="215"/>
      <c r="G58" s="215"/>
      <c r="H58" s="215"/>
      <c r="I58" s="215"/>
      <c r="J58" s="215"/>
      <c r="K58" s="215"/>
      <c r="L58" s="215"/>
      <c r="M58" s="215"/>
      <c r="N58" s="215"/>
      <c r="O58" s="215"/>
      <c r="P58" s="215"/>
      <c r="Q58" s="154"/>
      <c r="R58" s="154"/>
      <c r="S58" s="154"/>
      <c r="T58" s="154"/>
      <c r="U58" s="154"/>
      <c r="V58" s="154"/>
      <c r="W58" s="154"/>
      <c r="X58" s="154"/>
      <c r="Y58" s="154"/>
      <c r="Z58" s="154"/>
      <c r="AA58" s="154"/>
      <c r="AB58" s="154"/>
      <c r="AC58" s="154"/>
      <c r="AD58" s="154"/>
      <c r="AE58" s="154"/>
      <c r="AF58" s="154"/>
      <c r="AG58" s="154"/>
      <c r="AH58" s="154"/>
      <c r="AI58" s="154"/>
      <c r="AJ58" s="154"/>
      <c r="AK58" s="215"/>
      <c r="AL58" s="215"/>
      <c r="AM58" s="215"/>
      <c r="AN58" s="215"/>
      <c r="AO58" s="215"/>
      <c r="AP58" s="215"/>
      <c r="AQ58" s="215"/>
      <c r="AR58" s="215"/>
      <c r="AS58" s="215"/>
      <c r="AT58" s="215"/>
      <c r="AU58" s="215"/>
      <c r="AV58" s="215"/>
      <c r="AW58" s="215"/>
      <c r="AX58" s="215"/>
      <c r="AY58" s="217"/>
      <c r="AZ58" s="217"/>
    </row>
    <row r="59" spans="1:58" ht="12" customHeight="1" x14ac:dyDescent="0.2">
      <c r="A59" s="154"/>
      <c r="B59" s="154"/>
      <c r="C59" s="216"/>
      <c r="D59" s="216"/>
      <c r="E59" s="216"/>
      <c r="F59" s="216"/>
      <c r="G59" s="216"/>
      <c r="H59" s="216"/>
      <c r="I59" s="216"/>
      <c r="J59" s="216"/>
      <c r="K59" s="216"/>
      <c r="L59" s="216"/>
      <c r="M59" s="216"/>
      <c r="N59" s="216"/>
      <c r="O59" s="216"/>
      <c r="P59" s="216"/>
      <c r="Q59" s="154"/>
      <c r="R59" s="154"/>
      <c r="S59" s="154"/>
      <c r="T59" s="154"/>
      <c r="U59" s="154"/>
      <c r="V59" s="154"/>
      <c r="W59" s="154"/>
      <c r="X59" s="154"/>
      <c r="Y59" s="154"/>
      <c r="Z59" s="154"/>
      <c r="AA59" s="154"/>
      <c r="AB59" s="154"/>
      <c r="AC59" s="154"/>
      <c r="AD59" s="154"/>
      <c r="AE59" s="154"/>
      <c r="AF59" s="154"/>
      <c r="AG59" s="154"/>
      <c r="AH59" s="154"/>
      <c r="AI59" s="154"/>
      <c r="AJ59" s="154"/>
      <c r="AK59" s="216"/>
      <c r="AL59" s="216"/>
      <c r="AM59" s="216"/>
      <c r="AN59" s="216"/>
      <c r="AO59" s="216"/>
      <c r="AP59" s="216"/>
      <c r="AQ59" s="216"/>
      <c r="AR59" s="216"/>
      <c r="AS59" s="216"/>
      <c r="AT59" s="216"/>
      <c r="AU59" s="216"/>
      <c r="AV59" s="216"/>
      <c r="AW59" s="216"/>
      <c r="AX59" s="216"/>
      <c r="AY59" s="217"/>
      <c r="AZ59" s="217"/>
    </row>
    <row r="60" spans="1:58" ht="13.5" customHeight="1" x14ac:dyDescent="0.2">
      <c r="A60" s="154"/>
      <c r="B60" s="154"/>
      <c r="C60" s="211" t="s">
        <v>184</v>
      </c>
      <c r="D60" s="211"/>
      <c r="E60" s="211"/>
      <c r="F60" s="211"/>
      <c r="G60" s="211"/>
      <c r="H60" s="211"/>
      <c r="I60" s="211"/>
      <c r="J60" s="211"/>
      <c r="K60" s="211"/>
      <c r="L60" s="211"/>
      <c r="M60" s="211"/>
      <c r="N60" s="211"/>
      <c r="O60" s="211"/>
      <c r="P60" s="211"/>
      <c r="Q60" s="154"/>
      <c r="R60" s="154"/>
      <c r="S60" s="154"/>
      <c r="T60" s="154"/>
      <c r="U60" s="154"/>
      <c r="V60" s="154"/>
      <c r="W60" s="154"/>
      <c r="X60" s="154"/>
      <c r="Y60" s="154"/>
      <c r="Z60" s="154"/>
      <c r="AA60" s="154"/>
      <c r="AB60" s="154"/>
      <c r="AC60" s="154"/>
      <c r="AD60" s="154"/>
      <c r="AE60" s="154"/>
      <c r="AF60" s="154"/>
      <c r="AG60" s="154"/>
      <c r="AH60" s="154"/>
      <c r="AI60" s="154"/>
      <c r="AJ60" s="154"/>
      <c r="AK60" s="218" t="s">
        <v>248</v>
      </c>
      <c r="AL60" s="218"/>
      <c r="AM60" s="218"/>
      <c r="AN60" s="218"/>
      <c r="AO60" s="218"/>
      <c r="AP60" s="218"/>
      <c r="AQ60" s="218"/>
      <c r="AR60" s="218"/>
      <c r="AS60" s="218"/>
      <c r="AT60" s="218"/>
      <c r="AU60" s="218"/>
      <c r="AV60" s="218"/>
      <c r="AW60" s="218"/>
      <c r="AX60" s="218"/>
      <c r="AY60" s="217"/>
      <c r="AZ60" s="217"/>
    </row>
    <row r="61" spans="1:58" ht="13.5" customHeight="1" x14ac:dyDescent="0.2">
      <c r="A61" s="542" t="s">
        <v>276</v>
      </c>
      <c r="B61" s="542"/>
      <c r="C61" s="542"/>
      <c r="D61" s="542"/>
      <c r="E61" s="542"/>
      <c r="F61" s="542"/>
      <c r="G61" s="542"/>
      <c r="H61" s="542"/>
      <c r="I61" s="542"/>
      <c r="J61" s="542"/>
      <c r="K61" s="542"/>
      <c r="L61" s="542"/>
      <c r="M61" s="542"/>
      <c r="N61" s="542"/>
      <c r="O61" s="542"/>
      <c r="P61" s="542"/>
      <c r="Q61" s="542"/>
      <c r="R61" s="542"/>
      <c r="S61" s="542"/>
      <c r="T61" s="542"/>
      <c r="U61" s="542"/>
      <c r="V61" s="542"/>
      <c r="W61" s="542"/>
      <c r="X61" s="542"/>
      <c r="Y61" s="542"/>
      <c r="Z61" s="542"/>
      <c r="AA61" s="149" t="str">
        <f>'Data Entry'!AK9</f>
        <v>LTS-CUS-F-01 rev 2.0</v>
      </c>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row>
  </sheetData>
  <sheetProtection selectLockedCells="1"/>
  <mergeCells count="69">
    <mergeCell ref="A48:AZ48"/>
    <mergeCell ref="A29:AZ29"/>
    <mergeCell ref="A30:AZ30"/>
    <mergeCell ref="A31:AZ31"/>
    <mergeCell ref="A32:AZ32"/>
    <mergeCell ref="A33:AZ33"/>
    <mergeCell ref="A34:AZ34"/>
    <mergeCell ref="A35:AZ35"/>
    <mergeCell ref="A36:AZ36"/>
    <mergeCell ref="A44:AZ44"/>
    <mergeCell ref="A38:AZ38"/>
    <mergeCell ref="I7:AJ7"/>
    <mergeCell ref="AK7:AZ7"/>
    <mergeCell ref="AE6:AI6"/>
    <mergeCell ref="AK6:AZ6"/>
    <mergeCell ref="A24:AZ24"/>
    <mergeCell ref="A19:AZ19"/>
    <mergeCell ref="A20:AZ20"/>
    <mergeCell ref="A8:AZ8"/>
    <mergeCell ref="A9:AZ9"/>
    <mergeCell ref="A15:AZ17"/>
    <mergeCell ref="A14:AZ14"/>
    <mergeCell ref="D10:AZ10"/>
    <mergeCell ref="A13:AZ13"/>
    <mergeCell ref="A11:AZ11"/>
    <mergeCell ref="A12:AZ12"/>
    <mergeCell ref="A18:AZ18"/>
    <mergeCell ref="A50:AZ52"/>
    <mergeCell ref="A28:AZ28"/>
    <mergeCell ref="A1:AD3"/>
    <mergeCell ref="AE1:AI1"/>
    <mergeCell ref="AK1:AZ1"/>
    <mergeCell ref="AE2:AI2"/>
    <mergeCell ref="AK2:AZ2"/>
    <mergeCell ref="AE3:AZ3"/>
    <mergeCell ref="A21:AZ21"/>
    <mergeCell ref="A10:B10"/>
    <mergeCell ref="A4:AZ4"/>
    <mergeCell ref="A5:AZ5"/>
    <mergeCell ref="A37:AZ37"/>
    <mergeCell ref="A6:G6"/>
    <mergeCell ref="I6:AD6"/>
    <mergeCell ref="A7:G7"/>
    <mergeCell ref="A22:AZ22"/>
    <mergeCell ref="A47:AZ47"/>
    <mergeCell ref="A43:AZ43"/>
    <mergeCell ref="A39:AZ39"/>
    <mergeCell ref="A45:AZ45"/>
    <mergeCell ref="A46:AZ46"/>
    <mergeCell ref="A23:AZ23"/>
    <mergeCell ref="A25:AZ25"/>
    <mergeCell ref="A26:AZ26"/>
    <mergeCell ref="A27:AZ27"/>
    <mergeCell ref="A61:Z61"/>
    <mergeCell ref="AA61:AZ61"/>
    <mergeCell ref="A40:AZ40"/>
    <mergeCell ref="A41:AZ41"/>
    <mergeCell ref="A42:AZ42"/>
    <mergeCell ref="A53:AZ55"/>
    <mergeCell ref="AK56:AX56"/>
    <mergeCell ref="AK57:AX59"/>
    <mergeCell ref="C57:P59"/>
    <mergeCell ref="AY56:AZ60"/>
    <mergeCell ref="A56:B60"/>
    <mergeCell ref="AK60:AX60"/>
    <mergeCell ref="C60:P60"/>
    <mergeCell ref="C56:P56"/>
    <mergeCell ref="Q56:AJ60"/>
    <mergeCell ref="A49:AZ49"/>
  </mergeCells>
  <phoneticPr fontId="2" type="noConversion"/>
  <conditionalFormatting sqref="AK1:AZ2 I7:AJ7 I6:AD6 C57:P59">
    <cfRule type="containsBlanks" dxfId="2" priority="3" stopIfTrue="1">
      <formula>LEN(TRIM(C1))=0</formula>
    </cfRule>
  </conditionalFormatting>
  <conditionalFormatting sqref="D10 A18 AK57 AK6">
    <cfRule type="containsBlanks" dxfId="1" priority="2" stopIfTrue="1">
      <formula>LEN(TRIM(A6))=0</formula>
    </cfRule>
  </conditionalFormatting>
  <conditionalFormatting sqref="AK60:AX60">
    <cfRule type="containsText" dxfId="0" priority="1" stopIfTrue="1" operator="containsText" text="(please select)">
      <formula>NOT(ISERROR(SEARCH("(please select)",AK60)))</formula>
    </cfRule>
  </conditionalFormatting>
  <dataValidations count="4">
    <dataValidation type="date" allowBlank="1" showInputMessage="1" showErrorMessage="1" error="Must enter date (mm/dd/yyyy)" sqref="AK6" xr:uid="{00000000-0002-0000-1B00-000000000000}">
      <formula1>1</formula1>
      <formula2>73050</formula2>
    </dataValidation>
    <dataValidation type="list" allowBlank="1" showInputMessage="1" showErrorMessage="1" sqref="AK60:AX60" xr:uid="{00000000-0002-0000-1B00-000001000000}">
      <formula1>$BF$48:$BF$50</formula1>
    </dataValidation>
    <dataValidation allowBlank="1" showInputMessage="1" showErrorMessage="1" prompt="Please advise who the Letter of Protest is being issued to" sqref="D10:AZ10" xr:uid="{00000000-0002-0000-1B00-000002000000}"/>
    <dataValidation allowBlank="1" showInputMessage="1" showErrorMessage="1" prompt="If a letter of protest needs to be issued please fill out this section of the report detailing the reasons why." sqref="A18:AZ18" xr:uid="{00000000-0002-0000-1B00-000003000000}"/>
  </dataValidations>
  <printOptions horizontalCentered="1"/>
  <pageMargins left="0" right="0" top="0.51181102362204722" bottom="0" header="0.51181102362204722" footer="0.23622047244094491"/>
  <pageSetup orientation="portrait" r:id="rId1"/>
  <headerFooter alignWithMargins="0">
    <oddFooter>&amp;C&amp;06 &amp;P &amp;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31</vt:i4>
      </vt:variant>
      <vt:variant>
        <vt:lpstr>Adlandırılmış Aralıklar</vt:lpstr>
      </vt:variant>
      <vt:variant>
        <vt:i4>34</vt:i4>
      </vt:variant>
    </vt:vector>
  </HeadingPairs>
  <TitlesOfParts>
    <vt:vector size="65" baseType="lpstr">
      <vt:lpstr>Instructions</vt:lpstr>
      <vt:lpstr>Data Entry</vt:lpstr>
      <vt:lpstr>Summary Report</vt:lpstr>
      <vt:lpstr>Bunker Certificate 1</vt:lpstr>
      <vt:lpstr>Vessel Survey 1</vt:lpstr>
      <vt:lpstr>Vessel Survey(additional tanks)</vt:lpstr>
      <vt:lpstr>Barge Survey 1</vt:lpstr>
      <vt:lpstr>Barge Survey(additional tanks)</vt:lpstr>
      <vt:lpstr>Time Log 1</vt:lpstr>
      <vt:lpstr>Checklist 1</vt:lpstr>
      <vt:lpstr>Sample Distibution 1</vt:lpstr>
      <vt:lpstr>Statement of Facts 1</vt:lpstr>
      <vt:lpstr>Letter of Protest 1</vt:lpstr>
      <vt:lpstr>Bunker Certificate 2</vt:lpstr>
      <vt:lpstr>Vessel Survey 2</vt:lpstr>
      <vt:lpstr>Barge Survey 2</vt:lpstr>
      <vt:lpstr>Checklist 2</vt:lpstr>
      <vt:lpstr>Time Log 2</vt:lpstr>
      <vt:lpstr>Sample Distibution 2</vt:lpstr>
      <vt:lpstr>Time Log 1 (2)</vt:lpstr>
      <vt:lpstr>Statement of Facts 2</vt:lpstr>
      <vt:lpstr>Letter of Protest 2</vt:lpstr>
      <vt:lpstr>Bunker Certificate 3</vt:lpstr>
      <vt:lpstr>Vessel Survey 3</vt:lpstr>
      <vt:lpstr>Barge Survey 3</vt:lpstr>
      <vt:lpstr>Checklist 3</vt:lpstr>
      <vt:lpstr>Time Log 3</vt:lpstr>
      <vt:lpstr>Sample Distibution 3</vt:lpstr>
      <vt:lpstr>Statement of Facts 3</vt:lpstr>
      <vt:lpstr>Letter of Protest 3</vt:lpstr>
      <vt:lpstr>Letter of Protest 4</vt:lpstr>
      <vt:lpstr>'(SG) NonCargo Tank Declaration1'!Yazdırma_Alanı</vt:lpstr>
      <vt:lpstr>'(SG) Pre-Survey Ack.'!Yazdırma_Alanı</vt:lpstr>
      <vt:lpstr>'Barge Survey 1'!Yazdırma_Alanı</vt:lpstr>
      <vt:lpstr>'Barge Survey 2'!Yazdırma_Alanı</vt:lpstr>
      <vt:lpstr>'Barge Survey 3'!Yazdırma_Alanı</vt:lpstr>
      <vt:lpstr>'Barge Survey(additional tanks)'!Yazdırma_Alanı</vt:lpstr>
      <vt:lpstr>'Bunker Certificate 1'!Yazdırma_Alanı</vt:lpstr>
      <vt:lpstr>'Bunker Certificate 2'!Yazdırma_Alanı</vt:lpstr>
      <vt:lpstr>'Bunker Certificate 3'!Yazdırma_Alanı</vt:lpstr>
      <vt:lpstr>'Checklist 1'!Yazdırma_Alanı</vt:lpstr>
      <vt:lpstr>'Checklist 2'!Yazdırma_Alanı</vt:lpstr>
      <vt:lpstr>'Checklist 3'!Yazdırma_Alanı</vt:lpstr>
      <vt:lpstr>'Data Entry'!Yazdırma_Alanı</vt:lpstr>
      <vt:lpstr>'Letter of Protest 1'!Yazdırma_Alanı</vt:lpstr>
      <vt:lpstr>'Letter of Protest 2'!Yazdırma_Alanı</vt:lpstr>
      <vt:lpstr>'Letter of Protest 3'!Yazdırma_Alanı</vt:lpstr>
      <vt:lpstr>'Letter of Protest 4'!Yazdırma_Alanı</vt:lpstr>
      <vt:lpstr>'Sample Distibution 1'!Yazdırma_Alanı</vt:lpstr>
      <vt:lpstr>'Sample Distibution 2'!Yazdırma_Alanı</vt:lpstr>
      <vt:lpstr>'Sample Distibution 3'!Yazdırma_Alanı</vt:lpstr>
      <vt:lpstr>'Statement of Facts 1'!Yazdırma_Alanı</vt:lpstr>
      <vt:lpstr>'Statement of Facts 2'!Yazdırma_Alanı</vt:lpstr>
      <vt:lpstr>'Statement of Facts 3'!Yazdırma_Alanı</vt:lpstr>
      <vt:lpstr>'Summary Report'!Yazdırma_Alanı</vt:lpstr>
      <vt:lpstr>'Time Log 1'!Yazdırma_Alanı</vt:lpstr>
      <vt:lpstr>'Time Log 1 (2)'!Yazdırma_Alanı</vt:lpstr>
      <vt:lpstr>'Time Log 2'!Yazdırma_Alanı</vt:lpstr>
      <vt:lpstr>'Vessel Survey 1'!Yazdırma_Alanı</vt:lpstr>
      <vt:lpstr>'Vessel Survey 2'!Yazdırma_Alanı</vt:lpstr>
      <vt:lpstr>'Vessel Survey 3'!Yazdırma_Alanı</vt:lpstr>
      <vt:lpstr>'Vessel Survey(additional tanks)'!Yazdırma_Alanı</vt:lpstr>
      <vt:lpstr>'Checklist 1'!Yazdırma_Başlıkları</vt:lpstr>
      <vt:lpstr>'Checklist 2'!Yazdırma_Başlıkları</vt:lpstr>
      <vt:lpstr>'Checklist 3'!Yazdırma_Başlıkları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Vivek Vijayaraghavan Intertek</dc:creator>
  <cp:lastModifiedBy>Deneme Yanılma</cp:lastModifiedBy>
  <cp:lastPrinted>2022-06-08T05:09:37Z</cp:lastPrinted>
  <dcterms:created xsi:type="dcterms:W3CDTF">2016-11-28T09:35:22Z</dcterms:created>
  <dcterms:modified xsi:type="dcterms:W3CDTF">2022-08-16T11:27:29Z</dcterms:modified>
</cp:coreProperties>
</file>